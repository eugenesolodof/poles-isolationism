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evgeniisolodov/Desktop/статья/data/"/>
    </mc:Choice>
  </mc:AlternateContent>
  <xr:revisionPtr revIDLastSave="0" documentId="13_ncr:1_{0B0E586A-D483-BC4A-9E1B-37A985982ED8}" xr6:coauthVersionLast="47" xr6:coauthVersionMax="47" xr10:uidLastSave="{00000000-0000-0000-0000-000000000000}"/>
  <bookViews>
    <workbookView xWindow="0" yWindow="620" windowWidth="28800" windowHeight="16180" xr2:uid="{00000000-000D-0000-FFFF-FFFF00000000}"/>
  </bookViews>
  <sheets>
    <sheet name="PDVD_parl-level data" sheetId="6" r:id="rId1"/>
  </sheets>
  <definedNames>
    <definedName name="_xlnm._FilterDatabase" localSheetId="0" hidden="1">'PDVD_parl-level data'!$A$1:$AD$1022</definedName>
    <definedName name="_xlnm.Print_Area" localSheetId="0">'PDVD_parl-level data'!$G$1:$L$426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46" i="6" l="1"/>
  <c r="F247" i="6"/>
  <c r="F248" i="6"/>
  <c r="F249" i="6"/>
  <c r="F250" i="6"/>
  <c r="AD3" i="6" l="1"/>
  <c r="AD14" i="6"/>
  <c r="AD15" i="6"/>
  <c r="AD16" i="6"/>
  <c r="AD17" i="6"/>
  <c r="AD18" i="6"/>
  <c r="AD19" i="6"/>
  <c r="AD20" i="6"/>
  <c r="AD21" i="6"/>
  <c r="AD22" i="6"/>
  <c r="AD23" i="6"/>
  <c r="AD24" i="6"/>
  <c r="AD25" i="6"/>
  <c r="AD26" i="6"/>
  <c r="AD27" i="6"/>
  <c r="AD28" i="6"/>
  <c r="AD29" i="6"/>
  <c r="AD30" i="6"/>
  <c r="AD31" i="6"/>
  <c r="AD32" i="6"/>
  <c r="AD33" i="6"/>
  <c r="AD34" i="6"/>
  <c r="AD35" i="6"/>
  <c r="AD36" i="6"/>
  <c r="AD37" i="6"/>
  <c r="AD38" i="6"/>
  <c r="AD39" i="6"/>
  <c r="AD40" i="6"/>
  <c r="AD41" i="6"/>
  <c r="AD42" i="6"/>
  <c r="AD43" i="6"/>
  <c r="AD44" i="6"/>
  <c r="AD45" i="6"/>
  <c r="AD46" i="6"/>
  <c r="AD47" i="6"/>
  <c r="AD48" i="6"/>
  <c r="AD49" i="6"/>
  <c r="AD50" i="6"/>
  <c r="AD51" i="6"/>
  <c r="AD52" i="6"/>
  <c r="AD53" i="6"/>
  <c r="AD54" i="6"/>
  <c r="AD55" i="6"/>
  <c r="AD56" i="6"/>
  <c r="AD57" i="6"/>
  <c r="AD58" i="6"/>
  <c r="AD59" i="6"/>
  <c r="AD60" i="6"/>
  <c r="AD61" i="6"/>
  <c r="AD62" i="6"/>
  <c r="AD63" i="6"/>
  <c r="AD64" i="6"/>
  <c r="AD65" i="6"/>
  <c r="AD66" i="6"/>
  <c r="AD67" i="6"/>
  <c r="AD68" i="6"/>
  <c r="AD69" i="6"/>
  <c r="AD70" i="6"/>
  <c r="AD71" i="6"/>
  <c r="AD72" i="6"/>
  <c r="AD73" i="6"/>
  <c r="AD74" i="6"/>
  <c r="AD75" i="6"/>
  <c r="AD76" i="6"/>
  <c r="AD77" i="6"/>
  <c r="AD78" i="6"/>
  <c r="AD79" i="6"/>
  <c r="AD80" i="6"/>
  <c r="AD81" i="6"/>
  <c r="AD82" i="6"/>
  <c r="AD83" i="6"/>
  <c r="AD84" i="6"/>
  <c r="AD85" i="6"/>
  <c r="AD86" i="6"/>
  <c r="AD87" i="6"/>
  <c r="AD88" i="6"/>
  <c r="AD89" i="6"/>
  <c r="AD90" i="6"/>
  <c r="AD91" i="6"/>
  <c r="AD92" i="6"/>
  <c r="AD93" i="6"/>
  <c r="AD94" i="6"/>
  <c r="AD95" i="6"/>
  <c r="AD96" i="6"/>
  <c r="AD97" i="6"/>
  <c r="AD98" i="6"/>
  <c r="AD99" i="6"/>
  <c r="AD100" i="6"/>
  <c r="AD101" i="6"/>
  <c r="AD102" i="6"/>
  <c r="AD103" i="6"/>
  <c r="AD104" i="6"/>
  <c r="AD105" i="6"/>
  <c r="AD106" i="6"/>
  <c r="AD107" i="6"/>
  <c r="AD108" i="6"/>
  <c r="AD109" i="6"/>
  <c r="AD110" i="6"/>
  <c r="AD111" i="6"/>
  <c r="AD112" i="6"/>
  <c r="AD113" i="6"/>
  <c r="AD114" i="6"/>
  <c r="AD115" i="6"/>
  <c r="AD116" i="6"/>
  <c r="AD117" i="6"/>
  <c r="AD118" i="6"/>
  <c r="AD119" i="6"/>
  <c r="AD120" i="6"/>
  <c r="AD121" i="6"/>
  <c r="AD122" i="6"/>
  <c r="AD123" i="6"/>
  <c r="AD124" i="6"/>
  <c r="AD125" i="6"/>
  <c r="AD126" i="6"/>
  <c r="AD127" i="6"/>
  <c r="AD128" i="6"/>
  <c r="AD129" i="6"/>
  <c r="AD130" i="6"/>
  <c r="AD131" i="6"/>
  <c r="AD132" i="6"/>
  <c r="AD133" i="6"/>
  <c r="AD134" i="6"/>
  <c r="AD135" i="6"/>
  <c r="AD136" i="6"/>
  <c r="AD137" i="6"/>
  <c r="AD138" i="6"/>
  <c r="AD139" i="6"/>
  <c r="AD140" i="6"/>
  <c r="AD141" i="6"/>
  <c r="AD142" i="6"/>
  <c r="AD143" i="6"/>
  <c r="AD144" i="6"/>
  <c r="AD145" i="6"/>
  <c r="AD146" i="6"/>
  <c r="AD147" i="6"/>
  <c r="AD148" i="6"/>
  <c r="AD149" i="6"/>
  <c r="AD150" i="6"/>
  <c r="AD151" i="6"/>
  <c r="AD152" i="6"/>
  <c r="AD153" i="6"/>
  <c r="AD154" i="6"/>
  <c r="AD155" i="6"/>
  <c r="AD156" i="6"/>
  <c r="AD157" i="6"/>
  <c r="AD158" i="6"/>
  <c r="AD159" i="6"/>
  <c r="AD160" i="6"/>
  <c r="AD161" i="6"/>
  <c r="AD162" i="6"/>
  <c r="AD163" i="6"/>
  <c r="AD164" i="6"/>
  <c r="AD165" i="6"/>
  <c r="AD166" i="6"/>
  <c r="AD167" i="6"/>
  <c r="AD168" i="6"/>
  <c r="AD169" i="6"/>
  <c r="AD170" i="6"/>
  <c r="AD171" i="6"/>
  <c r="AD172" i="6"/>
  <c r="AD173" i="6"/>
  <c r="AD174" i="6"/>
  <c r="AD175" i="6"/>
  <c r="AD176" i="6"/>
  <c r="AD177" i="6"/>
  <c r="AD178" i="6"/>
  <c r="AD179" i="6"/>
  <c r="AD180" i="6"/>
  <c r="AD181" i="6"/>
  <c r="AD182" i="6"/>
  <c r="AD183" i="6"/>
  <c r="AD184" i="6"/>
  <c r="AD185" i="6"/>
  <c r="AD186" i="6"/>
  <c r="AD187" i="6"/>
  <c r="AD188" i="6"/>
  <c r="AD189" i="6"/>
  <c r="AD190" i="6"/>
  <c r="AD191" i="6"/>
  <c r="AD192" i="6"/>
  <c r="AD193" i="6"/>
  <c r="AD194" i="6"/>
  <c r="AD195" i="6"/>
  <c r="AD196" i="6"/>
  <c r="AD197" i="6"/>
  <c r="AD198" i="6"/>
  <c r="AD199" i="6"/>
  <c r="AD200" i="6"/>
  <c r="AD201" i="6"/>
  <c r="AD202" i="6"/>
  <c r="AD203" i="6"/>
  <c r="AD204" i="6"/>
  <c r="AD205" i="6"/>
  <c r="AD206" i="6"/>
  <c r="AD207" i="6"/>
  <c r="AD208" i="6"/>
  <c r="AD209" i="6"/>
  <c r="AD210" i="6"/>
  <c r="AD211" i="6"/>
  <c r="AD212" i="6"/>
  <c r="AD213" i="6"/>
  <c r="AD214" i="6"/>
  <c r="AD215" i="6"/>
  <c r="AD216" i="6"/>
  <c r="AD217" i="6"/>
  <c r="AD218" i="6"/>
  <c r="AD219" i="6"/>
  <c r="AD220" i="6"/>
  <c r="AD221" i="6"/>
  <c r="AD222" i="6"/>
  <c r="AD223" i="6"/>
  <c r="AD224" i="6"/>
  <c r="AD225" i="6"/>
  <c r="AD226" i="6"/>
  <c r="AD227" i="6"/>
  <c r="AD228" i="6"/>
  <c r="AD229" i="6"/>
  <c r="AD230" i="6"/>
  <c r="AD916" i="6"/>
  <c r="AD917" i="6"/>
  <c r="AD918" i="6"/>
  <c r="AD919" i="6"/>
  <c r="AD920" i="6"/>
  <c r="AD921" i="6"/>
  <c r="AD922" i="6"/>
  <c r="AD923" i="6"/>
  <c r="AD924" i="6"/>
  <c r="AD925" i="6"/>
  <c r="AD926" i="6"/>
  <c r="AD927" i="6"/>
  <c r="AD928" i="6"/>
  <c r="AD929" i="6"/>
  <c r="AD930" i="6"/>
  <c r="AD931" i="6"/>
  <c r="AD932" i="6"/>
  <c r="AD933" i="6"/>
  <c r="AD934" i="6"/>
  <c r="AD935" i="6"/>
  <c r="AD936" i="6"/>
  <c r="AD937" i="6"/>
  <c r="AD938" i="6"/>
  <c r="AD939" i="6"/>
  <c r="AD231" i="6"/>
  <c r="AD232" i="6"/>
  <c r="AD233" i="6"/>
  <c r="AD234" i="6"/>
  <c r="AD235" i="6"/>
  <c r="AD236" i="6"/>
  <c r="AD237" i="6"/>
  <c r="AD238" i="6"/>
  <c r="AD239" i="6"/>
  <c r="AD240" i="6"/>
  <c r="AD241" i="6"/>
  <c r="AD242" i="6"/>
  <c r="AD243" i="6"/>
  <c r="AD244" i="6"/>
  <c r="AD245" i="6"/>
  <c r="AD251" i="6"/>
  <c r="AD252" i="6"/>
  <c r="AD253" i="6"/>
  <c r="AD254" i="6"/>
  <c r="AD255" i="6"/>
  <c r="AD256" i="6"/>
  <c r="AD257" i="6"/>
  <c r="AD258" i="6"/>
  <c r="AD259" i="6"/>
  <c r="AD260" i="6"/>
  <c r="AD261" i="6"/>
  <c r="AD262" i="6"/>
  <c r="AD263" i="6"/>
  <c r="AD264" i="6"/>
  <c r="AD265" i="6"/>
  <c r="AD266" i="6"/>
  <c r="AD267" i="6"/>
  <c r="AD268" i="6"/>
  <c r="AD269" i="6"/>
  <c r="AD270" i="6"/>
  <c r="AD271" i="6"/>
  <c r="AD272" i="6"/>
  <c r="AD273" i="6"/>
  <c r="AD274" i="6"/>
  <c r="AD275" i="6"/>
  <c r="AD276" i="6"/>
  <c r="AD277" i="6"/>
  <c r="AD278" i="6"/>
  <c r="AD279" i="6"/>
  <c r="AD280" i="6"/>
  <c r="AD281" i="6"/>
  <c r="AD282" i="6"/>
  <c r="AD283" i="6"/>
  <c r="AD284" i="6"/>
  <c r="AD285" i="6"/>
  <c r="AD286" i="6"/>
  <c r="AD287" i="6"/>
  <c r="AD288" i="6"/>
  <c r="AD289" i="6"/>
  <c r="AD290" i="6"/>
  <c r="AD291" i="6"/>
  <c r="AD292" i="6"/>
  <c r="AD293" i="6"/>
  <c r="AD294" i="6"/>
  <c r="AD295" i="6"/>
  <c r="AD296" i="6"/>
  <c r="AD297" i="6"/>
  <c r="AD298" i="6"/>
  <c r="AD299" i="6"/>
  <c r="AD300" i="6"/>
  <c r="AD301" i="6"/>
  <c r="AD302" i="6"/>
  <c r="AD303" i="6"/>
  <c r="AD304" i="6"/>
  <c r="AD305" i="6"/>
  <c r="AD306" i="6"/>
  <c r="AD307" i="6"/>
  <c r="AD308" i="6"/>
  <c r="AD309" i="6"/>
  <c r="AD310" i="6"/>
  <c r="AD311" i="6"/>
  <c r="AD312" i="6"/>
  <c r="AD313" i="6"/>
  <c r="AD314" i="6"/>
  <c r="AD315" i="6"/>
  <c r="AD316" i="6"/>
  <c r="AD317" i="6"/>
  <c r="AD318" i="6"/>
  <c r="AD319" i="6"/>
  <c r="AD320" i="6"/>
  <c r="AD321" i="6"/>
  <c r="AD322" i="6"/>
  <c r="AD323" i="6"/>
  <c r="AD324" i="6"/>
  <c r="AD325" i="6"/>
  <c r="AD326" i="6"/>
  <c r="AD327" i="6"/>
  <c r="AD328" i="6"/>
  <c r="AD329" i="6"/>
  <c r="AD330" i="6"/>
  <c r="AD331" i="6"/>
  <c r="AD332" i="6"/>
  <c r="AD333" i="6"/>
  <c r="AD334" i="6"/>
  <c r="AD335" i="6"/>
  <c r="AD336" i="6"/>
  <c r="AD337" i="6"/>
  <c r="AD338" i="6"/>
  <c r="AD339" i="6"/>
  <c r="AD340" i="6"/>
  <c r="AD341" i="6"/>
  <c r="AD342" i="6"/>
  <c r="AD343" i="6"/>
  <c r="AD344" i="6"/>
  <c r="AD345" i="6"/>
  <c r="AD346" i="6"/>
  <c r="AD347" i="6"/>
  <c r="AD348" i="6"/>
  <c r="AD349" i="6"/>
  <c r="AD350" i="6"/>
  <c r="AD351" i="6"/>
  <c r="AD352" i="6"/>
  <c r="AD353" i="6"/>
  <c r="AD354" i="6"/>
  <c r="AD355" i="6"/>
  <c r="AD356" i="6"/>
  <c r="AD357" i="6"/>
  <c r="AD358" i="6"/>
  <c r="AD359" i="6"/>
  <c r="AD360" i="6"/>
  <c r="AD361" i="6"/>
  <c r="AD362" i="6"/>
  <c r="AD363" i="6"/>
  <c r="AD364" i="6"/>
  <c r="AD365" i="6"/>
  <c r="AD366" i="6"/>
  <c r="AD367" i="6"/>
  <c r="AD368" i="6"/>
  <c r="AD369" i="6"/>
  <c r="AD370" i="6"/>
  <c r="AD371" i="6"/>
  <c r="AD372" i="6"/>
  <c r="AD373" i="6"/>
  <c r="AD374" i="6"/>
  <c r="AD375" i="6"/>
  <c r="AD376" i="6"/>
  <c r="AD377" i="6"/>
  <c r="AD378" i="6"/>
  <c r="AD379" i="6"/>
  <c r="AD380" i="6"/>
  <c r="AD381" i="6"/>
  <c r="AD382" i="6"/>
  <c r="AD383" i="6"/>
  <c r="AD384" i="6"/>
  <c r="AD385" i="6"/>
  <c r="AD386" i="6"/>
  <c r="AD387" i="6"/>
  <c r="AD388" i="6"/>
  <c r="AD389" i="6"/>
  <c r="AD390" i="6"/>
  <c r="AD391" i="6"/>
  <c r="AD392" i="6"/>
  <c r="AD393" i="6"/>
  <c r="AD394" i="6"/>
  <c r="AD395" i="6"/>
  <c r="AD396" i="6"/>
  <c r="AD397" i="6"/>
  <c r="AD398" i="6"/>
  <c r="AD399" i="6"/>
  <c r="AD400" i="6"/>
  <c r="AD401" i="6"/>
  <c r="AD402" i="6"/>
  <c r="AD403" i="6"/>
  <c r="AD404" i="6"/>
  <c r="AD405" i="6"/>
  <c r="AD406" i="6"/>
  <c r="AD407" i="6"/>
  <c r="AD408" i="6"/>
  <c r="AD409" i="6"/>
  <c r="AD410" i="6"/>
  <c r="AD411" i="6"/>
  <c r="AD412" i="6"/>
  <c r="AD413" i="6"/>
  <c r="AD414" i="6"/>
  <c r="AD415" i="6"/>
  <c r="AD416" i="6"/>
  <c r="AD417" i="6"/>
  <c r="AD418" i="6"/>
  <c r="AD419" i="6"/>
  <c r="AD420" i="6"/>
  <c r="AD421" i="6"/>
  <c r="AD422" i="6"/>
  <c r="AD423" i="6"/>
  <c r="AD424" i="6"/>
  <c r="AD425" i="6"/>
  <c r="AD426" i="6"/>
  <c r="AD427" i="6"/>
  <c r="AD428" i="6"/>
  <c r="AD429" i="6"/>
  <c r="AD430" i="6"/>
  <c r="AD431" i="6"/>
  <c r="AD432" i="6"/>
  <c r="AD433" i="6"/>
  <c r="AD434" i="6"/>
  <c r="AD435" i="6"/>
  <c r="AD436" i="6"/>
  <c r="AD437" i="6"/>
  <c r="AD438" i="6"/>
  <c r="AD439" i="6"/>
  <c r="AD440" i="6"/>
  <c r="AD441" i="6"/>
  <c r="AD442" i="6"/>
  <c r="AD443" i="6"/>
  <c r="AD444" i="6"/>
  <c r="AD445" i="6"/>
  <c r="AD446" i="6"/>
  <c r="AD447" i="6"/>
  <c r="AD448" i="6"/>
  <c r="AD449" i="6"/>
  <c r="AD450" i="6"/>
  <c r="AD451" i="6"/>
  <c r="AD452" i="6"/>
  <c r="AD453" i="6"/>
  <c r="AD454" i="6"/>
  <c r="AD455" i="6"/>
  <c r="AD456" i="6"/>
  <c r="AD468" i="6"/>
  <c r="AD469" i="6"/>
  <c r="AD470" i="6"/>
  <c r="AD471" i="6"/>
  <c r="AD472" i="6"/>
  <c r="AD473" i="6"/>
  <c r="AD474" i="6"/>
  <c r="AD475" i="6"/>
  <c r="AD476" i="6"/>
  <c r="AD477" i="6"/>
  <c r="AD478" i="6"/>
  <c r="AD479" i="6"/>
  <c r="AD480" i="6"/>
  <c r="AD481" i="6"/>
  <c r="AD482" i="6"/>
  <c r="AD483" i="6"/>
  <c r="AD484" i="6"/>
  <c r="AD485" i="6"/>
  <c r="AD486" i="6"/>
  <c r="AD487" i="6"/>
  <c r="AD488" i="6"/>
  <c r="AD489" i="6"/>
  <c r="AD490" i="6"/>
  <c r="AD491" i="6"/>
  <c r="AD492" i="6"/>
  <c r="AD493" i="6"/>
  <c r="AD494" i="6"/>
  <c r="AD495" i="6"/>
  <c r="AD496" i="6"/>
  <c r="AD497" i="6"/>
  <c r="AD498" i="6"/>
  <c r="AD499" i="6"/>
  <c r="AD500" i="6"/>
  <c r="AD501" i="6"/>
  <c r="AD502" i="6"/>
  <c r="AD503" i="6"/>
  <c r="AD504" i="6"/>
  <c r="AD505" i="6"/>
  <c r="AD506" i="6"/>
  <c r="AD507" i="6"/>
  <c r="AD508" i="6"/>
  <c r="AD509" i="6"/>
  <c r="AD510" i="6"/>
  <c r="AD511" i="6"/>
  <c r="AD512" i="6"/>
  <c r="AD513" i="6"/>
  <c r="AD514" i="6"/>
  <c r="AD515" i="6"/>
  <c r="AD516" i="6"/>
  <c r="AD517" i="6"/>
  <c r="AD518" i="6"/>
  <c r="AD519" i="6"/>
  <c r="AD520" i="6"/>
  <c r="AD521" i="6"/>
  <c r="AD522" i="6"/>
  <c r="AD523" i="6"/>
  <c r="AD524" i="6"/>
  <c r="AD525" i="6"/>
  <c r="AD526" i="6"/>
  <c r="AD527" i="6"/>
  <c r="AD528" i="6"/>
  <c r="AD529" i="6"/>
  <c r="AD530" i="6"/>
  <c r="AD531" i="6"/>
  <c r="AD532" i="6"/>
  <c r="AD533" i="6"/>
  <c r="AD534" i="6"/>
  <c r="AD535" i="6"/>
  <c r="AD536" i="6"/>
  <c r="AD537" i="6"/>
  <c r="AD538" i="6"/>
  <c r="AD539" i="6"/>
  <c r="AD540" i="6"/>
  <c r="AD541" i="6"/>
  <c r="AD542" i="6"/>
  <c r="AD543" i="6"/>
  <c r="AD544" i="6"/>
  <c r="AD545" i="6"/>
  <c r="AD546" i="6"/>
  <c r="AD547" i="6"/>
  <c r="AD548" i="6"/>
  <c r="AD549" i="6"/>
  <c r="AD550" i="6"/>
  <c r="AD551" i="6"/>
  <c r="AD552" i="6"/>
  <c r="AD553" i="6"/>
  <c r="AD554" i="6"/>
  <c r="AD555" i="6"/>
  <c r="AD556" i="6"/>
  <c r="AD557" i="6"/>
  <c r="AD558" i="6"/>
  <c r="AD559" i="6"/>
  <c r="AD560" i="6"/>
  <c r="AD561" i="6"/>
  <c r="AD562" i="6"/>
  <c r="AD563" i="6"/>
  <c r="AD564" i="6"/>
  <c r="AD565" i="6"/>
  <c r="AD566" i="6"/>
  <c r="AD567" i="6"/>
  <c r="AD568" i="6"/>
  <c r="AD569" i="6"/>
  <c r="AD570" i="6"/>
  <c r="AD571" i="6"/>
  <c r="AD572" i="6"/>
  <c r="AD573" i="6"/>
  <c r="AD574" i="6"/>
  <c r="AD575" i="6"/>
  <c r="AD576" i="6"/>
  <c r="AD577" i="6"/>
  <c r="AD578" i="6"/>
  <c r="AD579" i="6"/>
  <c r="AD580" i="6"/>
  <c r="AD581" i="6"/>
  <c r="AD582" i="6"/>
  <c r="AD583" i="6"/>
  <c r="AD584" i="6"/>
  <c r="AD585" i="6"/>
  <c r="AD586" i="6"/>
  <c r="AD587" i="6"/>
  <c r="AD588" i="6"/>
  <c r="AD589" i="6"/>
  <c r="AD590" i="6"/>
  <c r="AD591" i="6"/>
  <c r="AD592" i="6"/>
  <c r="AD593" i="6"/>
  <c r="AD594" i="6"/>
  <c r="AD595" i="6"/>
  <c r="AD596" i="6"/>
  <c r="AD597" i="6"/>
  <c r="AD598" i="6"/>
  <c r="AD599" i="6"/>
  <c r="AD600" i="6"/>
  <c r="AD601" i="6"/>
  <c r="AD602" i="6"/>
  <c r="AD603" i="6"/>
  <c r="AD604" i="6"/>
  <c r="AD605" i="6"/>
  <c r="AD606" i="6"/>
  <c r="AD607" i="6"/>
  <c r="AD608" i="6"/>
  <c r="AD609" i="6"/>
  <c r="AD610" i="6"/>
  <c r="AD611" i="6"/>
  <c r="AD612" i="6"/>
  <c r="AD613" i="6"/>
  <c r="AD614" i="6"/>
  <c r="AD615" i="6"/>
  <c r="AD616" i="6"/>
  <c r="AD617" i="6"/>
  <c r="AD618" i="6"/>
  <c r="AD619" i="6"/>
  <c r="AD620" i="6"/>
  <c r="AD621" i="6"/>
  <c r="AD622" i="6"/>
  <c r="AD623" i="6"/>
  <c r="AD624" i="6"/>
  <c r="AD625" i="6"/>
  <c r="AD626" i="6"/>
  <c r="AD627" i="6"/>
  <c r="AD628" i="6"/>
  <c r="AD629" i="6"/>
  <c r="AD630" i="6"/>
  <c r="AD631" i="6"/>
  <c r="AD632" i="6"/>
  <c r="AD633" i="6"/>
  <c r="AD634" i="6"/>
  <c r="AD635" i="6"/>
  <c r="AD636" i="6"/>
  <c r="AD637" i="6"/>
  <c r="AD638" i="6"/>
  <c r="AD639" i="6"/>
  <c r="AD640" i="6"/>
  <c r="AD641" i="6"/>
  <c r="AD642" i="6"/>
  <c r="AD643" i="6"/>
  <c r="AD644" i="6"/>
  <c r="AD645" i="6"/>
  <c r="AD646" i="6"/>
  <c r="AD647" i="6"/>
  <c r="AD648" i="6"/>
  <c r="AD649" i="6"/>
  <c r="AD650" i="6"/>
  <c r="AD651" i="6"/>
  <c r="AD652" i="6"/>
  <c r="AD653" i="6"/>
  <c r="AD654" i="6"/>
  <c r="AD655" i="6"/>
  <c r="AD656" i="6"/>
  <c r="AD657" i="6"/>
  <c r="AD658" i="6"/>
  <c r="AD659" i="6"/>
  <c r="AD660" i="6"/>
  <c r="AD661" i="6"/>
  <c r="AD662" i="6"/>
  <c r="AD663" i="6"/>
  <c r="AD664" i="6"/>
  <c r="AD665" i="6"/>
  <c r="AD666" i="6"/>
  <c r="AD667" i="6"/>
  <c r="AD668" i="6"/>
  <c r="AD669" i="6"/>
  <c r="AD670" i="6"/>
  <c r="AD671" i="6"/>
  <c r="AD672" i="6"/>
  <c r="AD673" i="6"/>
  <c r="AD674" i="6"/>
  <c r="AD675" i="6"/>
  <c r="AD676" i="6"/>
  <c r="AD677" i="6"/>
  <c r="AD678" i="6"/>
  <c r="AD679" i="6"/>
  <c r="AD680" i="6"/>
  <c r="AD681" i="6"/>
  <c r="AD682" i="6"/>
  <c r="AD683" i="6"/>
  <c r="AD684" i="6"/>
  <c r="AD685" i="6"/>
  <c r="AD686" i="6"/>
  <c r="AD687" i="6"/>
  <c r="AD688" i="6"/>
  <c r="AD689" i="6"/>
  <c r="AD690" i="6"/>
  <c r="AD691" i="6"/>
  <c r="AD692" i="6"/>
  <c r="AD693" i="6"/>
  <c r="AD694" i="6"/>
  <c r="AD695" i="6"/>
  <c r="AD696" i="6"/>
  <c r="AD697" i="6"/>
  <c r="AD698" i="6"/>
  <c r="AD699" i="6"/>
  <c r="AD700" i="6"/>
  <c r="AD701" i="6"/>
  <c r="AD702" i="6"/>
  <c r="AD703" i="6"/>
  <c r="AD704" i="6"/>
  <c r="AD705" i="6"/>
  <c r="AD706" i="6"/>
  <c r="AD707" i="6"/>
  <c r="AD708" i="6"/>
  <c r="AD709" i="6"/>
  <c r="AD710" i="6"/>
  <c r="AD711" i="6"/>
  <c r="AD712" i="6"/>
  <c r="AD713" i="6"/>
  <c r="AD714" i="6"/>
  <c r="AD715" i="6"/>
  <c r="AD716" i="6"/>
  <c r="AD717" i="6"/>
  <c r="AD718" i="6"/>
  <c r="AD719" i="6"/>
  <c r="AD720" i="6"/>
  <c r="AD721" i="6"/>
  <c r="AD722" i="6"/>
  <c r="AD723" i="6"/>
  <c r="AD724" i="6"/>
  <c r="AD725" i="6"/>
  <c r="AD726" i="6"/>
  <c r="AD727" i="6"/>
  <c r="AD728" i="6"/>
  <c r="AD729" i="6"/>
  <c r="AD730" i="6"/>
  <c r="AD731" i="6"/>
  <c r="AD732" i="6"/>
  <c r="AD733" i="6"/>
  <c r="AD734" i="6"/>
  <c r="AD735" i="6"/>
  <c r="AD736" i="6"/>
  <c r="AD737" i="6"/>
  <c r="AD738" i="6"/>
  <c r="AD739" i="6"/>
  <c r="AD740" i="6"/>
  <c r="AD741" i="6"/>
  <c r="AD742" i="6"/>
  <c r="AD743" i="6"/>
  <c r="AD744" i="6"/>
  <c r="AD745" i="6"/>
  <c r="AD746" i="6"/>
  <c r="AD747" i="6"/>
  <c r="AD748" i="6"/>
  <c r="AD749" i="6"/>
  <c r="AD750" i="6"/>
  <c r="AD751" i="6"/>
  <c r="AD752" i="6"/>
  <c r="AD753" i="6"/>
  <c r="AD754" i="6"/>
  <c r="AD755" i="6"/>
  <c r="AD756" i="6"/>
  <c r="AD757" i="6"/>
  <c r="AD758" i="6"/>
  <c r="AD759" i="6"/>
  <c r="AD760" i="6"/>
  <c r="AD761" i="6"/>
  <c r="AD762" i="6"/>
  <c r="AD763" i="6"/>
  <c r="AD764" i="6"/>
  <c r="AD765" i="6"/>
  <c r="AD766" i="6"/>
  <c r="AD767" i="6"/>
  <c r="AD768" i="6"/>
  <c r="AD769" i="6"/>
  <c r="AD770" i="6"/>
  <c r="AD771" i="6"/>
  <c r="AD772" i="6"/>
  <c r="AD773" i="6"/>
  <c r="AD774" i="6"/>
  <c r="AD775" i="6"/>
  <c r="AD776" i="6"/>
  <c r="AD777" i="6"/>
  <c r="AD778" i="6"/>
  <c r="AD779" i="6"/>
  <c r="AD780" i="6"/>
  <c r="AD781" i="6"/>
  <c r="AD782" i="6"/>
  <c r="AD783" i="6"/>
  <c r="AD784" i="6"/>
  <c r="AD785" i="6"/>
  <c r="AD786" i="6"/>
  <c r="AD787" i="6"/>
  <c r="AD788" i="6"/>
  <c r="AD789" i="6"/>
  <c r="AD790" i="6"/>
  <c r="AD791" i="6"/>
  <c r="AD792" i="6"/>
  <c r="AD793" i="6"/>
  <c r="AD794" i="6"/>
  <c r="AD795" i="6"/>
  <c r="AD796" i="6"/>
  <c r="AD797" i="6"/>
  <c r="AD798" i="6"/>
  <c r="AD799" i="6"/>
  <c r="AD800" i="6"/>
  <c r="AD801" i="6"/>
  <c r="AD802" i="6"/>
  <c r="AD803" i="6"/>
  <c r="AD804" i="6"/>
  <c r="AD805" i="6"/>
  <c r="AD806" i="6"/>
  <c r="AD807" i="6"/>
  <c r="AD808" i="6"/>
  <c r="AD809" i="6"/>
  <c r="AD810" i="6"/>
  <c r="AD811" i="6"/>
  <c r="AD812" i="6"/>
  <c r="AD813" i="6"/>
  <c r="AD814" i="6"/>
  <c r="AD815" i="6"/>
  <c r="AD816" i="6"/>
  <c r="AD817" i="6"/>
  <c r="AD818" i="6"/>
  <c r="AD819" i="6"/>
  <c r="AD820" i="6"/>
  <c r="AD821" i="6"/>
  <c r="AD822" i="6"/>
  <c r="AD823" i="6"/>
  <c r="AD824" i="6"/>
  <c r="AD825" i="6"/>
  <c r="AD827" i="6"/>
  <c r="AD830" i="6"/>
  <c r="AD846" i="6"/>
  <c r="AD854" i="6"/>
  <c r="AD856" i="6"/>
  <c r="AD858" i="6"/>
  <c r="AD859" i="6"/>
  <c r="AD861" i="6"/>
  <c r="AD862" i="6"/>
  <c r="AD864" i="6"/>
  <c r="AD866" i="6"/>
  <c r="AD868" i="6"/>
  <c r="AD870" i="6"/>
  <c r="AD871" i="6"/>
  <c r="AD872" i="6"/>
  <c r="AD873" i="6"/>
  <c r="AD874" i="6"/>
  <c r="AD875" i="6"/>
  <c r="AD876" i="6"/>
  <c r="AD877" i="6"/>
  <c r="AD878" i="6"/>
  <c r="AD879" i="6"/>
  <c r="AD880" i="6"/>
  <c r="AD881" i="6"/>
  <c r="AD882" i="6"/>
  <c r="AD883" i="6"/>
  <c r="AD884" i="6"/>
  <c r="AD885" i="6"/>
  <c r="AD886" i="6"/>
  <c r="AD887" i="6"/>
  <c r="AD888" i="6"/>
  <c r="AD889" i="6"/>
  <c r="AD890" i="6"/>
  <c r="AD891" i="6"/>
  <c r="AD892" i="6"/>
  <c r="AD893" i="6"/>
  <c r="AD894" i="6"/>
  <c r="AD895" i="6"/>
  <c r="AD896" i="6"/>
  <c r="AD897" i="6"/>
  <c r="AD898" i="6"/>
  <c r="AD899" i="6"/>
  <c r="AD900" i="6"/>
  <c r="AD901" i="6"/>
  <c r="AD902" i="6"/>
  <c r="AD903" i="6"/>
  <c r="AD904" i="6"/>
  <c r="AD905" i="6"/>
  <c r="AD906" i="6"/>
  <c r="AD907" i="6"/>
  <c r="AD908" i="6"/>
  <c r="AD909" i="6"/>
  <c r="AD910" i="6"/>
  <c r="AD911" i="6"/>
  <c r="AD912" i="6"/>
  <c r="AD913" i="6"/>
  <c r="AD914" i="6"/>
  <c r="AD915" i="6"/>
  <c r="AD940" i="6"/>
  <c r="AD941" i="6"/>
  <c r="AD942" i="6"/>
  <c r="AD943" i="6"/>
  <c r="AD944" i="6"/>
  <c r="AD945" i="6"/>
  <c r="AD947" i="6"/>
  <c r="AD948" i="6"/>
  <c r="AD949" i="6"/>
  <c r="AD950" i="6"/>
  <c r="AD951" i="6"/>
  <c r="AD952" i="6"/>
  <c r="AD953" i="6"/>
  <c r="AD955" i="6"/>
  <c r="AD968" i="6"/>
  <c r="AD972" i="6"/>
  <c r="AD973" i="6"/>
  <c r="AD974" i="6"/>
  <c r="AD975" i="6"/>
  <c r="AD976" i="6"/>
  <c r="AD983" i="6"/>
  <c r="AD984" i="6"/>
  <c r="AD985" i="6"/>
  <c r="AD986" i="6"/>
  <c r="AD987" i="6"/>
  <c r="AD988" i="6"/>
  <c r="AD989" i="6"/>
  <c r="AD990" i="6"/>
  <c r="AD991" i="6"/>
  <c r="AD992" i="6"/>
  <c r="AD993" i="6"/>
  <c r="AD994" i="6"/>
  <c r="AD995" i="6"/>
  <c r="AD996" i="6"/>
  <c r="AD997" i="6"/>
  <c r="AD998" i="6"/>
  <c r="AD999" i="6"/>
  <c r="AD1000" i="6"/>
  <c r="AD1001" i="6"/>
  <c r="AD1002" i="6"/>
  <c r="AD1003" i="6"/>
  <c r="AD1004" i="6"/>
  <c r="AD1005" i="6"/>
  <c r="AD1006" i="6"/>
  <c r="AD1007" i="6"/>
  <c r="AD1008" i="6"/>
  <c r="AD1009" i="6"/>
  <c r="AD1010" i="6"/>
  <c r="AD1011" i="6"/>
  <c r="AD1012" i="6"/>
  <c r="AD1013" i="6"/>
  <c r="AD1014" i="6"/>
  <c r="AD1015" i="6"/>
  <c r="AD1016" i="6"/>
  <c r="AD1017" i="6"/>
  <c r="AD1018" i="6"/>
  <c r="AD1019" i="6"/>
  <c r="AD1020" i="6"/>
  <c r="AD1022" i="6"/>
  <c r="AD1021" i="6"/>
  <c r="AD4" i="6"/>
  <c r="AD5" i="6"/>
  <c r="AD6" i="6"/>
  <c r="AD7" i="6"/>
  <c r="AD8" i="6"/>
  <c r="AD9" i="6"/>
  <c r="AD10" i="6"/>
  <c r="AD11" i="6"/>
  <c r="AD12" i="6"/>
  <c r="AD13" i="6"/>
  <c r="Z91" i="6" l="1"/>
  <c r="AB91" i="6" s="1"/>
  <c r="Z87" i="6"/>
  <c r="AB87" i="6" s="1"/>
  <c r="AA91" i="6" l="1"/>
  <c r="AC91" i="6" s="1"/>
  <c r="AA87" i="6"/>
  <c r="AC87" i="6" s="1"/>
  <c r="Z73" i="6" l="1"/>
  <c r="AA73" i="6" s="1"/>
  <c r="AC73" i="6" s="1"/>
  <c r="Z74" i="6"/>
  <c r="AA74" i="6" s="1"/>
  <c r="AC74" i="6" s="1"/>
  <c r="F91" i="6"/>
  <c r="F87" i="6"/>
  <c r="F74" i="6"/>
  <c r="F73" i="6"/>
  <c r="AB74" i="6" l="1"/>
  <c r="AB73" i="6"/>
  <c r="Z230" i="6" l="1"/>
  <c r="AB230" i="6" s="1"/>
  <c r="F230" i="6"/>
  <c r="Z229" i="6"/>
  <c r="AB229" i="6" s="1"/>
  <c r="F229" i="6"/>
  <c r="Z228" i="6"/>
  <c r="AB228" i="6" s="1"/>
  <c r="F228" i="6"/>
  <c r="Z226" i="6"/>
  <c r="AA226" i="6" s="1"/>
  <c r="AC226" i="6" s="1"/>
  <c r="F226" i="6"/>
  <c r="Z227" i="6"/>
  <c r="AB227" i="6" s="1"/>
  <c r="F227" i="6"/>
  <c r="Z225" i="6"/>
  <c r="AA225" i="6" s="1"/>
  <c r="AC225" i="6" s="1"/>
  <c r="F225" i="6"/>
  <c r="Z224" i="6"/>
  <c r="AB224" i="6" s="1"/>
  <c r="F224" i="6"/>
  <c r="Z223" i="6"/>
  <c r="AB223" i="6" s="1"/>
  <c r="F223" i="6"/>
  <c r="Z222" i="6"/>
  <c r="AB222" i="6" s="1"/>
  <c r="F222" i="6"/>
  <c r="Z221" i="6"/>
  <c r="AB221" i="6" s="1"/>
  <c r="F221" i="6"/>
  <c r="Z220" i="6"/>
  <c r="AB220" i="6" s="1"/>
  <c r="F220" i="6"/>
  <c r="Z219" i="6"/>
  <c r="AA219" i="6" s="1"/>
  <c r="AC219" i="6" s="1"/>
  <c r="F219" i="6"/>
  <c r="Z218" i="6"/>
  <c r="AA218" i="6" s="1"/>
  <c r="AC218" i="6" s="1"/>
  <c r="F218" i="6"/>
  <c r="Z217" i="6"/>
  <c r="AA217" i="6" s="1"/>
  <c r="AC217" i="6" s="1"/>
  <c r="F217" i="6"/>
  <c r="Z216" i="6"/>
  <c r="AB216" i="6" s="1"/>
  <c r="F216" i="6"/>
  <c r="Z215" i="6"/>
  <c r="AA215" i="6" s="1"/>
  <c r="AC215" i="6" s="1"/>
  <c r="F215" i="6"/>
  <c r="Z214" i="6"/>
  <c r="AA214" i="6" s="1"/>
  <c r="AC214" i="6" s="1"/>
  <c r="F214" i="6"/>
  <c r="Z213" i="6"/>
  <c r="AB213" i="6" s="1"/>
  <c r="F213" i="6"/>
  <c r="Z212" i="6"/>
  <c r="AB212" i="6" s="1"/>
  <c r="F212" i="6"/>
  <c r="Z211" i="6"/>
  <c r="AA211" i="6" s="1"/>
  <c r="AC211" i="6" s="1"/>
  <c r="Z210" i="6"/>
  <c r="AB210" i="6" s="1"/>
  <c r="F210" i="6"/>
  <c r="Z209" i="6"/>
  <c r="AB209" i="6" s="1"/>
  <c r="F209" i="6"/>
  <c r="Z208" i="6"/>
  <c r="AB208" i="6" s="1"/>
  <c r="F208" i="6"/>
  <c r="Z206" i="6"/>
  <c r="AB206" i="6" s="1"/>
  <c r="Z205" i="6"/>
  <c r="AB205" i="6" s="1"/>
  <c r="Z207" i="6"/>
  <c r="AB207" i="6" s="1"/>
  <c r="Z204" i="6"/>
  <c r="AB204" i="6" s="1"/>
  <c r="F204" i="6"/>
  <c r="Z202" i="6"/>
  <c r="AB202" i="6" s="1"/>
  <c r="F202" i="6"/>
  <c r="Z203" i="6"/>
  <c r="AA203" i="6" s="1"/>
  <c r="AC203" i="6" s="1"/>
  <c r="F203" i="6"/>
  <c r="Z201" i="6"/>
  <c r="AB201" i="6" s="1"/>
  <c r="AC201" i="6" s="1"/>
  <c r="Z200" i="6"/>
  <c r="AA200" i="6" s="1"/>
  <c r="AC200" i="6" s="1"/>
  <c r="F200" i="6"/>
  <c r="Z199" i="6"/>
  <c r="AB199" i="6" s="1"/>
  <c r="F199" i="6"/>
  <c r="Z198" i="6"/>
  <c r="AB198" i="6" s="1"/>
  <c r="F198" i="6"/>
  <c r="Z197" i="6"/>
  <c r="AA197" i="6" s="1"/>
  <c r="AC197" i="6" s="1"/>
  <c r="F197" i="6"/>
  <c r="Z196" i="6"/>
  <c r="AB196" i="6" s="1"/>
  <c r="F196" i="6"/>
  <c r="Z195" i="6"/>
  <c r="AB195" i="6" s="1"/>
  <c r="F195" i="6"/>
  <c r="Z193" i="6"/>
  <c r="AA193" i="6" s="1"/>
  <c r="AC193" i="6" s="1"/>
  <c r="F193" i="6"/>
  <c r="Z194" i="6"/>
  <c r="AA194" i="6" s="1"/>
  <c r="AC194" i="6" s="1"/>
  <c r="F194" i="6"/>
  <c r="Z191" i="6"/>
  <c r="AA191" i="6" s="1"/>
  <c r="AC191" i="6" s="1"/>
  <c r="F191" i="6"/>
  <c r="Z192" i="6"/>
  <c r="AB192" i="6" s="1"/>
  <c r="F192" i="6"/>
  <c r="Z189" i="6"/>
  <c r="AA189" i="6" s="1"/>
  <c r="AC189" i="6" s="1"/>
  <c r="F189" i="6"/>
  <c r="Z190" i="6"/>
  <c r="AB190" i="6" s="1"/>
  <c r="F190" i="6"/>
  <c r="Z188" i="6"/>
  <c r="AB188" i="6" s="1"/>
  <c r="F188" i="6"/>
  <c r="Z187" i="6"/>
  <c r="AB187" i="6" s="1"/>
  <c r="F187" i="6"/>
  <c r="Z186" i="6"/>
  <c r="AA186" i="6" s="1"/>
  <c r="AC186" i="6" s="1"/>
  <c r="F186" i="6"/>
  <c r="Z185" i="6"/>
  <c r="AA185" i="6" s="1"/>
  <c r="AC185" i="6" s="1"/>
  <c r="F185" i="6"/>
  <c r="Z184" i="6"/>
  <c r="AA184" i="6" s="1"/>
  <c r="AC184" i="6" s="1"/>
  <c r="F184" i="6"/>
  <c r="Z183" i="6"/>
  <c r="AB183" i="6" s="1"/>
  <c r="F183" i="6"/>
  <c r="Z182" i="6"/>
  <c r="AB182" i="6" s="1"/>
  <c r="F182" i="6"/>
  <c r="Z181" i="6"/>
  <c r="AA181" i="6" s="1"/>
  <c r="AC181" i="6" s="1"/>
  <c r="F181" i="6"/>
  <c r="Z180" i="6"/>
  <c r="AB180" i="6" s="1"/>
  <c r="F180" i="6"/>
  <c r="Z179" i="6"/>
  <c r="AB179" i="6" s="1"/>
  <c r="F179" i="6"/>
  <c r="Z178" i="6"/>
  <c r="AA178" i="6" s="1"/>
  <c r="AC178" i="6" s="1"/>
  <c r="F178" i="6"/>
  <c r="Z177" i="6"/>
  <c r="AA177" i="6" s="1"/>
  <c r="AC177" i="6" s="1"/>
  <c r="F177" i="6"/>
  <c r="Z176" i="6"/>
  <c r="AA176" i="6" s="1"/>
  <c r="AC176" i="6" s="1"/>
  <c r="F176" i="6"/>
  <c r="Z175" i="6"/>
  <c r="AB175" i="6" s="1"/>
  <c r="F175" i="6"/>
  <c r="Z174" i="6"/>
  <c r="AB174" i="6" s="1"/>
  <c r="F174" i="6"/>
  <c r="Z173" i="6"/>
  <c r="AA173" i="6" s="1"/>
  <c r="AC173" i="6" s="1"/>
  <c r="F173" i="6"/>
  <c r="Z172" i="6"/>
  <c r="AB172" i="6" s="1"/>
  <c r="F172" i="6"/>
  <c r="Z171" i="6"/>
  <c r="AB171" i="6" s="1"/>
  <c r="F171" i="6"/>
  <c r="Z170" i="6"/>
  <c r="AA170" i="6" s="1"/>
  <c r="AC170" i="6" s="1"/>
  <c r="F170" i="6"/>
  <c r="Z169" i="6"/>
  <c r="AA169" i="6" s="1"/>
  <c r="AC169" i="6" s="1"/>
  <c r="F169" i="6"/>
  <c r="Z168" i="6"/>
  <c r="AA168" i="6" s="1"/>
  <c r="AC168" i="6" s="1"/>
  <c r="F168" i="6"/>
  <c r="Z167" i="6"/>
  <c r="AB167" i="6" s="1"/>
  <c r="F167" i="6"/>
  <c r="Z166" i="6"/>
  <c r="AB166" i="6" s="1"/>
  <c r="F166" i="6"/>
  <c r="Z165" i="6"/>
  <c r="AB165" i="6" s="1"/>
  <c r="F165" i="6"/>
  <c r="Z164" i="6"/>
  <c r="AB164" i="6" s="1"/>
  <c r="F164" i="6"/>
  <c r="Z163" i="6"/>
  <c r="AB163" i="6" s="1"/>
  <c r="F163" i="6"/>
  <c r="Z162" i="6"/>
  <c r="AA162" i="6" s="1"/>
  <c r="AC162" i="6" s="1"/>
  <c r="F162" i="6"/>
  <c r="AA227" i="6" l="1"/>
  <c r="AC227" i="6" s="1"/>
  <c r="AB203" i="6"/>
  <c r="AA202" i="6"/>
  <c r="AC202" i="6" s="1"/>
  <c r="AB193" i="6"/>
  <c r="AA198" i="6"/>
  <c r="AC198" i="6" s="1"/>
  <c r="AB214" i="6"/>
  <c r="AA165" i="6"/>
  <c r="AC165" i="6" s="1"/>
  <c r="AA230" i="6"/>
  <c r="AC230" i="6" s="1"/>
  <c r="AB169" i="6"/>
  <c r="AA183" i="6"/>
  <c r="AC183" i="6" s="1"/>
  <c r="AA167" i="6"/>
  <c r="AC167" i="6" s="1"/>
  <c r="AB189" i="6"/>
  <c r="AB197" i="6"/>
  <c r="AA205" i="6"/>
  <c r="AC205" i="6" s="1"/>
  <c r="AA210" i="6"/>
  <c r="AC210" i="6" s="1"/>
  <c r="AB217" i="6"/>
  <c r="AB178" i="6"/>
  <c r="AB185" i="6"/>
  <c r="AB200" i="6"/>
  <c r="AA190" i="6"/>
  <c r="AC190" i="6" s="1"/>
  <c r="AB176" i="6"/>
  <c r="AA204" i="6"/>
  <c r="AC204" i="6" s="1"/>
  <c r="AA223" i="6"/>
  <c r="AC223" i="6" s="1"/>
  <c r="AB177" i="6"/>
  <c r="AA199" i="6"/>
  <c r="AC199" i="6" s="1"/>
  <c r="AB173" i="6"/>
  <c r="AB181" i="6"/>
  <c r="AB215" i="6"/>
  <c r="AB186" i="6"/>
  <c r="AA192" i="6"/>
  <c r="AC192" i="6" s="1"/>
  <c r="AB218" i="6"/>
  <c r="AA174" i="6"/>
  <c r="AC174" i="6" s="1"/>
  <c r="AA209" i="6"/>
  <c r="AC209" i="6" s="1"/>
  <c r="AB211" i="6"/>
  <c r="AA216" i="6"/>
  <c r="AC216" i="6" s="1"/>
  <c r="AA222" i="6"/>
  <c r="AC222" i="6" s="1"/>
  <c r="AB168" i="6"/>
  <c r="AB184" i="6"/>
  <c r="AA166" i="6"/>
  <c r="AC166" i="6" s="1"/>
  <c r="AA182" i="6"/>
  <c r="AC182" i="6" s="1"/>
  <c r="AB191" i="6"/>
  <c r="AB219" i="6"/>
  <c r="AA224" i="6"/>
  <c r="AC224" i="6" s="1"/>
  <c r="AA175" i="6"/>
  <c r="AC175" i="6" s="1"/>
  <c r="AB194" i="6"/>
  <c r="AB225" i="6"/>
  <c r="AB226" i="6"/>
  <c r="AB170" i="6"/>
  <c r="AA164" i="6"/>
  <c r="AC164" i="6" s="1"/>
  <c r="AA172" i="6"/>
  <c r="AC172" i="6" s="1"/>
  <c r="AA180" i="6"/>
  <c r="AC180" i="6" s="1"/>
  <c r="AA188" i="6"/>
  <c r="AC188" i="6" s="1"/>
  <c r="AA196" i="6"/>
  <c r="AC196" i="6" s="1"/>
  <c r="AA201" i="6"/>
  <c r="AA208" i="6"/>
  <c r="AC208" i="6" s="1"/>
  <c r="AA213" i="6"/>
  <c r="AC213" i="6" s="1"/>
  <c r="AA221" i="6"/>
  <c r="AC221" i="6" s="1"/>
  <c r="AA229" i="6"/>
  <c r="AC229" i="6" s="1"/>
  <c r="AB162" i="6"/>
  <c r="AA179" i="6"/>
  <c r="AC179" i="6" s="1"/>
  <c r="AA187" i="6"/>
  <c r="AC187" i="6" s="1"/>
  <c r="AA195" i="6"/>
  <c r="AC195" i="6" s="1"/>
  <c r="AA207" i="6"/>
  <c r="AC207" i="6" s="1"/>
  <c r="AA206" i="6"/>
  <c r="AC206" i="6" s="1"/>
  <c r="AA212" i="6"/>
  <c r="AC212" i="6" s="1"/>
  <c r="AA220" i="6"/>
  <c r="AC220" i="6" s="1"/>
  <c r="AA228" i="6"/>
  <c r="AC228" i="6" s="1"/>
  <c r="AA163" i="6"/>
  <c r="AC163" i="6" s="1"/>
  <c r="AA171" i="6"/>
  <c r="AC171" i="6" s="1"/>
  <c r="AC843" i="6"/>
  <c r="AC845" i="6"/>
  <c r="AC850" i="6"/>
  <c r="AC852" i="6"/>
  <c r="AC853" i="6"/>
  <c r="AC860" i="6"/>
  <c r="AC863" i="6"/>
  <c r="AC869" i="6"/>
  <c r="AA871" i="6"/>
  <c r="AC871" i="6" s="1"/>
  <c r="AB871" i="6"/>
  <c r="AA872" i="6"/>
  <c r="AC872" i="6" s="1"/>
  <c r="AB872" i="6"/>
  <c r="AA873" i="6"/>
  <c r="AC873" i="6" s="1"/>
  <c r="AB873" i="6"/>
  <c r="AA874" i="6"/>
  <c r="AC874" i="6" s="1"/>
  <c r="AB874" i="6"/>
  <c r="AA875" i="6"/>
  <c r="AC875" i="6" s="1"/>
  <c r="AB875" i="6"/>
  <c r="AA899" i="6"/>
  <c r="AC899" i="6" s="1"/>
  <c r="AB899" i="6"/>
  <c r="AC956" i="6"/>
  <c r="AC961" i="6"/>
  <c r="Z456" i="6" l="1"/>
  <c r="F456" i="6"/>
  <c r="Z454" i="6"/>
  <c r="F454" i="6"/>
  <c r="Z455" i="6"/>
  <c r="F455" i="6"/>
  <c r="Z451" i="6"/>
  <c r="F451" i="6"/>
  <c r="Z453" i="6"/>
  <c r="F453" i="6"/>
  <c r="Z452" i="6"/>
  <c r="F452" i="6"/>
  <c r="Z450" i="6"/>
  <c r="F450" i="6"/>
  <c r="Z448" i="6"/>
  <c r="F448" i="6"/>
  <c r="Z447" i="6"/>
  <c r="F447" i="6"/>
  <c r="Z449" i="6"/>
  <c r="F449" i="6"/>
  <c r="Z446" i="6"/>
  <c r="F446" i="6"/>
  <c r="Z444" i="6"/>
  <c r="F444" i="6"/>
  <c r="Z445" i="6"/>
  <c r="F445" i="6"/>
  <c r="Z443" i="6"/>
  <c r="F443" i="6"/>
  <c r="Z441" i="6"/>
  <c r="F441" i="6"/>
  <c r="Z440" i="6"/>
  <c r="F440" i="6"/>
  <c r="Z442" i="6"/>
  <c r="F442" i="6"/>
  <c r="Z437" i="6"/>
  <c r="F437" i="6"/>
  <c r="Z438" i="6"/>
  <c r="F438" i="6"/>
  <c r="Z439" i="6"/>
  <c r="F439" i="6"/>
  <c r="Z436" i="6"/>
  <c r="F436" i="6"/>
  <c r="Z435" i="6"/>
  <c r="F435" i="6"/>
  <c r="Z429" i="6"/>
  <c r="F429" i="6"/>
  <c r="Z430" i="6"/>
  <c r="F430" i="6"/>
  <c r="Z428" i="6"/>
  <c r="F428" i="6"/>
  <c r="Z432" i="6"/>
  <c r="F432" i="6"/>
  <c r="Z431" i="6"/>
  <c r="F431" i="6"/>
  <c r="Z434" i="6"/>
  <c r="F434" i="6"/>
  <c r="Z433" i="6"/>
  <c r="F433" i="6"/>
  <c r="Z427" i="6"/>
  <c r="F427" i="6"/>
  <c r="Z426" i="6"/>
  <c r="F426" i="6"/>
  <c r="Z425" i="6"/>
  <c r="F425" i="6"/>
  <c r="Z424" i="6"/>
  <c r="F424" i="6"/>
  <c r="Z423" i="6"/>
  <c r="F423" i="6"/>
  <c r="Z422" i="6"/>
  <c r="F422" i="6"/>
  <c r="Z420" i="6"/>
  <c r="F420" i="6"/>
  <c r="Z421" i="6"/>
  <c r="F421" i="6"/>
  <c r="Z417" i="6"/>
  <c r="F417" i="6"/>
  <c r="Z418" i="6"/>
  <c r="F418" i="6"/>
  <c r="Z419" i="6"/>
  <c r="F419" i="6"/>
  <c r="Z416" i="6"/>
  <c r="F416" i="6"/>
  <c r="Z415" i="6"/>
  <c r="F415" i="6"/>
  <c r="Z414" i="6"/>
  <c r="F414" i="6"/>
  <c r="Z412" i="6"/>
  <c r="F412" i="6"/>
  <c r="Z413" i="6"/>
  <c r="F413" i="6"/>
  <c r="Z411" i="6"/>
  <c r="F411" i="6"/>
  <c r="Z410" i="6"/>
  <c r="F410" i="6"/>
  <c r="Z409" i="6"/>
  <c r="F409" i="6"/>
  <c r="Z407" i="6"/>
  <c r="F407" i="6"/>
  <c r="Z408" i="6"/>
  <c r="F408" i="6"/>
  <c r="Z406" i="6"/>
  <c r="F406" i="6"/>
  <c r="Z405" i="6"/>
  <c r="F405" i="6"/>
  <c r="Z404" i="6"/>
  <c r="F404" i="6"/>
  <c r="Z403" i="6"/>
  <c r="F403" i="6"/>
  <c r="Z402" i="6"/>
  <c r="F402" i="6"/>
  <c r="Z401" i="6"/>
  <c r="F401" i="6"/>
  <c r="Z400" i="6"/>
  <c r="F400" i="6"/>
  <c r="Z399" i="6"/>
  <c r="F399" i="6"/>
  <c r="Z398" i="6"/>
  <c r="F398" i="6"/>
  <c r="Z397" i="6"/>
  <c r="F397" i="6"/>
  <c r="Z396" i="6"/>
  <c r="F396" i="6"/>
  <c r="Z395" i="6"/>
  <c r="F395" i="6"/>
  <c r="Z394" i="6"/>
  <c r="F394" i="6"/>
  <c r="Z392" i="6"/>
  <c r="F392" i="6"/>
  <c r="Z393" i="6"/>
  <c r="F393" i="6"/>
  <c r="Z391" i="6"/>
  <c r="F391" i="6"/>
  <c r="Z390" i="6"/>
  <c r="F390" i="6"/>
  <c r="Z389" i="6"/>
  <c r="F389" i="6"/>
  <c r="Z388" i="6"/>
  <c r="F388" i="6"/>
  <c r="Z387" i="6"/>
  <c r="F387" i="6"/>
  <c r="Z386" i="6"/>
  <c r="F386" i="6"/>
  <c r="Z385" i="6"/>
  <c r="F385" i="6"/>
  <c r="Z384" i="6"/>
  <c r="F384" i="6"/>
  <c r="Z383" i="6"/>
  <c r="F383" i="6"/>
  <c r="Z382" i="6"/>
  <c r="F382" i="6"/>
  <c r="Z381" i="6"/>
  <c r="F381" i="6"/>
  <c r="Z379" i="6"/>
  <c r="F379" i="6"/>
  <c r="Z380" i="6"/>
  <c r="F380" i="6"/>
  <c r="Z377" i="6"/>
  <c r="F377" i="6"/>
  <c r="Z378" i="6"/>
  <c r="F378" i="6"/>
  <c r="Z375" i="6"/>
  <c r="F375" i="6"/>
  <c r="Z376" i="6"/>
  <c r="F376" i="6"/>
  <c r="Z373" i="6"/>
  <c r="F373" i="6"/>
  <c r="Z374" i="6"/>
  <c r="F374" i="6"/>
  <c r="Z372" i="6"/>
  <c r="F372" i="6"/>
  <c r="Z371" i="6"/>
  <c r="F371" i="6"/>
  <c r="Z369" i="6"/>
  <c r="F369" i="6"/>
  <c r="Z370" i="6"/>
  <c r="F370" i="6"/>
  <c r="Z368" i="6"/>
  <c r="F368" i="6"/>
  <c r="Z367" i="6"/>
  <c r="F367" i="6"/>
  <c r="Z366" i="6"/>
  <c r="F366" i="6"/>
  <c r="Z357" i="6"/>
  <c r="F357" i="6"/>
  <c r="Z365" i="6"/>
  <c r="F365" i="6"/>
  <c r="Z364" i="6"/>
  <c r="F364" i="6"/>
  <c r="Z363" i="6"/>
  <c r="F363" i="6"/>
  <c r="Z362" i="6"/>
  <c r="F362" i="6"/>
  <c r="Z361" i="6"/>
  <c r="F361" i="6"/>
  <c r="Z358" i="6"/>
  <c r="F358" i="6"/>
  <c r="Z360" i="6"/>
  <c r="F360" i="6"/>
  <c r="Z359" i="6"/>
  <c r="F359" i="6"/>
  <c r="Z356" i="6"/>
  <c r="F356" i="6"/>
  <c r="Z355" i="6"/>
  <c r="F355" i="6"/>
  <c r="Z354" i="6"/>
  <c r="F354" i="6"/>
  <c r="Z353" i="6"/>
  <c r="F353" i="6"/>
  <c r="Z352" i="6"/>
  <c r="F352" i="6"/>
  <c r="Z351" i="6"/>
  <c r="F351" i="6"/>
  <c r="Z350" i="6"/>
  <c r="F350" i="6"/>
  <c r="Z347" i="6"/>
  <c r="F347" i="6"/>
  <c r="Z349" i="6"/>
  <c r="F349" i="6"/>
  <c r="Z348" i="6"/>
  <c r="F348" i="6"/>
  <c r="Z346" i="6"/>
  <c r="F346" i="6"/>
  <c r="Z345" i="6"/>
  <c r="F345" i="6"/>
  <c r="Z344" i="6"/>
  <c r="F344" i="6"/>
  <c r="Z343" i="6"/>
  <c r="F343" i="6"/>
  <c r="Z342" i="6"/>
  <c r="F342" i="6"/>
  <c r="Z341" i="6"/>
  <c r="F341" i="6"/>
  <c r="Z340" i="6"/>
  <c r="F340" i="6"/>
  <c r="Z339" i="6"/>
  <c r="F339" i="6"/>
  <c r="Z337" i="6"/>
  <c r="F337" i="6"/>
  <c r="Z338" i="6"/>
  <c r="F338" i="6"/>
  <c r="Z336" i="6"/>
  <c r="F336" i="6"/>
  <c r="Z335" i="6"/>
  <c r="F335" i="6"/>
  <c r="Z334" i="6"/>
  <c r="F334" i="6"/>
  <c r="Z333" i="6"/>
  <c r="F333" i="6"/>
  <c r="Z332" i="6"/>
  <c r="F332" i="6"/>
  <c r="Z331" i="6"/>
  <c r="F331" i="6"/>
  <c r="Z330" i="6"/>
  <c r="F330" i="6"/>
  <c r="Z329" i="6"/>
  <c r="F329" i="6"/>
  <c r="Z327" i="6"/>
  <c r="F327" i="6"/>
  <c r="Z326" i="6"/>
  <c r="F326" i="6"/>
  <c r="Z328" i="6"/>
  <c r="F328" i="6"/>
  <c r="Z325" i="6"/>
  <c r="F325" i="6"/>
  <c r="Z323" i="6"/>
  <c r="F323" i="6"/>
  <c r="Z324" i="6"/>
  <c r="F324" i="6"/>
  <c r="Z322" i="6"/>
  <c r="F322" i="6"/>
  <c r="Z321" i="6"/>
  <c r="F321" i="6"/>
  <c r="Z320" i="6"/>
  <c r="F320" i="6"/>
  <c r="Z319" i="6"/>
  <c r="F319" i="6"/>
  <c r="Z318" i="6"/>
  <c r="F318" i="6"/>
  <c r="Z317" i="6"/>
  <c r="F317" i="6"/>
  <c r="Z316" i="6"/>
  <c r="F316" i="6"/>
  <c r="Z315" i="6"/>
  <c r="F315" i="6"/>
  <c r="Z314" i="6"/>
  <c r="F314" i="6"/>
  <c r="Z313" i="6"/>
  <c r="F313" i="6"/>
  <c r="Z312" i="6"/>
  <c r="F312" i="6"/>
  <c r="Z311" i="6"/>
  <c r="F311" i="6"/>
  <c r="Z310" i="6"/>
  <c r="F310" i="6"/>
  <c r="Z309" i="6"/>
  <c r="F309" i="6"/>
  <c r="Z308" i="6"/>
  <c r="F308" i="6"/>
  <c r="Z307" i="6"/>
  <c r="F307" i="6"/>
  <c r="Z306" i="6"/>
  <c r="F306" i="6"/>
  <c r="Z305" i="6"/>
  <c r="F305" i="6"/>
  <c r="Z304" i="6"/>
  <c r="F304" i="6"/>
  <c r="Z303" i="6"/>
  <c r="F303" i="6"/>
  <c r="Z302" i="6"/>
  <c r="F302" i="6"/>
  <c r="Z301" i="6"/>
  <c r="F301" i="6"/>
  <c r="Z300" i="6"/>
  <c r="F300" i="6"/>
  <c r="Z299" i="6"/>
  <c r="F299" i="6"/>
  <c r="Z298" i="6"/>
  <c r="F298" i="6"/>
  <c r="Z297" i="6"/>
  <c r="F297" i="6"/>
  <c r="Z296" i="6"/>
  <c r="F296" i="6"/>
  <c r="Z295" i="6"/>
  <c r="F295" i="6"/>
  <c r="Z294" i="6"/>
  <c r="F294" i="6"/>
  <c r="Z293" i="6"/>
  <c r="F293" i="6"/>
  <c r="Z292" i="6"/>
  <c r="F292" i="6"/>
  <c r="Z291" i="6"/>
  <c r="F291" i="6"/>
  <c r="Z290" i="6"/>
  <c r="F290" i="6"/>
  <c r="Z289" i="6"/>
  <c r="F289" i="6"/>
  <c r="Z288" i="6"/>
  <c r="F288" i="6"/>
  <c r="Z287" i="6"/>
  <c r="F287" i="6"/>
  <c r="Z286" i="6"/>
  <c r="F286" i="6"/>
  <c r="Z285" i="6"/>
  <c r="F285" i="6"/>
  <c r="Z284" i="6"/>
  <c r="F284" i="6"/>
  <c r="Z283" i="6"/>
  <c r="F283" i="6"/>
  <c r="Z282" i="6"/>
  <c r="F282" i="6"/>
  <c r="Z281" i="6"/>
  <c r="F281" i="6"/>
  <c r="Z280" i="6"/>
  <c r="F280" i="6"/>
  <c r="Z279" i="6"/>
  <c r="F279" i="6"/>
  <c r="Z278" i="6"/>
  <c r="F278" i="6"/>
  <c r="Z277" i="6"/>
  <c r="F277" i="6"/>
  <c r="Z276" i="6"/>
  <c r="F276" i="6"/>
  <c r="Z275" i="6"/>
  <c r="F275" i="6"/>
  <c r="Z274" i="6"/>
  <c r="F274" i="6"/>
  <c r="Z273" i="6"/>
  <c r="F273" i="6"/>
  <c r="Z272" i="6"/>
  <c r="F272" i="6"/>
  <c r="Z271" i="6"/>
  <c r="F271" i="6"/>
  <c r="Z270" i="6"/>
  <c r="F270" i="6"/>
  <c r="Z269" i="6"/>
  <c r="F269" i="6"/>
  <c r="Z268" i="6"/>
  <c r="F268" i="6"/>
  <c r="Z267" i="6"/>
  <c r="F267" i="6"/>
  <c r="Z266" i="6"/>
  <c r="F266" i="6"/>
  <c r="AA273" i="6" l="1"/>
  <c r="AC273" i="6" s="1"/>
  <c r="AB273" i="6"/>
  <c r="AA283" i="6"/>
  <c r="AC283" i="6" s="1"/>
  <c r="AB283" i="6"/>
  <c r="AB291" i="6"/>
  <c r="AA291" i="6"/>
  <c r="AC291" i="6" s="1"/>
  <c r="AB301" i="6"/>
  <c r="AA301" i="6"/>
  <c r="AC301" i="6" s="1"/>
  <c r="AA311" i="6"/>
  <c r="AC311" i="6" s="1"/>
  <c r="AB311" i="6"/>
  <c r="AB317" i="6"/>
  <c r="AA317" i="6"/>
  <c r="AC317" i="6" s="1"/>
  <c r="AB324" i="6"/>
  <c r="AA324" i="6"/>
  <c r="AC324" i="6" s="1"/>
  <c r="AB329" i="6"/>
  <c r="AA329" i="6"/>
  <c r="AC329" i="6" s="1"/>
  <c r="AA338" i="6"/>
  <c r="AC338" i="6" s="1"/>
  <c r="AB338" i="6"/>
  <c r="AB343" i="6"/>
  <c r="AA343" i="6"/>
  <c r="AC343" i="6" s="1"/>
  <c r="AA359" i="6"/>
  <c r="AC359" i="6" s="1"/>
  <c r="AB359" i="6"/>
  <c r="AA266" i="6"/>
  <c r="AC266" i="6" s="1"/>
  <c r="AB266" i="6"/>
  <c r="AA268" i="6"/>
  <c r="AC268" i="6" s="1"/>
  <c r="AB268" i="6"/>
  <c r="AA270" i="6"/>
  <c r="AC270" i="6" s="1"/>
  <c r="AB270" i="6"/>
  <c r="AB272" i="6"/>
  <c r="AA272" i="6"/>
  <c r="AC272" i="6" s="1"/>
  <c r="AA274" i="6"/>
  <c r="AC274" i="6" s="1"/>
  <c r="AB274" i="6"/>
  <c r="AA276" i="6"/>
  <c r="AC276" i="6" s="1"/>
  <c r="AB276" i="6"/>
  <c r="AB278" i="6"/>
  <c r="AA278" i="6"/>
  <c r="AC278" i="6" s="1"/>
  <c r="AB280" i="6"/>
  <c r="AA280" i="6"/>
  <c r="AC280" i="6" s="1"/>
  <c r="AA282" i="6"/>
  <c r="AC282" i="6" s="1"/>
  <c r="AB282" i="6"/>
  <c r="AA284" i="6"/>
  <c r="AC284" i="6" s="1"/>
  <c r="AB284" i="6"/>
  <c r="AA286" i="6"/>
  <c r="AC286" i="6" s="1"/>
  <c r="AB286" i="6"/>
  <c r="AA288" i="6"/>
  <c r="AC288" i="6" s="1"/>
  <c r="AB288" i="6"/>
  <c r="AA290" i="6"/>
  <c r="AC290" i="6" s="1"/>
  <c r="AB290" i="6"/>
  <c r="AA292" i="6"/>
  <c r="AC292" i="6" s="1"/>
  <c r="AB292" i="6"/>
  <c r="AA294" i="6"/>
  <c r="AC294" i="6" s="1"/>
  <c r="AB294" i="6"/>
  <c r="AA296" i="6"/>
  <c r="AC296" i="6" s="1"/>
  <c r="AB296" i="6"/>
  <c r="AA298" i="6"/>
  <c r="AC298" i="6" s="1"/>
  <c r="AB298" i="6"/>
  <c r="AA300" i="6"/>
  <c r="AC300" i="6" s="1"/>
  <c r="AB300" i="6"/>
  <c r="AA302" i="6"/>
  <c r="AC302" i="6" s="1"/>
  <c r="AB302" i="6"/>
  <c r="AB304" i="6"/>
  <c r="AA304" i="6"/>
  <c r="AC304" i="6" s="1"/>
  <c r="AA306" i="6"/>
  <c r="AC306" i="6" s="1"/>
  <c r="AB306" i="6"/>
  <c r="AA308" i="6"/>
  <c r="AC308" i="6" s="1"/>
  <c r="AB308" i="6"/>
  <c r="AB310" i="6"/>
  <c r="AA310" i="6"/>
  <c r="AC310" i="6" s="1"/>
  <c r="AA312" i="6"/>
  <c r="AC312" i="6" s="1"/>
  <c r="AB312" i="6"/>
  <c r="AA314" i="6"/>
  <c r="AC314" i="6" s="1"/>
  <c r="AB314" i="6"/>
  <c r="AA316" i="6"/>
  <c r="AC316" i="6" s="1"/>
  <c r="AB316" i="6"/>
  <c r="AA318" i="6"/>
  <c r="AC318" i="6" s="1"/>
  <c r="AB318" i="6"/>
  <c r="AA320" i="6"/>
  <c r="AC320" i="6" s="1"/>
  <c r="AB320" i="6"/>
  <c r="AA322" i="6"/>
  <c r="AC322" i="6" s="1"/>
  <c r="AB322" i="6"/>
  <c r="AA323" i="6"/>
  <c r="AC323" i="6" s="1"/>
  <c r="AB323" i="6"/>
  <c r="AA328" i="6"/>
  <c r="AC328" i="6" s="1"/>
  <c r="AB328" i="6"/>
  <c r="AA327" i="6"/>
  <c r="AC327" i="6" s="1"/>
  <c r="AB327" i="6"/>
  <c r="AA330" i="6"/>
  <c r="AC330" i="6" s="1"/>
  <c r="AB330" i="6"/>
  <c r="AA332" i="6"/>
  <c r="AC332" i="6" s="1"/>
  <c r="AB332" i="6"/>
  <c r="AA334" i="6"/>
  <c r="AC334" i="6" s="1"/>
  <c r="AB334" i="6"/>
  <c r="AA336" i="6"/>
  <c r="AC336" i="6" s="1"/>
  <c r="AB336" i="6"/>
  <c r="AB337" i="6"/>
  <c r="AA337" i="6"/>
  <c r="AC337" i="6" s="1"/>
  <c r="AB340" i="6"/>
  <c r="AA340" i="6"/>
  <c r="AC340" i="6" s="1"/>
  <c r="AA342" i="6"/>
  <c r="AC342" i="6" s="1"/>
  <c r="AB342" i="6"/>
  <c r="AB344" i="6"/>
  <c r="AA344" i="6"/>
  <c r="AC344" i="6" s="1"/>
  <c r="AB346" i="6"/>
  <c r="AA346" i="6"/>
  <c r="AC346" i="6" s="1"/>
  <c r="AB349" i="6"/>
  <c r="AA349" i="6"/>
  <c r="AC349" i="6" s="1"/>
  <c r="AB350" i="6"/>
  <c r="AA350" i="6"/>
  <c r="AC350" i="6" s="1"/>
  <c r="AA352" i="6"/>
  <c r="AC352" i="6" s="1"/>
  <c r="AB352" i="6"/>
  <c r="AB354" i="6"/>
  <c r="AA354" i="6"/>
  <c r="AC354" i="6" s="1"/>
  <c r="AB356" i="6"/>
  <c r="AA356" i="6"/>
  <c r="AC356" i="6" s="1"/>
  <c r="AB360" i="6"/>
  <c r="AA360" i="6"/>
  <c r="AC360" i="6" s="1"/>
  <c r="AA361" i="6"/>
  <c r="AC361" i="6" s="1"/>
  <c r="AB361" i="6"/>
  <c r="AB363" i="6"/>
  <c r="AA363" i="6"/>
  <c r="AC363" i="6" s="1"/>
  <c r="AA365" i="6"/>
  <c r="AC365" i="6" s="1"/>
  <c r="AB365" i="6"/>
  <c r="AB366" i="6"/>
  <c r="AA366" i="6"/>
  <c r="AC366" i="6" s="1"/>
  <c r="AA368" i="6"/>
  <c r="AC368" i="6" s="1"/>
  <c r="AB368" i="6"/>
  <c r="AA369" i="6"/>
  <c r="AC369" i="6" s="1"/>
  <c r="AB369" i="6"/>
  <c r="AA372" i="6"/>
  <c r="AC372" i="6" s="1"/>
  <c r="AB372" i="6"/>
  <c r="AA373" i="6"/>
  <c r="AC373" i="6" s="1"/>
  <c r="AB373" i="6"/>
  <c r="AA375" i="6"/>
  <c r="AC375" i="6" s="1"/>
  <c r="AB375" i="6"/>
  <c r="AA377" i="6"/>
  <c r="AC377" i="6" s="1"/>
  <c r="AB377" i="6"/>
  <c r="AA379" i="6"/>
  <c r="AC379" i="6" s="1"/>
  <c r="AB379" i="6"/>
  <c r="AA382" i="6"/>
  <c r="AC382" i="6" s="1"/>
  <c r="AB382" i="6"/>
  <c r="AB384" i="6"/>
  <c r="AA384" i="6"/>
  <c r="AC384" i="6" s="1"/>
  <c r="AA386" i="6"/>
  <c r="AC386" i="6" s="1"/>
  <c r="AB386" i="6"/>
  <c r="AA388" i="6"/>
  <c r="AC388" i="6" s="1"/>
  <c r="AB388" i="6"/>
  <c r="AB390" i="6"/>
  <c r="AA390" i="6"/>
  <c r="AC390" i="6" s="1"/>
  <c r="AB393" i="6"/>
  <c r="AA393" i="6"/>
  <c r="AC393" i="6" s="1"/>
  <c r="AA394" i="6"/>
  <c r="AC394" i="6" s="1"/>
  <c r="AB394" i="6"/>
  <c r="AA396" i="6"/>
  <c r="AC396" i="6" s="1"/>
  <c r="AB396" i="6"/>
  <c r="AA398" i="6"/>
  <c r="AC398" i="6" s="1"/>
  <c r="AB398" i="6"/>
  <c r="AA400" i="6"/>
  <c r="AC400" i="6" s="1"/>
  <c r="AB400" i="6"/>
  <c r="AA402" i="6"/>
  <c r="AC402" i="6" s="1"/>
  <c r="AB402" i="6"/>
  <c r="AA404" i="6"/>
  <c r="AC404" i="6" s="1"/>
  <c r="AB404" i="6"/>
  <c r="AB406" i="6"/>
  <c r="AA406" i="6"/>
  <c r="AC406" i="6" s="1"/>
  <c r="AA407" i="6"/>
  <c r="AC407" i="6" s="1"/>
  <c r="AB407" i="6"/>
  <c r="AA410" i="6"/>
  <c r="AC410" i="6" s="1"/>
  <c r="AB410" i="6"/>
  <c r="AA413" i="6"/>
  <c r="AC413" i="6" s="1"/>
  <c r="AB413" i="6"/>
  <c r="AA414" i="6"/>
  <c r="AC414" i="6" s="1"/>
  <c r="AB414" i="6"/>
  <c r="AB416" i="6"/>
  <c r="AA416" i="6"/>
  <c r="AC416" i="6" s="1"/>
  <c r="AA418" i="6"/>
  <c r="AC418" i="6" s="1"/>
  <c r="AB418" i="6"/>
  <c r="AA421" i="6"/>
  <c r="AC421" i="6" s="1"/>
  <c r="AB421" i="6"/>
  <c r="AB422" i="6"/>
  <c r="AA422" i="6"/>
  <c r="AC422" i="6" s="1"/>
  <c r="AA424" i="6"/>
  <c r="AC424" i="6" s="1"/>
  <c r="AB424" i="6"/>
  <c r="AA426" i="6"/>
  <c r="AC426" i="6" s="1"/>
  <c r="AB426" i="6"/>
  <c r="AA433" i="6"/>
  <c r="AC433" i="6" s="1"/>
  <c r="AB433" i="6"/>
  <c r="AA431" i="6"/>
  <c r="AC431" i="6" s="1"/>
  <c r="AB431" i="6"/>
  <c r="AB428" i="6"/>
  <c r="AA428" i="6"/>
  <c r="AC428" i="6" s="1"/>
  <c r="AA429" i="6"/>
  <c r="AC429" i="6" s="1"/>
  <c r="AB429" i="6"/>
  <c r="AA436" i="6"/>
  <c r="AC436" i="6" s="1"/>
  <c r="AB436" i="6"/>
  <c r="AA438" i="6"/>
  <c r="AC438" i="6" s="1"/>
  <c r="AB438" i="6"/>
  <c r="AA442" i="6"/>
  <c r="AC442" i="6" s="1"/>
  <c r="AB442" i="6"/>
  <c r="AA441" i="6"/>
  <c r="AC441" i="6" s="1"/>
  <c r="AB441" i="6"/>
  <c r="AA445" i="6"/>
  <c r="AC445" i="6" s="1"/>
  <c r="AB445" i="6"/>
  <c r="AA446" i="6"/>
  <c r="AC446" i="6" s="1"/>
  <c r="AB446" i="6"/>
  <c r="AA447" i="6"/>
  <c r="AC447" i="6" s="1"/>
  <c r="AB447" i="6"/>
  <c r="AA450" i="6"/>
  <c r="AC450" i="6" s="1"/>
  <c r="AB450" i="6"/>
  <c r="AA453" i="6"/>
  <c r="AC453" i="6" s="1"/>
  <c r="AB453" i="6"/>
  <c r="AA455" i="6"/>
  <c r="AC455" i="6" s="1"/>
  <c r="AB455" i="6"/>
  <c r="AB456" i="6"/>
  <c r="AA456" i="6"/>
  <c r="AC456" i="6" s="1"/>
  <c r="AB267" i="6"/>
  <c r="AA267" i="6"/>
  <c r="AC267" i="6" s="1"/>
  <c r="AA275" i="6"/>
  <c r="AC275" i="6" s="1"/>
  <c r="AB275" i="6"/>
  <c r="AB285" i="6"/>
  <c r="AA285" i="6"/>
  <c r="AC285" i="6" s="1"/>
  <c r="AA295" i="6"/>
  <c r="AC295" i="6" s="1"/>
  <c r="AB295" i="6"/>
  <c r="AA303" i="6"/>
  <c r="AC303" i="6" s="1"/>
  <c r="AB303" i="6"/>
  <c r="AB309" i="6"/>
  <c r="AA309" i="6"/>
  <c r="AC309" i="6" s="1"/>
  <c r="AA319" i="6"/>
  <c r="AC319" i="6" s="1"/>
  <c r="AB319" i="6"/>
  <c r="AB325" i="6"/>
  <c r="AA325" i="6"/>
  <c r="AC325" i="6" s="1"/>
  <c r="AB333" i="6"/>
  <c r="AA333" i="6"/>
  <c r="AC333" i="6" s="1"/>
  <c r="AA339" i="6"/>
  <c r="AC339" i="6" s="1"/>
  <c r="AB339" i="6"/>
  <c r="AA345" i="6"/>
  <c r="AC345" i="6" s="1"/>
  <c r="AB345" i="6"/>
  <c r="AA355" i="6"/>
  <c r="AC355" i="6" s="1"/>
  <c r="AB355" i="6"/>
  <c r="AA271" i="6"/>
  <c r="AC271" i="6" s="1"/>
  <c r="AB271" i="6"/>
  <c r="AA279" i="6"/>
  <c r="AC279" i="6" s="1"/>
  <c r="AB279" i="6"/>
  <c r="AA281" i="6"/>
  <c r="AC281" i="6" s="1"/>
  <c r="AB281" i="6"/>
  <c r="AB289" i="6"/>
  <c r="AA289" i="6"/>
  <c r="AC289" i="6" s="1"/>
  <c r="AB297" i="6"/>
  <c r="AA297" i="6"/>
  <c r="AC297" i="6" s="1"/>
  <c r="AB305" i="6"/>
  <c r="AA305" i="6"/>
  <c r="AC305" i="6" s="1"/>
  <c r="AA315" i="6"/>
  <c r="AC315" i="6" s="1"/>
  <c r="AB315" i="6"/>
  <c r="AA326" i="6"/>
  <c r="AC326" i="6" s="1"/>
  <c r="AB326" i="6"/>
  <c r="AB335" i="6"/>
  <c r="AA335" i="6"/>
  <c r="AC335" i="6" s="1"/>
  <c r="AB341" i="6"/>
  <c r="AA341" i="6"/>
  <c r="AC341" i="6" s="1"/>
  <c r="AB348" i="6"/>
  <c r="AA348" i="6"/>
  <c r="AC348" i="6" s="1"/>
  <c r="AB347" i="6"/>
  <c r="AA347" i="6"/>
  <c r="AC347" i="6" s="1"/>
  <c r="AA353" i="6"/>
  <c r="AC353" i="6" s="1"/>
  <c r="AB353" i="6"/>
  <c r="AB358" i="6"/>
  <c r="AA358" i="6"/>
  <c r="AC358" i="6" s="1"/>
  <c r="AA362" i="6"/>
  <c r="AC362" i="6" s="1"/>
  <c r="AB362" i="6"/>
  <c r="AA364" i="6"/>
  <c r="AC364" i="6" s="1"/>
  <c r="AB364" i="6"/>
  <c r="AB357" i="6"/>
  <c r="AA357" i="6"/>
  <c r="AC357" i="6" s="1"/>
  <c r="AA367" i="6"/>
  <c r="AC367" i="6" s="1"/>
  <c r="AB367" i="6"/>
  <c r="AB370" i="6"/>
  <c r="AA370" i="6"/>
  <c r="AC370" i="6" s="1"/>
  <c r="AB371" i="6"/>
  <c r="AA371" i="6"/>
  <c r="AC371" i="6" s="1"/>
  <c r="AB374" i="6"/>
  <c r="AA374" i="6"/>
  <c r="AC374" i="6" s="1"/>
  <c r="AA376" i="6"/>
  <c r="AC376" i="6" s="1"/>
  <c r="AB376" i="6"/>
  <c r="AB378" i="6"/>
  <c r="AA378" i="6"/>
  <c r="AC378" i="6" s="1"/>
  <c r="AA380" i="6"/>
  <c r="AC380" i="6" s="1"/>
  <c r="AB380" i="6"/>
  <c r="AB381" i="6"/>
  <c r="AA381" i="6"/>
  <c r="AC381" i="6" s="1"/>
  <c r="AA383" i="6"/>
  <c r="AC383" i="6" s="1"/>
  <c r="AB383" i="6"/>
  <c r="AA385" i="6"/>
  <c r="AC385" i="6" s="1"/>
  <c r="AB385" i="6"/>
  <c r="AA387" i="6"/>
  <c r="AC387" i="6" s="1"/>
  <c r="AB387" i="6"/>
  <c r="AB389" i="6"/>
  <c r="AA389" i="6"/>
  <c r="AC389" i="6" s="1"/>
  <c r="AA391" i="6"/>
  <c r="AC391" i="6" s="1"/>
  <c r="AB391" i="6"/>
  <c r="AA392" i="6"/>
  <c r="AC392" i="6" s="1"/>
  <c r="AB392" i="6"/>
  <c r="AA395" i="6"/>
  <c r="AC395" i="6" s="1"/>
  <c r="AB395" i="6"/>
  <c r="AB397" i="6"/>
  <c r="AA397" i="6"/>
  <c r="AC397" i="6" s="1"/>
  <c r="AA399" i="6"/>
  <c r="AC399" i="6" s="1"/>
  <c r="AB399" i="6"/>
  <c r="AB401" i="6"/>
  <c r="AA401" i="6"/>
  <c r="AC401" i="6" s="1"/>
  <c r="AB403" i="6"/>
  <c r="AA403" i="6"/>
  <c r="AC403" i="6" s="1"/>
  <c r="AB405" i="6"/>
  <c r="AA405" i="6"/>
  <c r="AC405" i="6" s="1"/>
  <c r="AA408" i="6"/>
  <c r="AC408" i="6" s="1"/>
  <c r="AB408" i="6"/>
  <c r="AB409" i="6"/>
  <c r="AA409" i="6"/>
  <c r="AC409" i="6" s="1"/>
  <c r="AA411" i="6"/>
  <c r="AC411" i="6" s="1"/>
  <c r="AB411" i="6"/>
  <c r="AB412" i="6"/>
  <c r="AA412" i="6"/>
  <c r="AC412" i="6" s="1"/>
  <c r="AA415" i="6"/>
  <c r="AC415" i="6" s="1"/>
  <c r="AB415" i="6"/>
  <c r="AA419" i="6"/>
  <c r="AC419" i="6" s="1"/>
  <c r="AB419" i="6"/>
  <c r="AA417" i="6"/>
  <c r="AC417" i="6" s="1"/>
  <c r="AB417" i="6"/>
  <c r="AB420" i="6"/>
  <c r="AA420" i="6"/>
  <c r="AC420" i="6" s="1"/>
  <c r="AA423" i="6"/>
  <c r="AC423" i="6" s="1"/>
  <c r="AB423" i="6"/>
  <c r="AA425" i="6"/>
  <c r="AC425" i="6" s="1"/>
  <c r="AB425" i="6"/>
  <c r="AA427" i="6"/>
  <c r="AC427" i="6" s="1"/>
  <c r="AB427" i="6"/>
  <c r="AB434" i="6"/>
  <c r="AA434" i="6"/>
  <c r="AC434" i="6" s="1"/>
  <c r="AA432" i="6"/>
  <c r="AC432" i="6" s="1"/>
  <c r="AB432" i="6"/>
  <c r="AB430" i="6"/>
  <c r="AA430" i="6"/>
  <c r="AC430" i="6" s="1"/>
  <c r="AB435" i="6"/>
  <c r="AA435" i="6"/>
  <c r="AC435" i="6" s="1"/>
  <c r="AB439" i="6"/>
  <c r="AA439" i="6"/>
  <c r="AC439" i="6" s="1"/>
  <c r="AA437" i="6"/>
  <c r="AC437" i="6" s="1"/>
  <c r="AB437" i="6"/>
  <c r="AA440" i="6"/>
  <c r="AC440" i="6" s="1"/>
  <c r="AB440" i="6"/>
  <c r="AB443" i="6"/>
  <c r="AA443" i="6"/>
  <c r="AC443" i="6" s="1"/>
  <c r="AB444" i="6"/>
  <c r="AA444" i="6"/>
  <c r="AC444" i="6" s="1"/>
  <c r="AA449" i="6"/>
  <c r="AC449" i="6" s="1"/>
  <c r="AB449" i="6"/>
  <c r="AB448" i="6"/>
  <c r="AA448" i="6"/>
  <c r="AC448" i="6" s="1"/>
  <c r="AA452" i="6"/>
  <c r="AC452" i="6" s="1"/>
  <c r="AB452" i="6"/>
  <c r="AB451" i="6"/>
  <c r="AA451" i="6"/>
  <c r="AC451" i="6" s="1"/>
  <c r="AA454" i="6"/>
  <c r="AC454" i="6" s="1"/>
  <c r="AB454" i="6"/>
  <c r="AB269" i="6"/>
  <c r="AA269" i="6"/>
  <c r="AC269" i="6" s="1"/>
  <c r="AB277" i="6"/>
  <c r="AA277" i="6"/>
  <c r="AC277" i="6" s="1"/>
  <c r="AA287" i="6"/>
  <c r="AC287" i="6" s="1"/>
  <c r="AB287" i="6"/>
  <c r="AB293" i="6"/>
  <c r="AA293" i="6"/>
  <c r="AC293" i="6" s="1"/>
  <c r="AA299" i="6"/>
  <c r="AC299" i="6" s="1"/>
  <c r="AB299" i="6"/>
  <c r="AA307" i="6"/>
  <c r="AC307" i="6" s="1"/>
  <c r="AB307" i="6"/>
  <c r="AA313" i="6"/>
  <c r="AC313" i="6" s="1"/>
  <c r="AB313" i="6"/>
  <c r="AB321" i="6"/>
  <c r="AA321" i="6"/>
  <c r="AC321" i="6" s="1"/>
  <c r="AA331" i="6"/>
  <c r="AC331" i="6" s="1"/>
  <c r="AB331" i="6"/>
  <c r="AB351" i="6"/>
  <c r="AA351" i="6"/>
  <c r="AC351" i="6" s="1"/>
  <c r="Z915" i="6" l="1"/>
  <c r="Q915" i="6"/>
  <c r="F915" i="6"/>
  <c r="Z914" i="6"/>
  <c r="Q914" i="6"/>
  <c r="F914" i="6"/>
  <c r="Z913" i="6"/>
  <c r="Q913" i="6"/>
  <c r="F913" i="6"/>
  <c r="Z912" i="6"/>
  <c r="Q912" i="6"/>
  <c r="F912" i="6"/>
  <c r="Z911" i="6"/>
  <c r="Q911" i="6"/>
  <c r="F911" i="6"/>
  <c r="Z910" i="6"/>
  <c r="Q910" i="6"/>
  <c r="F910" i="6"/>
  <c r="Z909" i="6"/>
  <c r="Q909" i="6"/>
  <c r="F909" i="6"/>
  <c r="Z908" i="6"/>
  <c r="Q908" i="6"/>
  <c r="F908" i="6"/>
  <c r="Z907" i="6"/>
  <c r="Q907" i="6"/>
  <c r="F907" i="6"/>
  <c r="Z906" i="6"/>
  <c r="Q906" i="6"/>
  <c r="F906" i="6"/>
  <c r="Z905" i="6"/>
  <c r="Q905" i="6"/>
  <c r="F905" i="6"/>
  <c r="Z904" i="6"/>
  <c r="Q904" i="6"/>
  <c r="F904" i="6"/>
  <c r="Z903" i="6"/>
  <c r="Q903" i="6"/>
  <c r="F903" i="6"/>
  <c r="Z902" i="6"/>
  <c r="Q902" i="6"/>
  <c r="F902" i="6"/>
  <c r="Z900" i="6"/>
  <c r="Q900" i="6"/>
  <c r="F900" i="6"/>
  <c r="Z901" i="6"/>
  <c r="Q901" i="6"/>
  <c r="F901" i="6"/>
  <c r="Q899" i="6"/>
  <c r="F899" i="6"/>
  <c r="Z898" i="6"/>
  <c r="Q898" i="6"/>
  <c r="F898" i="6"/>
  <c r="Z897" i="6"/>
  <c r="Q897" i="6"/>
  <c r="F897" i="6"/>
  <c r="Z896" i="6"/>
  <c r="Q896" i="6"/>
  <c r="F896" i="6"/>
  <c r="Z895" i="6"/>
  <c r="Q895" i="6"/>
  <c r="F895" i="6"/>
  <c r="Z894" i="6"/>
  <c r="Q894" i="6"/>
  <c r="F894" i="6"/>
  <c r="Z893" i="6"/>
  <c r="Q893" i="6"/>
  <c r="F893" i="6"/>
  <c r="Z892" i="6"/>
  <c r="Q892" i="6"/>
  <c r="F892" i="6"/>
  <c r="Z891" i="6"/>
  <c r="Q891" i="6"/>
  <c r="F891" i="6"/>
  <c r="Z890" i="6"/>
  <c r="Q890" i="6"/>
  <c r="F890" i="6"/>
  <c r="Z889" i="6"/>
  <c r="Q889" i="6"/>
  <c r="F889" i="6"/>
  <c r="Z888" i="6"/>
  <c r="Q888" i="6"/>
  <c r="F888" i="6"/>
  <c r="Z887" i="6"/>
  <c r="Q887" i="6"/>
  <c r="F887" i="6"/>
  <c r="Z886" i="6"/>
  <c r="Q886" i="6"/>
  <c r="F886" i="6"/>
  <c r="Z885" i="6"/>
  <c r="Q885" i="6"/>
  <c r="F885" i="6"/>
  <c r="Z884" i="6"/>
  <c r="Q884" i="6"/>
  <c r="F884" i="6"/>
  <c r="Z883" i="6"/>
  <c r="Q883" i="6"/>
  <c r="F883" i="6"/>
  <c r="Z882" i="6"/>
  <c r="Q882" i="6"/>
  <c r="F882" i="6"/>
  <c r="Z881" i="6"/>
  <c r="Q881" i="6"/>
  <c r="F881" i="6"/>
  <c r="Z880" i="6"/>
  <c r="Q880" i="6"/>
  <c r="F880" i="6"/>
  <c r="Z879" i="6"/>
  <c r="Q879" i="6"/>
  <c r="F879" i="6"/>
  <c r="Z878" i="6"/>
  <c r="Q878" i="6"/>
  <c r="F878" i="6"/>
  <c r="Z877" i="6"/>
  <c r="Q877" i="6"/>
  <c r="F877" i="6"/>
  <c r="Z876" i="6"/>
  <c r="Q876" i="6"/>
  <c r="F876" i="6"/>
  <c r="F875" i="6"/>
  <c r="F874" i="6"/>
  <c r="F873" i="6"/>
  <c r="F872" i="6"/>
  <c r="F871" i="6"/>
  <c r="AB877" i="6" l="1"/>
  <c r="AA877" i="6"/>
  <c r="AC877" i="6" s="1"/>
  <c r="AB884" i="6"/>
  <c r="AA884" i="6"/>
  <c r="AC884" i="6" s="1"/>
  <c r="AA888" i="6"/>
  <c r="AC888" i="6" s="1"/>
  <c r="AB888" i="6"/>
  <c r="AB892" i="6"/>
  <c r="AA892" i="6"/>
  <c r="AC892" i="6" s="1"/>
  <c r="AA896" i="6"/>
  <c r="AC896" i="6" s="1"/>
  <c r="AB896" i="6"/>
  <c r="AB903" i="6"/>
  <c r="AA903" i="6"/>
  <c r="AC903" i="6" s="1"/>
  <c r="AB907" i="6"/>
  <c r="AA907" i="6"/>
  <c r="AC907" i="6" s="1"/>
  <c r="AB911" i="6"/>
  <c r="AA911" i="6"/>
  <c r="AC911" i="6" s="1"/>
  <c r="AA915" i="6"/>
  <c r="AC915" i="6" s="1"/>
  <c r="AB915" i="6"/>
  <c r="AA876" i="6"/>
  <c r="AC876" i="6" s="1"/>
  <c r="AB876" i="6"/>
  <c r="AA883" i="6"/>
  <c r="AC883" i="6" s="1"/>
  <c r="AB883" i="6"/>
  <c r="AA887" i="6"/>
  <c r="AC887" i="6" s="1"/>
  <c r="AB887" i="6"/>
  <c r="AA891" i="6"/>
  <c r="AC891" i="6" s="1"/>
  <c r="AB891" i="6"/>
  <c r="AB895" i="6"/>
  <c r="AA895" i="6"/>
  <c r="AC895" i="6" s="1"/>
  <c r="AA902" i="6"/>
  <c r="AC902" i="6" s="1"/>
  <c r="AB902" i="6"/>
  <c r="AA906" i="6"/>
  <c r="AC906" i="6" s="1"/>
  <c r="AB906" i="6"/>
  <c r="AA910" i="6"/>
  <c r="AC910" i="6" s="1"/>
  <c r="AB910" i="6"/>
  <c r="AA914" i="6"/>
  <c r="AC914" i="6" s="1"/>
  <c r="AB914" i="6"/>
  <c r="AA880" i="6"/>
  <c r="AC880" i="6" s="1"/>
  <c r="AB880" i="6"/>
  <c r="AA879" i="6"/>
  <c r="AC879" i="6" s="1"/>
  <c r="AB879" i="6"/>
  <c r="AB882" i="6"/>
  <c r="AA882" i="6"/>
  <c r="AC882" i="6" s="1"/>
  <c r="AA886" i="6"/>
  <c r="AC886" i="6" s="1"/>
  <c r="AB886" i="6"/>
  <c r="AA890" i="6"/>
  <c r="AC890" i="6" s="1"/>
  <c r="AB890" i="6"/>
  <c r="AA894" i="6"/>
  <c r="AC894" i="6" s="1"/>
  <c r="AB894" i="6"/>
  <c r="AA898" i="6"/>
  <c r="AC898" i="6" s="1"/>
  <c r="AB898" i="6"/>
  <c r="AA900" i="6"/>
  <c r="AC900" i="6" s="1"/>
  <c r="AB900" i="6"/>
  <c r="AA905" i="6"/>
  <c r="AC905" i="6" s="1"/>
  <c r="AB905" i="6"/>
  <c r="AB909" i="6"/>
  <c r="AA909" i="6"/>
  <c r="AC909" i="6" s="1"/>
  <c r="AA913" i="6"/>
  <c r="AC913" i="6" s="1"/>
  <c r="AB913" i="6"/>
  <c r="AB878" i="6"/>
  <c r="AA878" i="6"/>
  <c r="AC878" i="6" s="1"/>
  <c r="AA881" i="6"/>
  <c r="AC881" i="6" s="1"/>
  <c r="AB881" i="6"/>
  <c r="AA885" i="6"/>
  <c r="AC885" i="6" s="1"/>
  <c r="AB885" i="6"/>
  <c r="AA889" i="6"/>
  <c r="AC889" i="6" s="1"/>
  <c r="AB889" i="6"/>
  <c r="AA893" i="6"/>
  <c r="AC893" i="6" s="1"/>
  <c r="AB893" i="6"/>
  <c r="AA897" i="6"/>
  <c r="AC897" i="6" s="1"/>
  <c r="AB897" i="6"/>
  <c r="AB901" i="6"/>
  <c r="AA901" i="6"/>
  <c r="AC901" i="6" s="1"/>
  <c r="AA904" i="6"/>
  <c r="AC904" i="6" s="1"/>
  <c r="AB904" i="6"/>
  <c r="AA908" i="6"/>
  <c r="AC908" i="6" s="1"/>
  <c r="AB908" i="6"/>
  <c r="AA912" i="6"/>
  <c r="AC912" i="6" s="1"/>
  <c r="AB912" i="6"/>
  <c r="Z870" i="6" l="1"/>
  <c r="F870" i="6"/>
  <c r="F869" i="6"/>
  <c r="Z868" i="6"/>
  <c r="F868" i="6"/>
  <c r="F867" i="6"/>
  <c r="Z866" i="6"/>
  <c r="F866" i="6"/>
  <c r="F865" i="6"/>
  <c r="Z864" i="6"/>
  <c r="F864" i="6"/>
  <c r="F863" i="6"/>
  <c r="Z862" i="6"/>
  <c r="F862" i="6"/>
  <c r="F860" i="6"/>
  <c r="Z861" i="6"/>
  <c r="F861" i="6"/>
  <c r="Z859" i="6"/>
  <c r="F859" i="6"/>
  <c r="Z858" i="6"/>
  <c r="F858" i="6"/>
  <c r="F857" i="6"/>
  <c r="Z856" i="6"/>
  <c r="F856" i="6"/>
  <c r="F855" i="6"/>
  <c r="Z854" i="6"/>
  <c r="F854" i="6"/>
  <c r="F853" i="6"/>
  <c r="F852" i="6"/>
  <c r="F851" i="6"/>
  <c r="F850" i="6"/>
  <c r="F849" i="6"/>
  <c r="F848" i="6"/>
  <c r="F847" i="6"/>
  <c r="Z846" i="6"/>
  <c r="F846" i="6"/>
  <c r="F845" i="6"/>
  <c r="F843" i="6"/>
  <c r="F844" i="6"/>
  <c r="F842" i="6"/>
  <c r="F841" i="6"/>
  <c r="F839" i="6"/>
  <c r="F840" i="6"/>
  <c r="F837" i="6"/>
  <c r="F838" i="6"/>
  <c r="F836" i="6"/>
  <c r="F835" i="6"/>
  <c r="F834" i="6"/>
  <c r="F833" i="6"/>
  <c r="F832" i="6"/>
  <c r="F831" i="6"/>
  <c r="Z830" i="6"/>
  <c r="F830" i="6"/>
  <c r="F829" i="6"/>
  <c r="F828" i="6"/>
  <c r="Z827" i="6"/>
  <c r="F827" i="6"/>
  <c r="F826" i="6"/>
  <c r="AB846" i="6" l="1"/>
  <c r="AA846" i="6"/>
  <c r="AC846" i="6" s="1"/>
  <c r="AB856" i="6"/>
  <c r="AA856" i="6"/>
  <c r="AC856" i="6" s="1"/>
  <c r="AB866" i="6"/>
  <c r="AA866" i="6"/>
  <c r="AC866" i="6" s="1"/>
  <c r="AB854" i="6"/>
  <c r="AA854" i="6"/>
  <c r="AC854" i="6" s="1"/>
  <c r="AB859" i="6"/>
  <c r="AA859" i="6"/>
  <c r="AC859" i="6" s="1"/>
  <c r="AA864" i="6"/>
  <c r="AC864" i="6" s="1"/>
  <c r="AB864" i="6"/>
  <c r="AB862" i="6"/>
  <c r="AA862" i="6"/>
  <c r="AC862" i="6" s="1"/>
  <c r="AA870" i="6"/>
  <c r="AC870" i="6" s="1"/>
  <c r="AB870" i="6"/>
  <c r="AA827" i="6"/>
  <c r="AC827" i="6" s="1"/>
  <c r="AB827" i="6"/>
  <c r="AB830" i="6"/>
  <c r="AA830" i="6"/>
  <c r="AC830" i="6" s="1"/>
  <c r="AB858" i="6"/>
  <c r="AA858" i="6"/>
  <c r="AC858" i="6" s="1"/>
  <c r="AA861" i="6"/>
  <c r="AC861" i="6" s="1"/>
  <c r="AB861" i="6"/>
  <c r="AA868" i="6"/>
  <c r="AC868" i="6" s="1"/>
  <c r="AB868" i="6"/>
  <c r="Z1015" i="6"/>
  <c r="F1015" i="6"/>
  <c r="Z1014" i="6"/>
  <c r="F1014" i="6"/>
  <c r="Z1013" i="6"/>
  <c r="F1013" i="6"/>
  <c r="Z1012" i="6"/>
  <c r="F1012" i="6"/>
  <c r="Z1017" i="6"/>
  <c r="F1017" i="6"/>
  <c r="Z1016" i="6"/>
  <c r="F1016" i="6"/>
  <c r="Z1011" i="6"/>
  <c r="F1011" i="6"/>
  <c r="Z1008" i="6"/>
  <c r="F1008" i="6"/>
  <c r="Z1009" i="6"/>
  <c r="F1009" i="6"/>
  <c r="Z1010" i="6"/>
  <c r="F1010" i="6"/>
  <c r="Z1004" i="6"/>
  <c r="F1004" i="6"/>
  <c r="Z1005" i="6"/>
  <c r="F1005" i="6"/>
  <c r="Z997" i="6"/>
  <c r="F997" i="6"/>
  <c r="Z996" i="6"/>
  <c r="F996" i="6"/>
  <c r="Z995" i="6"/>
  <c r="F995" i="6"/>
  <c r="Z994" i="6"/>
  <c r="F994" i="6"/>
  <c r="Z993" i="6"/>
  <c r="F993" i="6"/>
  <c r="Z992" i="6"/>
  <c r="F992" i="6"/>
  <c r="Z1020" i="6"/>
  <c r="F1020" i="6"/>
  <c r="Z1022" i="6"/>
  <c r="F1022" i="6"/>
  <c r="Z1021" i="6"/>
  <c r="F1021" i="6"/>
  <c r="Z1019" i="6"/>
  <c r="F1019" i="6"/>
  <c r="Z998" i="6"/>
  <c r="F998" i="6"/>
  <c r="Z1018" i="6"/>
  <c r="F1018" i="6"/>
  <c r="Z1007" i="6"/>
  <c r="F1007" i="6"/>
  <c r="Z1006" i="6"/>
  <c r="F1006" i="6"/>
  <c r="Z1002" i="6"/>
  <c r="F1002" i="6"/>
  <c r="Z1003" i="6"/>
  <c r="F1003" i="6"/>
  <c r="Z1001" i="6"/>
  <c r="F1001" i="6"/>
  <c r="Z1000" i="6"/>
  <c r="F1000" i="6"/>
  <c r="Z999" i="6"/>
  <c r="F999" i="6"/>
  <c r="Z991" i="6"/>
  <c r="F991" i="6"/>
  <c r="Z989" i="6"/>
  <c r="F989" i="6"/>
  <c r="Z990" i="6"/>
  <c r="F990" i="6"/>
  <c r="AA991" i="6" l="1"/>
  <c r="AC991" i="6" s="1"/>
  <c r="AB991" i="6"/>
  <c r="AB1003" i="6"/>
  <c r="AA1003" i="6"/>
  <c r="AC1003" i="6" s="1"/>
  <c r="AA1018" i="6"/>
  <c r="AC1018" i="6" s="1"/>
  <c r="AB1018" i="6"/>
  <c r="AA994" i="6"/>
  <c r="AB994" i="6"/>
  <c r="AC994" i="6" s="1"/>
  <c r="AA990" i="6"/>
  <c r="AC990" i="6" s="1"/>
  <c r="AB990" i="6"/>
  <c r="AA1000" i="6"/>
  <c r="AC1000" i="6" s="1"/>
  <c r="AB1000" i="6"/>
  <c r="AB1006" i="6"/>
  <c r="AA1006" i="6"/>
  <c r="AC1006" i="6" s="1"/>
  <c r="AB1019" i="6"/>
  <c r="AC1019" i="6" s="1"/>
  <c r="AA1019" i="6"/>
  <c r="AB1022" i="6"/>
  <c r="AC1022" i="6" s="1"/>
  <c r="AA1022" i="6"/>
  <c r="AB992" i="6"/>
  <c r="AC992" i="6" s="1"/>
  <c r="AA992" i="6"/>
  <c r="AB996" i="6"/>
  <c r="AC996" i="6" s="1"/>
  <c r="AA996" i="6"/>
  <c r="AA1005" i="6"/>
  <c r="AC1005" i="6" s="1"/>
  <c r="AB1005" i="6"/>
  <c r="AB1010" i="6"/>
  <c r="AA1010" i="6"/>
  <c r="AC1010" i="6" s="1"/>
  <c r="AA1008" i="6"/>
  <c r="AC1008" i="6" s="1"/>
  <c r="AB1008" i="6"/>
  <c r="AB1016" i="6"/>
  <c r="AA1016" i="6"/>
  <c r="AC1016" i="6" s="1"/>
  <c r="AA1012" i="6"/>
  <c r="AC1012" i="6" s="1"/>
  <c r="AB1012" i="6"/>
  <c r="AA1014" i="6"/>
  <c r="AC1014" i="6" s="1"/>
  <c r="AB1014" i="6"/>
  <c r="AA989" i="6"/>
  <c r="AC989" i="6" s="1"/>
  <c r="AB989" i="6"/>
  <c r="AB999" i="6"/>
  <c r="AA999" i="6"/>
  <c r="AC999" i="6" s="1"/>
  <c r="AB1001" i="6"/>
  <c r="AA1001" i="6"/>
  <c r="AC1001" i="6" s="1"/>
  <c r="AB1002" i="6"/>
  <c r="AA1002" i="6"/>
  <c r="AC1002" i="6" s="1"/>
  <c r="AB1007" i="6"/>
  <c r="AA1007" i="6"/>
  <c r="AC1007" i="6" s="1"/>
  <c r="AA998" i="6"/>
  <c r="AB998" i="6"/>
  <c r="AC998" i="6" s="1"/>
  <c r="AA1021" i="6"/>
  <c r="AB1021" i="6"/>
  <c r="AC1021" i="6" s="1"/>
  <c r="AA1020" i="6"/>
  <c r="AB1020" i="6"/>
  <c r="AC1020" i="6" s="1"/>
  <c r="AA993" i="6"/>
  <c r="AB993" i="6"/>
  <c r="AC993" i="6" s="1"/>
  <c r="AB995" i="6"/>
  <c r="AC995" i="6" s="1"/>
  <c r="AA995" i="6"/>
  <c r="AA997" i="6"/>
  <c r="AC997" i="6" s="1"/>
  <c r="AB997" i="6"/>
  <c r="AB1004" i="6"/>
  <c r="AA1004" i="6"/>
  <c r="AC1004" i="6" s="1"/>
  <c r="AB1009" i="6"/>
  <c r="AA1009" i="6"/>
  <c r="AC1009" i="6" s="1"/>
  <c r="AB1011" i="6"/>
  <c r="AA1011" i="6"/>
  <c r="AC1011" i="6" s="1"/>
  <c r="AA1017" i="6"/>
  <c r="AC1017" i="6" s="1"/>
  <c r="AB1017" i="6"/>
  <c r="AA1013" i="6"/>
  <c r="AC1013" i="6" s="1"/>
  <c r="AB1013" i="6"/>
  <c r="AA1015" i="6"/>
  <c r="AC1015" i="6" s="1"/>
  <c r="AB1015" i="6"/>
  <c r="Z988" i="6"/>
  <c r="Z987" i="6"/>
  <c r="Z986" i="6"/>
  <c r="Z985" i="6"/>
  <c r="Z984" i="6"/>
  <c r="Z983" i="6"/>
  <c r="AB984" i="6" l="1"/>
  <c r="AA984" i="6"/>
  <c r="AC984" i="6" s="1"/>
  <c r="AB988" i="6"/>
  <c r="AA988" i="6"/>
  <c r="AC988" i="6" s="1"/>
  <c r="AA985" i="6"/>
  <c r="AC985" i="6" s="1"/>
  <c r="AB985" i="6"/>
  <c r="AA983" i="6"/>
  <c r="AC983" i="6" s="1"/>
  <c r="AB983" i="6"/>
  <c r="AA987" i="6"/>
  <c r="AC987" i="6" s="1"/>
  <c r="AB987" i="6"/>
  <c r="AA986" i="6"/>
  <c r="AC986" i="6" s="1"/>
  <c r="AB986" i="6"/>
  <c r="F982" i="6" l="1"/>
  <c r="F981" i="6"/>
  <c r="F980" i="6"/>
  <c r="F979" i="6"/>
  <c r="F978" i="6"/>
  <c r="F977" i="6"/>
  <c r="Z976" i="6"/>
  <c r="F976" i="6"/>
  <c r="Z975" i="6"/>
  <c r="F975" i="6"/>
  <c r="Z974" i="6"/>
  <c r="F974" i="6"/>
  <c r="Z973" i="6"/>
  <c r="F973" i="6"/>
  <c r="Z972" i="6"/>
  <c r="F972" i="6"/>
  <c r="F971" i="6"/>
  <c r="F970" i="6"/>
  <c r="F969" i="6"/>
  <c r="Z968" i="6"/>
  <c r="F968" i="6"/>
  <c r="F967" i="6"/>
  <c r="F966" i="6"/>
  <c r="F965" i="6"/>
  <c r="F964" i="6"/>
  <c r="F963" i="6"/>
  <c r="F962" i="6"/>
  <c r="F961" i="6"/>
  <c r="F960" i="6"/>
  <c r="F959" i="6"/>
  <c r="F958" i="6"/>
  <c r="F957" i="6"/>
  <c r="F956" i="6"/>
  <c r="Z955" i="6"/>
  <c r="F955" i="6"/>
  <c r="F954" i="6"/>
  <c r="Z953" i="6"/>
  <c r="F953" i="6"/>
  <c r="Z952" i="6"/>
  <c r="F952" i="6"/>
  <c r="Z951" i="6"/>
  <c r="F951" i="6"/>
  <c r="Z950" i="6"/>
  <c r="F950" i="6"/>
  <c r="Z949" i="6"/>
  <c r="F949" i="6"/>
  <c r="Z948" i="6"/>
  <c r="F948" i="6"/>
  <c r="Z947" i="6"/>
  <c r="F947" i="6"/>
  <c r="F946" i="6"/>
  <c r="Z944" i="6"/>
  <c r="F944" i="6"/>
  <c r="Z943" i="6"/>
  <c r="F943" i="6"/>
  <c r="Z945" i="6"/>
  <c r="F945" i="6"/>
  <c r="Z942" i="6"/>
  <c r="F942" i="6"/>
  <c r="Z941" i="6"/>
  <c r="F941" i="6"/>
  <c r="Z940" i="6"/>
  <c r="F940" i="6"/>
  <c r="AB947" i="6" l="1"/>
  <c r="AA947" i="6"/>
  <c r="AC947" i="6" s="1"/>
  <c r="AA953" i="6"/>
  <c r="AC953" i="6" s="1"/>
  <c r="AB953" i="6"/>
  <c r="AB945" i="6"/>
  <c r="AA945" i="6"/>
  <c r="AC945" i="6" s="1"/>
  <c r="AB951" i="6"/>
  <c r="AA951" i="6"/>
  <c r="AC951" i="6" s="1"/>
  <c r="AA973" i="6"/>
  <c r="AC973" i="6" s="1"/>
  <c r="AB973" i="6"/>
  <c r="AA948" i="6"/>
  <c r="AC948" i="6" s="1"/>
  <c r="AB948" i="6"/>
  <c r="AA950" i="6"/>
  <c r="AC950" i="6" s="1"/>
  <c r="AB950" i="6"/>
  <c r="AA952" i="6"/>
  <c r="AC952" i="6" s="1"/>
  <c r="AB952" i="6"/>
  <c r="AA972" i="6"/>
  <c r="AC972" i="6" s="1"/>
  <c r="AB972" i="6"/>
  <c r="AA974" i="6"/>
  <c r="AC974" i="6" s="1"/>
  <c r="AB974" i="6"/>
  <c r="AA976" i="6"/>
  <c r="AC976" i="6" s="1"/>
  <c r="AB976" i="6"/>
  <c r="AA949" i="6"/>
  <c r="AC949" i="6" s="1"/>
  <c r="AB949" i="6"/>
  <c r="AA941" i="6"/>
  <c r="AC941" i="6" s="1"/>
  <c r="AB941" i="6"/>
  <c r="AA944" i="6"/>
  <c r="AC944" i="6" s="1"/>
  <c r="AB944" i="6"/>
  <c r="AA968" i="6"/>
  <c r="AC968" i="6" s="1"/>
  <c r="AB968" i="6"/>
  <c r="AA940" i="6"/>
  <c r="AC940" i="6" s="1"/>
  <c r="AB940" i="6"/>
  <c r="AA942" i="6"/>
  <c r="AC942" i="6" s="1"/>
  <c r="AB942" i="6"/>
  <c r="AA943" i="6"/>
  <c r="AC943" i="6" s="1"/>
  <c r="AB943" i="6"/>
  <c r="AB955" i="6"/>
  <c r="AA955" i="6"/>
  <c r="AC955" i="6" s="1"/>
  <c r="AB975" i="6"/>
  <c r="AA975" i="6"/>
  <c r="AC975" i="6" s="1"/>
  <c r="Z824" i="6" l="1"/>
  <c r="F824" i="6"/>
  <c r="Z825" i="6"/>
  <c r="F825" i="6"/>
  <c r="Z823" i="6"/>
  <c r="F823" i="6"/>
  <c r="Z822" i="6"/>
  <c r="F822" i="6"/>
  <c r="Z819" i="6"/>
  <c r="F819" i="6"/>
  <c r="Z818" i="6"/>
  <c r="F818" i="6"/>
  <c r="Z820" i="6"/>
  <c r="F820" i="6"/>
  <c r="Z821" i="6"/>
  <c r="F821" i="6"/>
  <c r="Z815" i="6"/>
  <c r="F815" i="6"/>
  <c r="Z814" i="6"/>
  <c r="F814" i="6"/>
  <c r="Z816" i="6"/>
  <c r="F816" i="6"/>
  <c r="Z817" i="6"/>
  <c r="F817" i="6"/>
  <c r="Z812" i="6"/>
  <c r="F812" i="6"/>
  <c r="Z813" i="6"/>
  <c r="F813" i="6"/>
  <c r="Z811" i="6"/>
  <c r="F811" i="6"/>
  <c r="Z810" i="6"/>
  <c r="F810" i="6"/>
  <c r="Z808" i="6"/>
  <c r="F808" i="6"/>
  <c r="Z809" i="6"/>
  <c r="F809" i="6"/>
  <c r="Z806" i="6"/>
  <c r="F806" i="6"/>
  <c r="Z807" i="6"/>
  <c r="F807" i="6"/>
  <c r="Z802" i="6"/>
  <c r="F802" i="6"/>
  <c r="Z803" i="6"/>
  <c r="F803" i="6"/>
  <c r="Z805" i="6"/>
  <c r="F805" i="6"/>
  <c r="Z804" i="6"/>
  <c r="F804" i="6"/>
  <c r="Z800" i="6"/>
  <c r="F800" i="6"/>
  <c r="Z801" i="6"/>
  <c r="F801" i="6"/>
  <c r="Z799" i="6"/>
  <c r="F799" i="6"/>
  <c r="Z798" i="6"/>
  <c r="F798" i="6"/>
  <c r="Z797" i="6"/>
  <c r="F797" i="6"/>
  <c r="Z796" i="6"/>
  <c r="F796" i="6"/>
  <c r="Z795" i="6"/>
  <c r="F795" i="6"/>
  <c r="Z794" i="6"/>
  <c r="F794" i="6"/>
  <c r="Z792" i="6"/>
  <c r="F792" i="6"/>
  <c r="Z793" i="6"/>
  <c r="F793" i="6"/>
  <c r="Z791" i="6"/>
  <c r="F791" i="6"/>
  <c r="Z790" i="6"/>
  <c r="F790" i="6"/>
  <c r="Z789" i="6"/>
  <c r="F789" i="6"/>
  <c r="Z788" i="6"/>
  <c r="F788" i="6"/>
  <c r="Z787" i="6"/>
  <c r="F787" i="6"/>
  <c r="Z785" i="6"/>
  <c r="F785" i="6"/>
  <c r="Z784" i="6"/>
  <c r="F784" i="6"/>
  <c r="Z786" i="6"/>
  <c r="F786" i="6"/>
  <c r="Z783" i="6"/>
  <c r="F783" i="6"/>
  <c r="Z782" i="6"/>
  <c r="F782" i="6"/>
  <c r="Z781" i="6"/>
  <c r="F781" i="6"/>
  <c r="Z780" i="6"/>
  <c r="F780" i="6"/>
  <c r="Z779" i="6"/>
  <c r="F779" i="6"/>
  <c r="Z778" i="6"/>
  <c r="F778" i="6"/>
  <c r="Z777" i="6"/>
  <c r="F777" i="6"/>
  <c r="Z774" i="6"/>
  <c r="F774" i="6"/>
  <c r="Z773" i="6"/>
  <c r="F773" i="6"/>
  <c r="Z775" i="6"/>
  <c r="F775" i="6"/>
  <c r="Z776" i="6"/>
  <c r="F776" i="6"/>
  <c r="Z771" i="6"/>
  <c r="F771" i="6"/>
  <c r="Z770" i="6"/>
  <c r="F770" i="6"/>
  <c r="Z772" i="6"/>
  <c r="F772" i="6"/>
  <c r="Z769" i="6"/>
  <c r="F769" i="6"/>
  <c r="Z768" i="6"/>
  <c r="F768" i="6"/>
  <c r="Z766" i="6"/>
  <c r="F766" i="6"/>
  <c r="Z765" i="6"/>
  <c r="F765" i="6"/>
  <c r="Z767" i="6"/>
  <c r="F767" i="6"/>
  <c r="Z764" i="6"/>
  <c r="F764" i="6"/>
  <c r="Z763" i="6"/>
  <c r="F763" i="6"/>
  <c r="Z762" i="6"/>
  <c r="F762" i="6"/>
  <c r="Z761" i="6"/>
  <c r="F761" i="6"/>
  <c r="Z760" i="6"/>
  <c r="F760" i="6"/>
  <c r="Z759" i="6"/>
  <c r="F759" i="6"/>
  <c r="Z758" i="6"/>
  <c r="F758" i="6"/>
  <c r="Z755" i="6"/>
  <c r="F755" i="6"/>
  <c r="Z756" i="6"/>
  <c r="F756" i="6"/>
  <c r="Z757" i="6"/>
  <c r="F757" i="6"/>
  <c r="Z754" i="6"/>
  <c r="F754" i="6"/>
  <c r="Z752" i="6"/>
  <c r="F752" i="6"/>
  <c r="Z753" i="6"/>
  <c r="F753" i="6"/>
  <c r="Z751" i="6"/>
  <c r="F751" i="6"/>
  <c r="Z750" i="6"/>
  <c r="F750" i="6"/>
  <c r="Z749" i="6"/>
  <c r="F749" i="6"/>
  <c r="Z748" i="6"/>
  <c r="F748" i="6"/>
  <c r="Z747" i="6"/>
  <c r="F747" i="6"/>
  <c r="Z746" i="6"/>
  <c r="F746" i="6"/>
  <c r="Z745" i="6"/>
  <c r="F745" i="6"/>
  <c r="Z744" i="6"/>
  <c r="F744" i="6"/>
  <c r="Z743" i="6"/>
  <c r="F743" i="6"/>
  <c r="Z742" i="6"/>
  <c r="F742" i="6"/>
  <c r="Z741" i="6"/>
  <c r="F741" i="6"/>
  <c r="Z740" i="6"/>
  <c r="F740" i="6"/>
  <c r="AA742" i="6" l="1"/>
  <c r="AC742" i="6" s="1"/>
  <c r="AB742" i="6"/>
  <c r="AA750" i="6"/>
  <c r="AC750" i="6" s="1"/>
  <c r="AB750" i="6"/>
  <c r="AA754" i="6"/>
  <c r="AC754" i="6" s="1"/>
  <c r="AB754" i="6"/>
  <c r="AA760" i="6"/>
  <c r="AC760" i="6" s="1"/>
  <c r="AB760" i="6"/>
  <c r="AA765" i="6"/>
  <c r="AC765" i="6" s="1"/>
  <c r="AB765" i="6"/>
  <c r="AA771" i="6"/>
  <c r="AC771" i="6" s="1"/>
  <c r="AB771" i="6"/>
  <c r="AA778" i="6"/>
  <c r="AC778" i="6" s="1"/>
  <c r="AB778" i="6"/>
  <c r="AA782" i="6"/>
  <c r="AC782" i="6" s="1"/>
  <c r="AB782" i="6"/>
  <c r="AA788" i="6"/>
  <c r="AC788" i="6" s="1"/>
  <c r="AB788" i="6"/>
  <c r="AA794" i="6"/>
  <c r="AC794" i="6" s="1"/>
  <c r="AB794" i="6"/>
  <c r="AA804" i="6"/>
  <c r="AC804" i="6" s="1"/>
  <c r="AB804" i="6"/>
  <c r="AA809" i="6"/>
  <c r="AC809" i="6" s="1"/>
  <c r="AB809" i="6"/>
  <c r="AA817" i="6"/>
  <c r="AC817" i="6" s="1"/>
  <c r="AB817" i="6"/>
  <c r="AA822" i="6"/>
  <c r="AC822" i="6" s="1"/>
  <c r="AB822" i="6"/>
  <c r="AA740" i="6"/>
  <c r="AC740" i="6" s="1"/>
  <c r="AB740" i="6"/>
  <c r="AA746" i="6"/>
  <c r="AC746" i="6" s="1"/>
  <c r="AB746" i="6"/>
  <c r="AA753" i="6"/>
  <c r="AC753" i="6" s="1"/>
  <c r="AB753" i="6"/>
  <c r="AA758" i="6"/>
  <c r="AC758" i="6" s="1"/>
  <c r="AB758" i="6"/>
  <c r="AA764" i="6"/>
  <c r="AC764" i="6" s="1"/>
  <c r="AB764" i="6"/>
  <c r="AA772" i="6"/>
  <c r="AC772" i="6" s="1"/>
  <c r="AB772" i="6"/>
  <c r="AA774" i="6"/>
  <c r="AC774" i="6" s="1"/>
  <c r="AB774" i="6"/>
  <c r="AA786" i="6"/>
  <c r="AC786" i="6" s="1"/>
  <c r="AB786" i="6"/>
  <c r="AA790" i="6"/>
  <c r="AC790" i="6" s="1"/>
  <c r="AB790" i="6"/>
  <c r="AA796" i="6"/>
  <c r="AC796" i="6" s="1"/>
  <c r="AB796" i="6"/>
  <c r="AA801" i="6"/>
  <c r="AC801" i="6" s="1"/>
  <c r="AB801" i="6"/>
  <c r="AA807" i="6"/>
  <c r="AC807" i="6" s="1"/>
  <c r="AB807" i="6"/>
  <c r="AA813" i="6"/>
  <c r="AC813" i="6" s="1"/>
  <c r="AB813" i="6"/>
  <c r="AA821" i="6"/>
  <c r="AC821" i="6" s="1"/>
  <c r="AB821" i="6"/>
  <c r="AA825" i="6"/>
  <c r="AC825" i="6" s="1"/>
  <c r="AB825" i="6"/>
  <c r="AB741" i="6"/>
  <c r="AA741" i="6"/>
  <c r="AC741" i="6" s="1"/>
  <c r="AA743" i="6"/>
  <c r="AC743" i="6" s="1"/>
  <c r="AB743" i="6"/>
  <c r="AB745" i="6"/>
  <c r="AA745" i="6"/>
  <c r="AC745" i="6" s="1"/>
  <c r="AA747" i="6"/>
  <c r="AC747" i="6" s="1"/>
  <c r="AB747" i="6"/>
  <c r="AB749" i="6"/>
  <c r="AA749" i="6"/>
  <c r="AC749" i="6" s="1"/>
  <c r="AA751" i="6"/>
  <c r="AC751" i="6" s="1"/>
  <c r="AB751" i="6"/>
  <c r="AB752" i="6"/>
  <c r="AA752" i="6"/>
  <c r="AC752" i="6" s="1"/>
  <c r="AA757" i="6"/>
  <c r="AC757" i="6" s="1"/>
  <c r="AB757" i="6"/>
  <c r="AB755" i="6"/>
  <c r="AA755" i="6"/>
  <c r="AC755" i="6" s="1"/>
  <c r="AA759" i="6"/>
  <c r="AC759" i="6" s="1"/>
  <c r="AB759" i="6"/>
  <c r="AB761" i="6"/>
  <c r="AA761" i="6"/>
  <c r="AC761" i="6" s="1"/>
  <c r="AA763" i="6"/>
  <c r="AC763" i="6" s="1"/>
  <c r="AB763" i="6"/>
  <c r="AB767" i="6"/>
  <c r="AA767" i="6"/>
  <c r="AC767" i="6" s="1"/>
  <c r="AA766" i="6"/>
  <c r="AC766" i="6" s="1"/>
  <c r="AB766" i="6"/>
  <c r="AB769" i="6"/>
  <c r="AA769" i="6"/>
  <c r="AC769" i="6" s="1"/>
  <c r="AA770" i="6"/>
  <c r="AC770" i="6" s="1"/>
  <c r="AB770" i="6"/>
  <c r="AB776" i="6"/>
  <c r="AA776" i="6"/>
  <c r="AC776" i="6" s="1"/>
  <c r="AA773" i="6"/>
  <c r="AC773" i="6" s="1"/>
  <c r="AB773" i="6"/>
  <c r="AB777" i="6"/>
  <c r="AA777" i="6"/>
  <c r="AC777" i="6" s="1"/>
  <c r="AA779" i="6"/>
  <c r="AC779" i="6" s="1"/>
  <c r="AB779" i="6"/>
  <c r="AB781" i="6"/>
  <c r="AA781" i="6"/>
  <c r="AC781" i="6" s="1"/>
  <c r="AA783" i="6"/>
  <c r="AC783" i="6" s="1"/>
  <c r="AB783" i="6"/>
  <c r="AB784" i="6"/>
  <c r="AA784" i="6"/>
  <c r="AC784" i="6" s="1"/>
  <c r="AA787" i="6"/>
  <c r="AC787" i="6" s="1"/>
  <c r="AB787" i="6"/>
  <c r="AB789" i="6"/>
  <c r="AA789" i="6"/>
  <c r="AC789" i="6" s="1"/>
  <c r="AA791" i="6"/>
  <c r="AC791" i="6" s="1"/>
  <c r="AB791" i="6"/>
  <c r="AB792" i="6"/>
  <c r="AA792" i="6"/>
  <c r="AC792" i="6" s="1"/>
  <c r="AA795" i="6"/>
  <c r="AC795" i="6" s="1"/>
  <c r="AB795" i="6"/>
  <c r="AB797" i="6"/>
  <c r="AA797" i="6"/>
  <c r="AC797" i="6" s="1"/>
  <c r="AA799" i="6"/>
  <c r="AC799" i="6" s="1"/>
  <c r="AB799" i="6"/>
  <c r="AB800" i="6"/>
  <c r="AA800" i="6"/>
  <c r="AC800" i="6" s="1"/>
  <c r="AA805" i="6"/>
  <c r="AC805" i="6" s="1"/>
  <c r="AB805" i="6"/>
  <c r="AB802" i="6"/>
  <c r="AA802" i="6"/>
  <c r="AC802" i="6" s="1"/>
  <c r="AA806" i="6"/>
  <c r="AC806" i="6" s="1"/>
  <c r="AB806" i="6"/>
  <c r="AB808" i="6"/>
  <c r="AA808" i="6"/>
  <c r="AC808" i="6" s="1"/>
  <c r="AA811" i="6"/>
  <c r="AC811" i="6" s="1"/>
  <c r="AB811" i="6"/>
  <c r="AB812" i="6"/>
  <c r="AA812" i="6"/>
  <c r="AC812" i="6" s="1"/>
  <c r="AA816" i="6"/>
  <c r="AC816" i="6" s="1"/>
  <c r="AB816" i="6"/>
  <c r="AB815" i="6"/>
  <c r="AA815" i="6"/>
  <c r="AC815" i="6" s="1"/>
  <c r="AA820" i="6"/>
  <c r="AC820" i="6" s="1"/>
  <c r="AB820" i="6"/>
  <c r="AB819" i="6"/>
  <c r="AA819" i="6"/>
  <c r="AC819" i="6" s="1"/>
  <c r="AA823" i="6"/>
  <c r="AC823" i="6" s="1"/>
  <c r="AB823" i="6"/>
  <c r="AB824" i="6"/>
  <c r="AA824" i="6"/>
  <c r="AC824" i="6" s="1"/>
  <c r="AA744" i="6"/>
  <c r="AC744" i="6" s="1"/>
  <c r="AB744" i="6"/>
  <c r="AA748" i="6"/>
  <c r="AC748" i="6" s="1"/>
  <c r="AB748" i="6"/>
  <c r="AA756" i="6"/>
  <c r="AC756" i="6" s="1"/>
  <c r="AB756" i="6"/>
  <c r="AA762" i="6"/>
  <c r="AC762" i="6" s="1"/>
  <c r="AB762" i="6"/>
  <c r="AA768" i="6"/>
  <c r="AC768" i="6" s="1"/>
  <c r="AB768" i="6"/>
  <c r="AA775" i="6"/>
  <c r="AC775" i="6" s="1"/>
  <c r="AB775" i="6"/>
  <c r="AA780" i="6"/>
  <c r="AC780" i="6" s="1"/>
  <c r="AB780" i="6"/>
  <c r="AA785" i="6"/>
  <c r="AC785" i="6" s="1"/>
  <c r="AB785" i="6"/>
  <c r="AA793" i="6"/>
  <c r="AC793" i="6" s="1"/>
  <c r="AB793" i="6"/>
  <c r="AA798" i="6"/>
  <c r="AC798" i="6" s="1"/>
  <c r="AB798" i="6"/>
  <c r="AA803" i="6"/>
  <c r="AC803" i="6" s="1"/>
  <c r="AB803" i="6"/>
  <c r="AA810" i="6"/>
  <c r="AC810" i="6" s="1"/>
  <c r="AB810" i="6"/>
  <c r="AA814" i="6"/>
  <c r="AC814" i="6" s="1"/>
  <c r="AB814" i="6"/>
  <c r="AA818" i="6"/>
  <c r="AC818" i="6" s="1"/>
  <c r="AB818" i="6"/>
  <c r="Z738" i="6" l="1"/>
  <c r="F738" i="6"/>
  <c r="Z739" i="6"/>
  <c r="F739" i="6"/>
  <c r="Z737" i="6"/>
  <c r="F737" i="6"/>
  <c r="Z736" i="6"/>
  <c r="F736" i="6"/>
  <c r="Z735" i="6"/>
  <c r="F735" i="6"/>
  <c r="Z734" i="6"/>
  <c r="F734" i="6"/>
  <c r="Z733" i="6"/>
  <c r="F733" i="6"/>
  <c r="Z732" i="6"/>
  <c r="F732" i="6"/>
  <c r="Z731" i="6"/>
  <c r="F731" i="6"/>
  <c r="Z730" i="6"/>
  <c r="F730" i="6"/>
  <c r="Z729" i="6"/>
  <c r="F729" i="6"/>
  <c r="Z728" i="6"/>
  <c r="F728" i="6"/>
  <c r="Z726" i="6"/>
  <c r="F726" i="6"/>
  <c r="Z727" i="6"/>
  <c r="F727" i="6"/>
  <c r="Z725" i="6"/>
  <c r="F725" i="6"/>
  <c r="Z724" i="6"/>
  <c r="F724" i="6"/>
  <c r="Z723" i="6"/>
  <c r="F723" i="6"/>
  <c r="Z721" i="6"/>
  <c r="F721" i="6"/>
  <c r="Z722" i="6"/>
  <c r="F722" i="6"/>
  <c r="Z720" i="6"/>
  <c r="F720" i="6"/>
  <c r="Z719" i="6"/>
  <c r="F719" i="6"/>
  <c r="Z717" i="6"/>
  <c r="F717" i="6"/>
  <c r="Z718" i="6"/>
  <c r="F718" i="6"/>
  <c r="Z716" i="6"/>
  <c r="F716" i="6"/>
  <c r="Z715" i="6"/>
  <c r="F715" i="6"/>
  <c r="Z714" i="6"/>
  <c r="F714" i="6"/>
  <c r="Z713" i="6"/>
  <c r="F713" i="6"/>
  <c r="Z712" i="6"/>
  <c r="F712" i="6"/>
  <c r="Z711" i="6"/>
  <c r="F711" i="6"/>
  <c r="Z710" i="6"/>
  <c r="F710" i="6"/>
  <c r="Z709" i="6"/>
  <c r="F709" i="6"/>
  <c r="Z708" i="6"/>
  <c r="F708" i="6"/>
  <c r="Z706" i="6"/>
  <c r="F706" i="6"/>
  <c r="Z707" i="6"/>
  <c r="F707" i="6"/>
  <c r="Z705" i="6"/>
  <c r="F705" i="6"/>
  <c r="Z704" i="6"/>
  <c r="F704" i="6"/>
  <c r="Z703" i="6"/>
  <c r="F703" i="6"/>
  <c r="Z702" i="6"/>
  <c r="F702" i="6"/>
  <c r="Z701" i="6"/>
  <c r="F701" i="6"/>
  <c r="Z700" i="6"/>
  <c r="F700" i="6"/>
  <c r="Z699" i="6"/>
  <c r="F699" i="6"/>
  <c r="Z698" i="6"/>
  <c r="F698" i="6"/>
  <c r="Z697" i="6"/>
  <c r="F697" i="6"/>
  <c r="Z696" i="6"/>
  <c r="F696" i="6"/>
  <c r="Z695" i="6"/>
  <c r="F695" i="6"/>
  <c r="Z694" i="6"/>
  <c r="F694" i="6"/>
  <c r="Z693" i="6"/>
  <c r="F693" i="6"/>
  <c r="Z692" i="6"/>
  <c r="F692" i="6"/>
  <c r="Z691" i="6"/>
  <c r="F691" i="6"/>
  <c r="Z688" i="6"/>
  <c r="F688" i="6"/>
  <c r="Z690" i="6"/>
  <c r="F690" i="6"/>
  <c r="Z689" i="6"/>
  <c r="F689" i="6"/>
  <c r="Z687" i="6"/>
  <c r="F687" i="6"/>
  <c r="Z686" i="6"/>
  <c r="F686" i="6"/>
  <c r="Z685" i="6"/>
  <c r="F685" i="6"/>
  <c r="Z683" i="6"/>
  <c r="F683" i="6"/>
  <c r="Z684" i="6"/>
  <c r="F684" i="6"/>
  <c r="AA685" i="6" l="1"/>
  <c r="AB685" i="6"/>
  <c r="AC685" i="6" s="1"/>
  <c r="AB691" i="6"/>
  <c r="AC691" i="6" s="1"/>
  <c r="AA691" i="6"/>
  <c r="AA697" i="6"/>
  <c r="AB697" i="6"/>
  <c r="AC697" i="6" s="1"/>
  <c r="AA701" i="6"/>
  <c r="AB701" i="6"/>
  <c r="AC701" i="6" s="1"/>
  <c r="AB706" i="6"/>
  <c r="AC706" i="6" s="1"/>
  <c r="AA706" i="6"/>
  <c r="AB713" i="6"/>
  <c r="AC713" i="6" s="1"/>
  <c r="AA713" i="6"/>
  <c r="AA718" i="6"/>
  <c r="AB718" i="6"/>
  <c r="AC718" i="6" s="1"/>
  <c r="AB723" i="6"/>
  <c r="AC723" i="6" s="1"/>
  <c r="AA723" i="6"/>
  <c r="AA729" i="6"/>
  <c r="AC729" i="6" s="1"/>
  <c r="AB729" i="6"/>
  <c r="AA733" i="6"/>
  <c r="AB733" i="6"/>
  <c r="AC733" i="6" s="1"/>
  <c r="AB738" i="6"/>
  <c r="AC738" i="6" s="1"/>
  <c r="AA738" i="6"/>
  <c r="AA683" i="6"/>
  <c r="AB683" i="6"/>
  <c r="AC683" i="6" s="1"/>
  <c r="AB686" i="6"/>
  <c r="AC686" i="6" s="1"/>
  <c r="AA686" i="6"/>
  <c r="AB689" i="6"/>
  <c r="AC689" i="6" s="1"/>
  <c r="AA689" i="6"/>
  <c r="AA688" i="6"/>
  <c r="AB688" i="6"/>
  <c r="AC688" i="6" s="1"/>
  <c r="AA692" i="6"/>
  <c r="AB692" i="6"/>
  <c r="AC692" i="6" s="1"/>
  <c r="AB694" i="6"/>
  <c r="AC694" i="6" s="1"/>
  <c r="AA694" i="6"/>
  <c r="AA696" i="6"/>
  <c r="AB696" i="6"/>
  <c r="AC696" i="6" s="1"/>
  <c r="AB698" i="6"/>
  <c r="AA698" i="6"/>
  <c r="AC698" i="6" s="1"/>
  <c r="AA700" i="6"/>
  <c r="AB700" i="6"/>
  <c r="AC700" i="6" s="1"/>
  <c r="AB702" i="6"/>
  <c r="AC702" i="6" s="1"/>
  <c r="AA702" i="6"/>
  <c r="AB704" i="6"/>
  <c r="AC704" i="6" s="1"/>
  <c r="AA704" i="6"/>
  <c r="AA707" i="6"/>
  <c r="AB707" i="6"/>
  <c r="AC707" i="6" s="1"/>
  <c r="AA708" i="6"/>
  <c r="AB708" i="6"/>
  <c r="AC708" i="6" s="1"/>
  <c r="AB710" i="6"/>
  <c r="AC710" i="6" s="1"/>
  <c r="AA710" i="6"/>
  <c r="AB712" i="6"/>
  <c r="AC712" i="6" s="1"/>
  <c r="AA712" i="6"/>
  <c r="AA714" i="6"/>
  <c r="AB714" i="6"/>
  <c r="AC714" i="6" s="1"/>
  <c r="AA716" i="6"/>
  <c r="AB716" i="6"/>
  <c r="AC716" i="6" s="1"/>
  <c r="AA717" i="6"/>
  <c r="AB717" i="6"/>
  <c r="AC717" i="6" s="1"/>
  <c r="AA720" i="6"/>
  <c r="AB720" i="6"/>
  <c r="AC720" i="6" s="1"/>
  <c r="AB721" i="6"/>
  <c r="AC721" i="6" s="1"/>
  <c r="AA721" i="6"/>
  <c r="AA724" i="6"/>
  <c r="AB724" i="6"/>
  <c r="AC724" i="6" s="1"/>
  <c r="AB727" i="6"/>
  <c r="AA727" i="6"/>
  <c r="AC727" i="6" s="1"/>
  <c r="AB728" i="6"/>
  <c r="AA728" i="6"/>
  <c r="AC728" i="6" s="1"/>
  <c r="AB730" i="6"/>
  <c r="AA730" i="6"/>
  <c r="AC730" i="6" s="1"/>
  <c r="AA732" i="6"/>
  <c r="AB732" i="6"/>
  <c r="AC732" i="6" s="1"/>
  <c r="AB734" i="6"/>
  <c r="AC734" i="6" s="1"/>
  <c r="AA734" i="6"/>
  <c r="AA736" i="6"/>
  <c r="AB736" i="6"/>
  <c r="AC736" i="6" s="1"/>
  <c r="AB739" i="6"/>
  <c r="AC739" i="6" s="1"/>
  <c r="AA739" i="6"/>
  <c r="AB684" i="6"/>
  <c r="AC684" i="6" s="1"/>
  <c r="AA684" i="6"/>
  <c r="AB690" i="6"/>
  <c r="AC690" i="6" s="1"/>
  <c r="AA690" i="6"/>
  <c r="AA695" i="6"/>
  <c r="AB695" i="6"/>
  <c r="AC695" i="6" s="1"/>
  <c r="AA703" i="6"/>
  <c r="AB703" i="6"/>
  <c r="AC703" i="6" s="1"/>
  <c r="AA709" i="6"/>
  <c r="AC709" i="6" s="1"/>
  <c r="AB709" i="6"/>
  <c r="AB715" i="6"/>
  <c r="AC715" i="6" s="1"/>
  <c r="AA715" i="6"/>
  <c r="AA722" i="6"/>
  <c r="AB722" i="6"/>
  <c r="AC722" i="6" s="1"/>
  <c r="AA725" i="6"/>
  <c r="AC725" i="6" s="1"/>
  <c r="AB725" i="6"/>
  <c r="AB731" i="6"/>
  <c r="AC731" i="6" s="1"/>
  <c r="AA731" i="6"/>
  <c r="AA737" i="6"/>
  <c r="AB737" i="6"/>
  <c r="AC737" i="6" s="1"/>
  <c r="AA687" i="6"/>
  <c r="AB687" i="6"/>
  <c r="AC687" i="6" s="1"/>
  <c r="AA693" i="6"/>
  <c r="AC693" i="6" s="1"/>
  <c r="AB693" i="6"/>
  <c r="AA699" i="6"/>
  <c r="AC699" i="6" s="1"/>
  <c r="AB699" i="6"/>
  <c r="AB705" i="6"/>
  <c r="AC705" i="6" s="1"/>
  <c r="AA705" i="6"/>
  <c r="AA711" i="6"/>
  <c r="AB711" i="6"/>
  <c r="AC711" i="6" s="1"/>
  <c r="AB719" i="6"/>
  <c r="AC719" i="6" s="1"/>
  <c r="AA719" i="6"/>
  <c r="AB726" i="6"/>
  <c r="AA726" i="6"/>
  <c r="AC726" i="6" s="1"/>
  <c r="AB735" i="6"/>
  <c r="AC735" i="6" s="1"/>
  <c r="AA735" i="6"/>
  <c r="Z682" i="6" l="1"/>
  <c r="F682" i="6"/>
  <c r="Z681" i="6"/>
  <c r="F681" i="6"/>
  <c r="Z680" i="6"/>
  <c r="F680" i="6"/>
  <c r="Z679" i="6"/>
  <c r="F679" i="6"/>
  <c r="Z678" i="6"/>
  <c r="F678" i="6"/>
  <c r="Z677" i="6"/>
  <c r="F677" i="6"/>
  <c r="Z676" i="6"/>
  <c r="F676" i="6"/>
  <c r="Z675" i="6"/>
  <c r="F675" i="6"/>
  <c r="Z674" i="6"/>
  <c r="F674" i="6"/>
  <c r="Z673" i="6"/>
  <c r="F673" i="6"/>
  <c r="Z672" i="6"/>
  <c r="F672" i="6"/>
  <c r="Z671" i="6"/>
  <c r="F671" i="6"/>
  <c r="Z670" i="6"/>
  <c r="F670" i="6"/>
  <c r="Z669" i="6"/>
  <c r="F669" i="6"/>
  <c r="Z668" i="6"/>
  <c r="F668" i="6"/>
  <c r="Z667" i="6"/>
  <c r="F667" i="6"/>
  <c r="Z666" i="6"/>
  <c r="F666" i="6"/>
  <c r="Z665" i="6"/>
  <c r="F665" i="6"/>
  <c r="Z664" i="6"/>
  <c r="F664" i="6"/>
  <c r="Z663" i="6"/>
  <c r="F663" i="6"/>
  <c r="Z662" i="6"/>
  <c r="F662" i="6"/>
  <c r="Z661" i="6"/>
  <c r="F661" i="6"/>
  <c r="Z660" i="6"/>
  <c r="F660" i="6"/>
  <c r="Z658" i="6"/>
  <c r="F658" i="6"/>
  <c r="Z659" i="6"/>
  <c r="F659" i="6"/>
  <c r="Z656" i="6"/>
  <c r="F656" i="6"/>
  <c r="Z655" i="6"/>
  <c r="F655" i="6"/>
  <c r="Z657" i="6"/>
  <c r="F657" i="6"/>
  <c r="Z654" i="6"/>
  <c r="F654" i="6"/>
  <c r="Z652" i="6"/>
  <c r="F652" i="6"/>
  <c r="Z653" i="6"/>
  <c r="F653" i="6"/>
  <c r="Z651" i="6"/>
  <c r="F651" i="6"/>
  <c r="Z650" i="6"/>
  <c r="F650" i="6"/>
  <c r="Z648" i="6"/>
  <c r="F648" i="6"/>
  <c r="Z649" i="6"/>
  <c r="F649" i="6"/>
  <c r="Z647" i="6"/>
  <c r="F647" i="6"/>
  <c r="Z646" i="6"/>
  <c r="F646" i="6"/>
  <c r="Z645" i="6"/>
  <c r="F645" i="6"/>
  <c r="Z644" i="6"/>
  <c r="F644" i="6"/>
  <c r="Z643" i="6"/>
  <c r="F643" i="6"/>
  <c r="Z641" i="6"/>
  <c r="F641" i="6"/>
  <c r="Z642" i="6"/>
  <c r="F642" i="6"/>
  <c r="Z640" i="6"/>
  <c r="F640" i="6"/>
  <c r="Z639" i="6"/>
  <c r="F639" i="6"/>
  <c r="Z638" i="6"/>
  <c r="F638" i="6"/>
  <c r="Z636" i="6"/>
  <c r="F636" i="6"/>
  <c r="Z637" i="6"/>
  <c r="F637" i="6"/>
  <c r="Z635" i="6"/>
  <c r="F635" i="6"/>
  <c r="Z634" i="6"/>
  <c r="F634" i="6"/>
  <c r="Z633" i="6"/>
  <c r="F633" i="6"/>
  <c r="Z632" i="6"/>
  <c r="F632" i="6"/>
  <c r="Z631" i="6"/>
  <c r="F631" i="6"/>
  <c r="Z630" i="6"/>
  <c r="F630" i="6"/>
  <c r="Z629" i="6"/>
  <c r="F629" i="6"/>
  <c r="Z628" i="6"/>
  <c r="F628" i="6"/>
  <c r="Z627" i="6"/>
  <c r="F627" i="6"/>
  <c r="Z626" i="6"/>
  <c r="F626" i="6"/>
  <c r="Z625" i="6"/>
  <c r="F625" i="6"/>
  <c r="Z624" i="6"/>
  <c r="F624" i="6"/>
  <c r="Z623" i="6"/>
  <c r="F623" i="6"/>
  <c r="Z622" i="6"/>
  <c r="F622" i="6"/>
  <c r="Z621" i="6"/>
  <c r="F621" i="6"/>
  <c r="AA623" i="6" l="1"/>
  <c r="AC623" i="6" s="1"/>
  <c r="AB623" i="6"/>
  <c r="AB627" i="6"/>
  <c r="AA627" i="6"/>
  <c r="AC627" i="6" s="1"/>
  <c r="AA631" i="6"/>
  <c r="AC631" i="6" s="1"/>
  <c r="AB631" i="6"/>
  <c r="AA635" i="6"/>
  <c r="AC635" i="6" s="1"/>
  <c r="AB635" i="6"/>
  <c r="AA639" i="6"/>
  <c r="AC639" i="6" s="1"/>
  <c r="AB639" i="6"/>
  <c r="AB643" i="6"/>
  <c r="AA643" i="6"/>
  <c r="AC643" i="6" s="1"/>
  <c r="AA647" i="6"/>
  <c r="AC647" i="6" s="1"/>
  <c r="AB647" i="6"/>
  <c r="AA651" i="6"/>
  <c r="AC651" i="6" s="1"/>
  <c r="AB651" i="6"/>
  <c r="AA657" i="6"/>
  <c r="AC657" i="6" s="1"/>
  <c r="AB657" i="6"/>
  <c r="AA661" i="6"/>
  <c r="AC661" i="6" s="1"/>
  <c r="AB661" i="6"/>
  <c r="AA665" i="6"/>
  <c r="AC665" i="6" s="1"/>
  <c r="AB665" i="6"/>
  <c r="AA667" i="6"/>
  <c r="AC667" i="6" s="1"/>
  <c r="AB667" i="6"/>
  <c r="AA673" i="6"/>
  <c r="AC673" i="6" s="1"/>
  <c r="AB673" i="6"/>
  <c r="AB677" i="6"/>
  <c r="AA677" i="6"/>
  <c r="AC677" i="6" s="1"/>
  <c r="AB679" i="6"/>
  <c r="AA679" i="6"/>
  <c r="AC679" i="6" s="1"/>
  <c r="AA622" i="6"/>
  <c r="AC622" i="6" s="1"/>
  <c r="AB622" i="6"/>
  <c r="AB624" i="6"/>
  <c r="AA624" i="6"/>
  <c r="AC624" i="6" s="1"/>
  <c r="AB626" i="6"/>
  <c r="AA626" i="6"/>
  <c r="AC626" i="6" s="1"/>
  <c r="AA628" i="6"/>
  <c r="AC628" i="6" s="1"/>
  <c r="AB628" i="6"/>
  <c r="AA630" i="6"/>
  <c r="AC630" i="6" s="1"/>
  <c r="AB630" i="6"/>
  <c r="AA632" i="6"/>
  <c r="AC632" i="6" s="1"/>
  <c r="AB632" i="6"/>
  <c r="AB634" i="6"/>
  <c r="AA634" i="6"/>
  <c r="AC634" i="6" s="1"/>
  <c r="AA637" i="6"/>
  <c r="AC637" i="6" s="1"/>
  <c r="AB637" i="6"/>
  <c r="AA638" i="6"/>
  <c r="AC638" i="6" s="1"/>
  <c r="AB638" i="6"/>
  <c r="AB640" i="6"/>
  <c r="AA640" i="6"/>
  <c r="AC640" i="6" s="1"/>
  <c r="AB641" i="6"/>
  <c r="AA641" i="6"/>
  <c r="AC641" i="6" s="1"/>
  <c r="AA644" i="6"/>
  <c r="AC644" i="6" s="1"/>
  <c r="AB644" i="6"/>
  <c r="AA646" i="6"/>
  <c r="AC646" i="6" s="1"/>
  <c r="AB646" i="6"/>
  <c r="AA649" i="6"/>
  <c r="AC649" i="6" s="1"/>
  <c r="AB649" i="6"/>
  <c r="AB650" i="6"/>
  <c r="AA650" i="6"/>
  <c r="AC650" i="6" s="1"/>
  <c r="AA653" i="6"/>
  <c r="AC653" i="6" s="1"/>
  <c r="AB653" i="6"/>
  <c r="AA654" i="6"/>
  <c r="AC654" i="6" s="1"/>
  <c r="AB654" i="6"/>
  <c r="AB655" i="6"/>
  <c r="AA655" i="6"/>
  <c r="AC655" i="6" s="1"/>
  <c r="AB659" i="6"/>
  <c r="AA659" i="6"/>
  <c r="AC659" i="6" s="1"/>
  <c r="AA660" i="6"/>
  <c r="AC660" i="6" s="1"/>
  <c r="AB660" i="6"/>
  <c r="AA662" i="6"/>
  <c r="AC662" i="6" s="1"/>
  <c r="AB662" i="6"/>
  <c r="AA664" i="6"/>
  <c r="AC664" i="6" s="1"/>
  <c r="AB664" i="6"/>
  <c r="AB666" i="6"/>
  <c r="AA666" i="6"/>
  <c r="AC666" i="6" s="1"/>
  <c r="AA668" i="6"/>
  <c r="AC668" i="6" s="1"/>
  <c r="AB668" i="6"/>
  <c r="AA670" i="6"/>
  <c r="AC670" i="6" s="1"/>
  <c r="AB670" i="6"/>
  <c r="AB672" i="6"/>
  <c r="AA672" i="6"/>
  <c r="AC672" i="6" s="1"/>
  <c r="AB674" i="6"/>
  <c r="AA674" i="6"/>
  <c r="AC674" i="6" s="1"/>
  <c r="AB676" i="6"/>
  <c r="AA676" i="6"/>
  <c r="AC676" i="6" s="1"/>
  <c r="AA678" i="6"/>
  <c r="AC678" i="6" s="1"/>
  <c r="AB678" i="6"/>
  <c r="AB680" i="6"/>
  <c r="AA680" i="6"/>
  <c r="AC680" i="6" s="1"/>
  <c r="AA682" i="6"/>
  <c r="AC682" i="6" s="1"/>
  <c r="AB682" i="6"/>
  <c r="AB621" i="6"/>
  <c r="AA621" i="6"/>
  <c r="AC621" i="6" s="1"/>
  <c r="AA625" i="6"/>
  <c r="AC625" i="6" s="1"/>
  <c r="AB625" i="6"/>
  <c r="AA629" i="6"/>
  <c r="AC629" i="6" s="1"/>
  <c r="AB629" i="6"/>
  <c r="AA633" i="6"/>
  <c r="AC633" i="6" s="1"/>
  <c r="AB633" i="6"/>
  <c r="AB636" i="6"/>
  <c r="AA636" i="6"/>
  <c r="AC636" i="6" s="1"/>
  <c r="AA642" i="6"/>
  <c r="AC642" i="6" s="1"/>
  <c r="AB642" i="6"/>
  <c r="AA645" i="6"/>
  <c r="AC645" i="6" s="1"/>
  <c r="AB645" i="6"/>
  <c r="AA648" i="6"/>
  <c r="AC648" i="6" s="1"/>
  <c r="AB648" i="6"/>
  <c r="AB652" i="6"/>
  <c r="AA652" i="6"/>
  <c r="AC652" i="6" s="1"/>
  <c r="AA656" i="6"/>
  <c r="AC656" i="6" s="1"/>
  <c r="AB656" i="6"/>
  <c r="AB658" i="6"/>
  <c r="AA658" i="6"/>
  <c r="AC658" i="6" s="1"/>
  <c r="AA663" i="6"/>
  <c r="AC663" i="6" s="1"/>
  <c r="AB663" i="6"/>
  <c r="AB669" i="6"/>
  <c r="AA669" i="6"/>
  <c r="AC669" i="6" s="1"/>
  <c r="AA671" i="6"/>
  <c r="AC671" i="6" s="1"/>
  <c r="AB671" i="6"/>
  <c r="AB675" i="6"/>
  <c r="AA675" i="6"/>
  <c r="AC675" i="6" s="1"/>
  <c r="AB681" i="6"/>
  <c r="AA681" i="6"/>
  <c r="AC681" i="6" s="1"/>
  <c r="Z620" i="6" l="1"/>
  <c r="Z619" i="6"/>
  <c r="Z618" i="6"/>
  <c r="Z617" i="6"/>
  <c r="Z616" i="6"/>
  <c r="Z615" i="6"/>
  <c r="Z614" i="6"/>
  <c r="Z613" i="6"/>
  <c r="Z612" i="6"/>
  <c r="Z611" i="6"/>
  <c r="Z610" i="6"/>
  <c r="Z609" i="6"/>
  <c r="Z608" i="6"/>
  <c r="Z607" i="6"/>
  <c r="Z606" i="6"/>
  <c r="Z605" i="6"/>
  <c r="Z604" i="6"/>
  <c r="Z603" i="6"/>
  <c r="Z602" i="6"/>
  <c r="AB618" i="6" l="1"/>
  <c r="AA618" i="6"/>
  <c r="AC618" i="6" s="1"/>
  <c r="AA608" i="6"/>
  <c r="AC608" i="6" s="1"/>
  <c r="AB608" i="6"/>
  <c r="AA620" i="6"/>
  <c r="AC620" i="6" s="1"/>
  <c r="AB620" i="6"/>
  <c r="AB602" i="6"/>
  <c r="AA602" i="6"/>
  <c r="AC602" i="6" s="1"/>
  <c r="AA606" i="6"/>
  <c r="AC606" i="6" s="1"/>
  <c r="AB606" i="6"/>
  <c r="AB610" i="6"/>
  <c r="AA610" i="6"/>
  <c r="AC610" i="6" s="1"/>
  <c r="AA614" i="6"/>
  <c r="AC614" i="6" s="1"/>
  <c r="AB614" i="6"/>
  <c r="AA603" i="6"/>
  <c r="AC603" i="6" s="1"/>
  <c r="AB603" i="6"/>
  <c r="AA607" i="6"/>
  <c r="AC607" i="6" s="1"/>
  <c r="AB607" i="6"/>
  <c r="AA611" i="6"/>
  <c r="AC611" i="6" s="1"/>
  <c r="AB611" i="6"/>
  <c r="AA615" i="6"/>
  <c r="AC615" i="6" s="1"/>
  <c r="AB615" i="6"/>
  <c r="AA619" i="6"/>
  <c r="AC619" i="6" s="1"/>
  <c r="AB619" i="6"/>
  <c r="AA604" i="6"/>
  <c r="AC604" i="6" s="1"/>
  <c r="AB604" i="6"/>
  <c r="AA612" i="6"/>
  <c r="AC612" i="6" s="1"/>
  <c r="AB612" i="6"/>
  <c r="AA616" i="6"/>
  <c r="AC616" i="6" s="1"/>
  <c r="AB616" i="6"/>
  <c r="AA605" i="6"/>
  <c r="AC605" i="6" s="1"/>
  <c r="AB605" i="6"/>
  <c r="AA609" i="6"/>
  <c r="AC609" i="6" s="1"/>
  <c r="AB609" i="6"/>
  <c r="AA613" i="6"/>
  <c r="AC613" i="6" s="1"/>
  <c r="AB613" i="6"/>
  <c r="AA617" i="6"/>
  <c r="AC617" i="6" s="1"/>
  <c r="AB617" i="6"/>
  <c r="Z601" i="6"/>
  <c r="Z598" i="6"/>
  <c r="Z600" i="6"/>
  <c r="Z599" i="6"/>
  <c r="Z592" i="6"/>
  <c r="Z597" i="6"/>
  <c r="Z596" i="6"/>
  <c r="Z595" i="6"/>
  <c r="Z594" i="6"/>
  <c r="Z593" i="6"/>
  <c r="Z581" i="6"/>
  <c r="Z580" i="6"/>
  <c r="Z579" i="6"/>
  <c r="Z591" i="6"/>
  <c r="Z590" i="6"/>
  <c r="Z589" i="6"/>
  <c r="Z588" i="6"/>
  <c r="Z587" i="6"/>
  <c r="Z586" i="6"/>
  <c r="Z585" i="6"/>
  <c r="Z584" i="6"/>
  <c r="Z583" i="6"/>
  <c r="Z582" i="6"/>
  <c r="Z578" i="6"/>
  <c r="Z577" i="6"/>
  <c r="Z576" i="6"/>
  <c r="Z575" i="6"/>
  <c r="Z574" i="6"/>
  <c r="Z573" i="6"/>
  <c r="Z572" i="6"/>
  <c r="Z571" i="6"/>
  <c r="Z570" i="6"/>
  <c r="Z569" i="6"/>
  <c r="Z568" i="6"/>
  <c r="Z567" i="6"/>
  <c r="Z566" i="6"/>
  <c r="Z565" i="6"/>
  <c r="Z564" i="6"/>
  <c r="Z563" i="6"/>
  <c r="Z562" i="6"/>
  <c r="Z561" i="6"/>
  <c r="Z560" i="6"/>
  <c r="Z559" i="6"/>
  <c r="Z558" i="6"/>
  <c r="Z557" i="6"/>
  <c r="Z556" i="6"/>
  <c r="Z555" i="6"/>
  <c r="Z554" i="6"/>
  <c r="Z553" i="6"/>
  <c r="Z552" i="6"/>
  <c r="Z551" i="6"/>
  <c r="Z550" i="6"/>
  <c r="Z549" i="6"/>
  <c r="Z548" i="6"/>
  <c r="Z547" i="6"/>
  <c r="Z546" i="6"/>
  <c r="Z545" i="6"/>
  <c r="Z544" i="6"/>
  <c r="Z543" i="6"/>
  <c r="Z542" i="6"/>
  <c r="Z541" i="6"/>
  <c r="Z540" i="6"/>
  <c r="Z539" i="6"/>
  <c r="Z538" i="6"/>
  <c r="Z537" i="6"/>
  <c r="Z536" i="6"/>
  <c r="Z535" i="6"/>
  <c r="Z534" i="6"/>
  <c r="Z533" i="6"/>
  <c r="Z531" i="6"/>
  <c r="Z532" i="6"/>
  <c r="Z530" i="6"/>
  <c r="Z529" i="6"/>
  <c r="Z528" i="6"/>
  <c r="Z526" i="6"/>
  <c r="Z527" i="6"/>
  <c r="Z525" i="6"/>
  <c r="Z524" i="6"/>
  <c r="Z523" i="6"/>
  <c r="Z522" i="6"/>
  <c r="Z520" i="6"/>
  <c r="Z521" i="6"/>
  <c r="Z518" i="6"/>
  <c r="Z519" i="6"/>
  <c r="Z517" i="6"/>
  <c r="Z515" i="6"/>
  <c r="Z516" i="6"/>
  <c r="Z514" i="6"/>
  <c r="Z513" i="6"/>
  <c r="Z512" i="6"/>
  <c r="Z511" i="6"/>
  <c r="Z510" i="6"/>
  <c r="Z509" i="6"/>
  <c r="Z507" i="6"/>
  <c r="Z508" i="6"/>
  <c r="Z506" i="6"/>
  <c r="Z504" i="6"/>
  <c r="Z505" i="6"/>
  <c r="Z503" i="6"/>
  <c r="Z502" i="6"/>
  <c r="Z501" i="6"/>
  <c r="Z500" i="6"/>
  <c r="Z499" i="6"/>
  <c r="Z498" i="6"/>
  <c r="Z497" i="6"/>
  <c r="Z496" i="6"/>
  <c r="Z495" i="6"/>
  <c r="Z494" i="6"/>
  <c r="Z493" i="6"/>
  <c r="Z492" i="6"/>
  <c r="Z491" i="6"/>
  <c r="Z490" i="6"/>
  <c r="Z489" i="6"/>
  <c r="Z488" i="6"/>
  <c r="Z487" i="6"/>
  <c r="Z486" i="6"/>
  <c r="Z485" i="6"/>
  <c r="Z484" i="6"/>
  <c r="Z483" i="6"/>
  <c r="Z482" i="6"/>
  <c r="Z481" i="6"/>
  <c r="Z480" i="6"/>
  <c r="Z479" i="6"/>
  <c r="Z478" i="6"/>
  <c r="Z477" i="6"/>
  <c r="Z476" i="6"/>
  <c r="Z475" i="6"/>
  <c r="Z474" i="6"/>
  <c r="Z473" i="6"/>
  <c r="Z472" i="6"/>
  <c r="Z471" i="6"/>
  <c r="AA476" i="6" l="1"/>
  <c r="AC476" i="6" s="1"/>
  <c r="AB476" i="6"/>
  <c r="AA484" i="6"/>
  <c r="AC484" i="6" s="1"/>
  <c r="AB484" i="6"/>
  <c r="AA492" i="6"/>
  <c r="AC492" i="6" s="1"/>
  <c r="AB492" i="6"/>
  <c r="AA500" i="6"/>
  <c r="AC500" i="6" s="1"/>
  <c r="AB500" i="6"/>
  <c r="AA507" i="6"/>
  <c r="AC507" i="6" s="1"/>
  <c r="AB507" i="6"/>
  <c r="AA515" i="6"/>
  <c r="AC515" i="6" s="1"/>
  <c r="AB515" i="6"/>
  <c r="AA524" i="6"/>
  <c r="AC524" i="6" s="1"/>
  <c r="AB524" i="6"/>
  <c r="AA531" i="6"/>
  <c r="AC531" i="6" s="1"/>
  <c r="AB531" i="6"/>
  <c r="AA544" i="6"/>
  <c r="AC544" i="6" s="1"/>
  <c r="AB544" i="6"/>
  <c r="AA552" i="6"/>
  <c r="AC552" i="6" s="1"/>
  <c r="AB552" i="6"/>
  <c r="AA560" i="6"/>
  <c r="AC560" i="6" s="1"/>
  <c r="AB560" i="6"/>
  <c r="AA572" i="6"/>
  <c r="AC572" i="6" s="1"/>
  <c r="AB572" i="6"/>
  <c r="AA583" i="6"/>
  <c r="AC583" i="6" s="1"/>
  <c r="AB583" i="6"/>
  <c r="AA591" i="6"/>
  <c r="AC591" i="6" s="1"/>
  <c r="AB591" i="6"/>
  <c r="AA593" i="6"/>
  <c r="AC593" i="6" s="1"/>
  <c r="AB593" i="6"/>
  <c r="AA597" i="6"/>
  <c r="AC597" i="6" s="1"/>
  <c r="AB597" i="6"/>
  <c r="AB477" i="6"/>
  <c r="AA477" i="6"/>
  <c r="AC477" i="6" s="1"/>
  <c r="AA485" i="6"/>
  <c r="AC485" i="6" s="1"/>
  <c r="AB485" i="6"/>
  <c r="AA493" i="6"/>
  <c r="AC493" i="6" s="1"/>
  <c r="AB493" i="6"/>
  <c r="AA501" i="6"/>
  <c r="AC501" i="6" s="1"/>
  <c r="AB501" i="6"/>
  <c r="AA513" i="6"/>
  <c r="AC513" i="6" s="1"/>
  <c r="AB513" i="6"/>
  <c r="AA520" i="6"/>
  <c r="AC520" i="6" s="1"/>
  <c r="AB520" i="6"/>
  <c r="AA529" i="6"/>
  <c r="AC529" i="6" s="1"/>
  <c r="AB529" i="6"/>
  <c r="AA541" i="6"/>
  <c r="AC541" i="6" s="1"/>
  <c r="AB541" i="6"/>
  <c r="AA549" i="6"/>
  <c r="AC549" i="6" s="1"/>
  <c r="AB549" i="6"/>
  <c r="AA557" i="6"/>
  <c r="AC557" i="6" s="1"/>
  <c r="AB557" i="6"/>
  <c r="AA565" i="6"/>
  <c r="AC565" i="6" s="1"/>
  <c r="AB565" i="6"/>
  <c r="AA573" i="6"/>
  <c r="AC573" i="6" s="1"/>
  <c r="AB573" i="6"/>
  <c r="AA584" i="6"/>
  <c r="AC584" i="6" s="1"/>
  <c r="AB584" i="6"/>
  <c r="AA588" i="6"/>
  <c r="AC588" i="6" s="1"/>
  <c r="AB588" i="6"/>
  <c r="AA579" i="6"/>
  <c r="AC579" i="6" s="1"/>
  <c r="AB579" i="6"/>
  <c r="AA594" i="6"/>
  <c r="AC594" i="6" s="1"/>
  <c r="AB594" i="6"/>
  <c r="AA592" i="6"/>
  <c r="AC592" i="6" s="1"/>
  <c r="AB592" i="6"/>
  <c r="AA601" i="6"/>
  <c r="AC601" i="6" s="1"/>
  <c r="AB601" i="6"/>
  <c r="AB474" i="6"/>
  <c r="AA474" i="6"/>
  <c r="AC474" i="6" s="1"/>
  <c r="AA478" i="6"/>
  <c r="AC478" i="6" s="1"/>
  <c r="AB478" i="6"/>
  <c r="AB482" i="6"/>
  <c r="AA482" i="6"/>
  <c r="AC482" i="6" s="1"/>
  <c r="AA486" i="6"/>
  <c r="AC486" i="6" s="1"/>
  <c r="AB486" i="6"/>
  <c r="AB490" i="6"/>
  <c r="AA490" i="6"/>
  <c r="AC490" i="6" s="1"/>
  <c r="AA494" i="6"/>
  <c r="AC494" i="6" s="1"/>
  <c r="AB494" i="6"/>
  <c r="AB498" i="6"/>
  <c r="AA498" i="6"/>
  <c r="AC498" i="6" s="1"/>
  <c r="AA502" i="6"/>
  <c r="AC502" i="6" s="1"/>
  <c r="AB502" i="6"/>
  <c r="AB506" i="6"/>
  <c r="AA506" i="6"/>
  <c r="AC506" i="6" s="1"/>
  <c r="AA510" i="6"/>
  <c r="AC510" i="6" s="1"/>
  <c r="AB510" i="6"/>
  <c r="AB514" i="6"/>
  <c r="AA514" i="6"/>
  <c r="AC514" i="6" s="1"/>
  <c r="AA519" i="6"/>
  <c r="AC519" i="6" s="1"/>
  <c r="AB519" i="6"/>
  <c r="AB522" i="6"/>
  <c r="AA522" i="6"/>
  <c r="AC522" i="6" s="1"/>
  <c r="AA527" i="6"/>
  <c r="AC527" i="6" s="1"/>
  <c r="AB527" i="6"/>
  <c r="AB530" i="6"/>
  <c r="AA530" i="6"/>
  <c r="AC530" i="6" s="1"/>
  <c r="AA534" i="6"/>
  <c r="AC534" i="6" s="1"/>
  <c r="AB534" i="6"/>
  <c r="AB538" i="6"/>
  <c r="AA538" i="6"/>
  <c r="AC538" i="6" s="1"/>
  <c r="AA542" i="6"/>
  <c r="AC542" i="6" s="1"/>
  <c r="AB542" i="6"/>
  <c r="AB546" i="6"/>
  <c r="AA546" i="6"/>
  <c r="AC546" i="6" s="1"/>
  <c r="AA550" i="6"/>
  <c r="AC550" i="6" s="1"/>
  <c r="AB550" i="6"/>
  <c r="AB554" i="6"/>
  <c r="AA554" i="6"/>
  <c r="AC554" i="6" s="1"/>
  <c r="AA558" i="6"/>
  <c r="AC558" i="6" s="1"/>
  <c r="AB558" i="6"/>
  <c r="AB562" i="6"/>
  <c r="AA562" i="6"/>
  <c r="AC562" i="6" s="1"/>
  <c r="AA566" i="6"/>
  <c r="AC566" i="6" s="1"/>
  <c r="AB566" i="6"/>
  <c r="AB570" i="6"/>
  <c r="AA570" i="6"/>
  <c r="AC570" i="6" s="1"/>
  <c r="AA574" i="6"/>
  <c r="AC574" i="6" s="1"/>
  <c r="AB574" i="6"/>
  <c r="AB578" i="6"/>
  <c r="AA578" i="6"/>
  <c r="AC578" i="6" s="1"/>
  <c r="AA585" i="6"/>
  <c r="AC585" i="6" s="1"/>
  <c r="AB585" i="6"/>
  <c r="AB589" i="6"/>
  <c r="AA589" i="6"/>
  <c r="AC589" i="6" s="1"/>
  <c r="AA580" i="6"/>
  <c r="AC580" i="6" s="1"/>
  <c r="AB580" i="6"/>
  <c r="AB595" i="6"/>
  <c r="AA595" i="6"/>
  <c r="AC595" i="6" s="1"/>
  <c r="AA599" i="6"/>
  <c r="AC599" i="6" s="1"/>
  <c r="AB599" i="6"/>
  <c r="AA472" i="6"/>
  <c r="AC472" i="6" s="1"/>
  <c r="AB472" i="6"/>
  <c r="AA480" i="6"/>
  <c r="AC480" i="6" s="1"/>
  <c r="AB480" i="6"/>
  <c r="AA488" i="6"/>
  <c r="AC488" i="6" s="1"/>
  <c r="AB488" i="6"/>
  <c r="AA496" i="6"/>
  <c r="AC496" i="6" s="1"/>
  <c r="AB496" i="6"/>
  <c r="AA505" i="6"/>
  <c r="AC505" i="6" s="1"/>
  <c r="AB505" i="6"/>
  <c r="AA512" i="6"/>
  <c r="AC512" i="6" s="1"/>
  <c r="AB512" i="6"/>
  <c r="AA521" i="6"/>
  <c r="AC521" i="6" s="1"/>
  <c r="AB521" i="6"/>
  <c r="AA528" i="6"/>
  <c r="AC528" i="6" s="1"/>
  <c r="AB528" i="6"/>
  <c r="AA536" i="6"/>
  <c r="AC536" i="6" s="1"/>
  <c r="AB536" i="6"/>
  <c r="AA540" i="6"/>
  <c r="AC540" i="6" s="1"/>
  <c r="AB540" i="6"/>
  <c r="AA548" i="6"/>
  <c r="AC548" i="6" s="1"/>
  <c r="AB548" i="6"/>
  <c r="AA556" i="6"/>
  <c r="AC556" i="6" s="1"/>
  <c r="AB556" i="6"/>
  <c r="AA564" i="6"/>
  <c r="AC564" i="6" s="1"/>
  <c r="AB564" i="6"/>
  <c r="AA568" i="6"/>
  <c r="AC568" i="6" s="1"/>
  <c r="AB568" i="6"/>
  <c r="AA576" i="6"/>
  <c r="AC576" i="6" s="1"/>
  <c r="AB576" i="6"/>
  <c r="AA587" i="6"/>
  <c r="AC587" i="6" s="1"/>
  <c r="AB587" i="6"/>
  <c r="AA598" i="6"/>
  <c r="AC598" i="6" s="1"/>
  <c r="AB598" i="6"/>
  <c r="AA473" i="6"/>
  <c r="AC473" i="6" s="1"/>
  <c r="AB473" i="6"/>
  <c r="AA481" i="6"/>
  <c r="AC481" i="6" s="1"/>
  <c r="AB481" i="6"/>
  <c r="AA489" i="6"/>
  <c r="AC489" i="6" s="1"/>
  <c r="AB489" i="6"/>
  <c r="AA497" i="6"/>
  <c r="AC497" i="6" s="1"/>
  <c r="AB497" i="6"/>
  <c r="AA504" i="6"/>
  <c r="AC504" i="6" s="1"/>
  <c r="AB504" i="6"/>
  <c r="AA509" i="6"/>
  <c r="AC509" i="6" s="1"/>
  <c r="AB509" i="6"/>
  <c r="AA517" i="6"/>
  <c r="AC517" i="6" s="1"/>
  <c r="AB517" i="6"/>
  <c r="AA525" i="6"/>
  <c r="AC525" i="6" s="1"/>
  <c r="AB525" i="6"/>
  <c r="AA533" i="6"/>
  <c r="AC533" i="6" s="1"/>
  <c r="AB533" i="6"/>
  <c r="AA537" i="6"/>
  <c r="AC537" i="6" s="1"/>
  <c r="AB537" i="6"/>
  <c r="AA545" i="6"/>
  <c r="AC545" i="6" s="1"/>
  <c r="AB545" i="6"/>
  <c r="AA553" i="6"/>
  <c r="AC553" i="6" s="1"/>
  <c r="AB553" i="6"/>
  <c r="AA561" i="6"/>
  <c r="AC561" i="6" s="1"/>
  <c r="AB561" i="6"/>
  <c r="AA569" i="6"/>
  <c r="AC569" i="6" s="1"/>
  <c r="AB569" i="6"/>
  <c r="AA577" i="6"/>
  <c r="AC577" i="6" s="1"/>
  <c r="AB577" i="6"/>
  <c r="AA471" i="6"/>
  <c r="AC471" i="6" s="1"/>
  <c r="AB471" i="6"/>
  <c r="AA475" i="6"/>
  <c r="AC475" i="6" s="1"/>
  <c r="AB475" i="6"/>
  <c r="AA479" i="6"/>
  <c r="AC479" i="6" s="1"/>
  <c r="AB479" i="6"/>
  <c r="AB483" i="6"/>
  <c r="AA483" i="6"/>
  <c r="AC483" i="6" s="1"/>
  <c r="AA487" i="6"/>
  <c r="AC487" i="6" s="1"/>
  <c r="AB487" i="6"/>
  <c r="AA491" i="6"/>
  <c r="AC491" i="6" s="1"/>
  <c r="AB491" i="6"/>
  <c r="AA495" i="6"/>
  <c r="AC495" i="6" s="1"/>
  <c r="AB495" i="6"/>
  <c r="AA499" i="6"/>
  <c r="AC499" i="6" s="1"/>
  <c r="AB499" i="6"/>
  <c r="AA503" i="6"/>
  <c r="AC503" i="6" s="1"/>
  <c r="AB503" i="6"/>
  <c r="AA508" i="6"/>
  <c r="AC508" i="6" s="1"/>
  <c r="AB508" i="6"/>
  <c r="AA511" i="6"/>
  <c r="AC511" i="6" s="1"/>
  <c r="AB511" i="6"/>
  <c r="AA516" i="6"/>
  <c r="AC516" i="6" s="1"/>
  <c r="AB516" i="6"/>
  <c r="AA518" i="6"/>
  <c r="AC518" i="6" s="1"/>
  <c r="AB518" i="6"/>
  <c r="AA523" i="6"/>
  <c r="AC523" i="6" s="1"/>
  <c r="AB523" i="6"/>
  <c r="AA526" i="6"/>
  <c r="AC526" i="6" s="1"/>
  <c r="AB526" i="6"/>
  <c r="AA532" i="6"/>
  <c r="AC532" i="6" s="1"/>
  <c r="AB532" i="6"/>
  <c r="AA535" i="6"/>
  <c r="AC535" i="6" s="1"/>
  <c r="AB535" i="6"/>
  <c r="AA539" i="6"/>
  <c r="AC539" i="6" s="1"/>
  <c r="AB539" i="6"/>
  <c r="AA543" i="6"/>
  <c r="AC543" i="6" s="1"/>
  <c r="AB543" i="6"/>
  <c r="AA547" i="6"/>
  <c r="AC547" i="6" s="1"/>
  <c r="AB547" i="6"/>
  <c r="AA551" i="6"/>
  <c r="AC551" i="6" s="1"/>
  <c r="AB551" i="6"/>
  <c r="AA555" i="6"/>
  <c r="AC555" i="6" s="1"/>
  <c r="AB555" i="6"/>
  <c r="AA559" i="6"/>
  <c r="AC559" i="6" s="1"/>
  <c r="AB559" i="6"/>
  <c r="AA563" i="6"/>
  <c r="AC563" i="6" s="1"/>
  <c r="AB563" i="6"/>
  <c r="AA567" i="6"/>
  <c r="AC567" i="6" s="1"/>
  <c r="AB567" i="6"/>
  <c r="AA571" i="6"/>
  <c r="AC571" i="6" s="1"/>
  <c r="AB571" i="6"/>
  <c r="AA575" i="6"/>
  <c r="AC575" i="6" s="1"/>
  <c r="AB575" i="6"/>
  <c r="AA582" i="6"/>
  <c r="AC582" i="6" s="1"/>
  <c r="AB582" i="6"/>
  <c r="AA586" i="6"/>
  <c r="AC586" i="6" s="1"/>
  <c r="AB586" i="6"/>
  <c r="AA590" i="6"/>
  <c r="AC590" i="6" s="1"/>
  <c r="AB590" i="6"/>
  <c r="AA581" i="6"/>
  <c r="AC581" i="6" s="1"/>
  <c r="AB581" i="6"/>
  <c r="AA596" i="6"/>
  <c r="AC596" i="6" s="1"/>
  <c r="AB596" i="6"/>
  <c r="AA600" i="6"/>
  <c r="AC600" i="6" s="1"/>
  <c r="AB600" i="6"/>
  <c r="Z470" i="6"/>
  <c r="F470" i="6"/>
  <c r="Z469" i="6"/>
  <c r="F469" i="6"/>
  <c r="Z468" i="6"/>
  <c r="F468" i="6"/>
  <c r="F467" i="6"/>
  <c r="F466" i="6"/>
  <c r="F465" i="6"/>
  <c r="F464" i="6"/>
  <c r="F463" i="6"/>
  <c r="F462" i="6"/>
  <c r="F461" i="6"/>
  <c r="F460" i="6"/>
  <c r="F459" i="6"/>
  <c r="F458" i="6"/>
  <c r="F457" i="6"/>
  <c r="AA468" i="6" l="1"/>
  <c r="AC468" i="6" s="1"/>
  <c r="AB468" i="6"/>
  <c r="AA470" i="6"/>
  <c r="AC470" i="6" s="1"/>
  <c r="AB470" i="6"/>
  <c r="AA469" i="6"/>
  <c r="AC469" i="6" s="1"/>
  <c r="AB469" i="6"/>
  <c r="Z88" i="6" l="1"/>
  <c r="F88" i="6"/>
  <c r="Z90" i="6"/>
  <c r="F90" i="6"/>
  <c r="Z89" i="6"/>
  <c r="F89" i="6"/>
  <c r="Z84" i="6"/>
  <c r="F84" i="6"/>
  <c r="Z86" i="6"/>
  <c r="F86" i="6"/>
  <c r="Z85" i="6"/>
  <c r="F85" i="6"/>
  <c r="Z83" i="6"/>
  <c r="F83" i="6"/>
  <c r="Z82" i="6"/>
  <c r="F82" i="6"/>
  <c r="Z81" i="6"/>
  <c r="F81" i="6"/>
  <c r="Z80" i="6"/>
  <c r="F80" i="6"/>
  <c r="Z77" i="6"/>
  <c r="F77" i="6"/>
  <c r="Z79" i="6"/>
  <c r="F79" i="6"/>
  <c r="Z76" i="6"/>
  <c r="F76" i="6"/>
  <c r="Z75" i="6"/>
  <c r="F75" i="6"/>
  <c r="Z78" i="6"/>
  <c r="F78" i="6"/>
  <c r="Z72" i="6"/>
  <c r="F72" i="6"/>
  <c r="Z71" i="6"/>
  <c r="F71" i="6"/>
  <c r="Z70" i="6"/>
  <c r="F70" i="6"/>
  <c r="Z69" i="6"/>
  <c r="F69" i="6"/>
  <c r="Z68" i="6"/>
  <c r="F68" i="6"/>
  <c r="Z67" i="6"/>
  <c r="F67" i="6"/>
  <c r="Z65" i="6"/>
  <c r="F65" i="6"/>
  <c r="Z66" i="6"/>
  <c r="F66" i="6"/>
  <c r="Z63" i="6"/>
  <c r="F63" i="6"/>
  <c r="Z64" i="6"/>
  <c r="F64" i="6"/>
  <c r="Z62" i="6"/>
  <c r="F62" i="6"/>
  <c r="Z61" i="6"/>
  <c r="F61" i="6"/>
  <c r="Z60" i="6"/>
  <c r="F60" i="6"/>
  <c r="Z59" i="6"/>
  <c r="F59" i="6"/>
  <c r="Z58" i="6"/>
  <c r="F58" i="6"/>
  <c r="Z57" i="6"/>
  <c r="F57" i="6"/>
  <c r="Z56" i="6"/>
  <c r="F56" i="6"/>
  <c r="Z55" i="6"/>
  <c r="F55" i="6"/>
  <c r="Z54" i="6"/>
  <c r="F54" i="6"/>
  <c r="Z53" i="6"/>
  <c r="F53" i="6"/>
  <c r="Z52" i="6"/>
  <c r="F52" i="6"/>
  <c r="Z51" i="6"/>
  <c r="F51" i="6"/>
  <c r="Z50" i="6"/>
  <c r="F50" i="6"/>
  <c r="Z49" i="6"/>
  <c r="F49" i="6"/>
  <c r="Z48" i="6"/>
  <c r="F48" i="6"/>
  <c r="Z46" i="6"/>
  <c r="F46" i="6"/>
  <c r="Z47" i="6"/>
  <c r="F47" i="6"/>
  <c r="Z44" i="6"/>
  <c r="F44" i="6"/>
  <c r="Z45" i="6"/>
  <c r="F45" i="6"/>
  <c r="Z43" i="6"/>
  <c r="F43" i="6"/>
  <c r="Z41" i="6"/>
  <c r="F41" i="6"/>
  <c r="Z40" i="6"/>
  <c r="F40" i="6"/>
  <c r="Z42" i="6"/>
  <c r="F42" i="6"/>
  <c r="Z39" i="6"/>
  <c r="F39" i="6"/>
  <c r="Z38" i="6"/>
  <c r="F38" i="6"/>
  <c r="Z37" i="6"/>
  <c r="F37" i="6"/>
  <c r="Z36" i="6"/>
  <c r="F36" i="6"/>
  <c r="Z35" i="6"/>
  <c r="F35" i="6"/>
  <c r="Z34" i="6"/>
  <c r="F34" i="6"/>
  <c r="Z33" i="6"/>
  <c r="F33" i="6"/>
  <c r="Z32" i="6"/>
  <c r="F32" i="6"/>
  <c r="Z31" i="6"/>
  <c r="F31" i="6"/>
  <c r="Z29" i="6"/>
  <c r="F29" i="6"/>
  <c r="Z30" i="6"/>
  <c r="F30" i="6"/>
  <c r="Z28" i="6"/>
  <c r="F28" i="6"/>
  <c r="Z27" i="6"/>
  <c r="F27" i="6"/>
  <c r="Z26" i="6"/>
  <c r="F26" i="6"/>
  <c r="Z25" i="6"/>
  <c r="F25" i="6"/>
  <c r="Z24" i="6"/>
  <c r="F24" i="6"/>
  <c r="Z23" i="6"/>
  <c r="F23" i="6"/>
  <c r="Z22" i="6"/>
  <c r="F22" i="6"/>
  <c r="Z21" i="6"/>
  <c r="F21" i="6"/>
  <c r="Z18" i="6"/>
  <c r="F18" i="6"/>
  <c r="Z19" i="6"/>
  <c r="F19" i="6"/>
  <c r="Z20" i="6"/>
  <c r="F20" i="6"/>
  <c r="Z17" i="6"/>
  <c r="F17" i="6"/>
  <c r="AA18" i="6" l="1"/>
  <c r="AC18" i="6" s="1"/>
  <c r="AB18" i="6"/>
  <c r="AA26" i="6"/>
  <c r="AC26" i="6" s="1"/>
  <c r="AB26" i="6"/>
  <c r="AA32" i="6"/>
  <c r="AC32" i="6" s="1"/>
  <c r="AB32" i="6"/>
  <c r="AA36" i="6"/>
  <c r="AC36" i="6" s="1"/>
  <c r="AB36" i="6"/>
  <c r="AA42" i="6"/>
  <c r="AC42" i="6" s="1"/>
  <c r="AB42" i="6"/>
  <c r="AA47" i="6"/>
  <c r="AC47" i="6" s="1"/>
  <c r="AB47" i="6"/>
  <c r="AA50" i="6"/>
  <c r="AC50" i="6" s="1"/>
  <c r="AB50" i="6"/>
  <c r="AA54" i="6"/>
  <c r="AC54" i="6" s="1"/>
  <c r="AB54" i="6"/>
  <c r="AA58" i="6"/>
  <c r="AC58" i="6" s="1"/>
  <c r="AB58" i="6"/>
  <c r="AA62" i="6"/>
  <c r="AC62" i="6" s="1"/>
  <c r="AB62" i="6"/>
  <c r="AA68" i="6"/>
  <c r="AC68" i="6" s="1"/>
  <c r="AB68" i="6"/>
  <c r="AA72" i="6"/>
  <c r="AC72" i="6" s="1"/>
  <c r="AB72" i="6"/>
  <c r="AA79" i="6"/>
  <c r="AC79" i="6" s="1"/>
  <c r="AB79" i="6"/>
  <c r="AA82" i="6"/>
  <c r="AC82" i="6" s="1"/>
  <c r="AB82" i="6"/>
  <c r="AA90" i="6"/>
  <c r="AC90" i="6" s="1"/>
  <c r="AB90" i="6"/>
  <c r="AA17" i="6"/>
  <c r="AC17" i="6" s="1"/>
  <c r="AB17" i="6"/>
  <c r="AB19" i="6"/>
  <c r="AA19" i="6"/>
  <c r="AC19" i="6" s="1"/>
  <c r="AB21" i="6"/>
  <c r="AA21" i="6"/>
  <c r="AC21" i="6" s="1"/>
  <c r="AA23" i="6"/>
  <c r="AC23" i="6" s="1"/>
  <c r="AB23" i="6"/>
  <c r="AB25" i="6"/>
  <c r="AA25" i="6"/>
  <c r="AC25" i="6" s="1"/>
  <c r="AA27" i="6"/>
  <c r="AC27" i="6" s="1"/>
  <c r="AB27" i="6"/>
  <c r="AA30" i="6"/>
  <c r="AC30" i="6" s="1"/>
  <c r="AB30" i="6"/>
  <c r="AA31" i="6"/>
  <c r="AC31" i="6" s="1"/>
  <c r="AB31" i="6"/>
  <c r="AB33" i="6"/>
  <c r="AA33" i="6"/>
  <c r="AC33" i="6" s="1"/>
  <c r="AA35" i="6"/>
  <c r="AC35" i="6" s="1"/>
  <c r="AB35" i="6"/>
  <c r="AA37" i="6"/>
  <c r="AC37" i="6" s="1"/>
  <c r="AB37" i="6"/>
  <c r="AA39" i="6"/>
  <c r="AC39" i="6" s="1"/>
  <c r="AB39" i="6"/>
  <c r="AB40" i="6"/>
  <c r="AA40" i="6"/>
  <c r="AC40" i="6" s="1"/>
  <c r="AA43" i="6"/>
  <c r="AC43" i="6" s="1"/>
  <c r="AB43" i="6"/>
  <c r="AB44" i="6"/>
  <c r="AA44" i="6"/>
  <c r="AC44" i="6" s="1"/>
  <c r="AB46" i="6"/>
  <c r="AA46" i="6"/>
  <c r="AC46" i="6" s="1"/>
  <c r="AB49" i="6"/>
  <c r="AA49" i="6"/>
  <c r="AC49" i="6" s="1"/>
  <c r="AA51" i="6"/>
  <c r="AC51" i="6" s="1"/>
  <c r="AB51" i="6"/>
  <c r="AA53" i="6"/>
  <c r="AC53" i="6" s="1"/>
  <c r="AB53" i="6"/>
  <c r="AA55" i="6"/>
  <c r="AC55" i="6" s="1"/>
  <c r="AB55" i="6"/>
  <c r="AB57" i="6"/>
  <c r="AA57" i="6"/>
  <c r="AC57" i="6" s="1"/>
  <c r="AA59" i="6"/>
  <c r="AC59" i="6" s="1"/>
  <c r="AB59" i="6"/>
  <c r="AA61" i="6"/>
  <c r="AC61" i="6" s="1"/>
  <c r="AB61" i="6"/>
  <c r="AA64" i="6"/>
  <c r="AC64" i="6" s="1"/>
  <c r="AB64" i="6"/>
  <c r="AB66" i="6"/>
  <c r="AA66" i="6"/>
  <c r="AC66" i="6" s="1"/>
  <c r="AA67" i="6"/>
  <c r="AC67" i="6" s="1"/>
  <c r="AB67" i="6"/>
  <c r="AA69" i="6"/>
  <c r="AC69" i="6" s="1"/>
  <c r="AB69" i="6"/>
  <c r="AA71" i="6"/>
  <c r="AC71" i="6" s="1"/>
  <c r="AB71" i="6"/>
  <c r="AB78" i="6"/>
  <c r="AA78" i="6"/>
  <c r="AC78" i="6" s="1"/>
  <c r="AA76" i="6"/>
  <c r="AC76" i="6" s="1"/>
  <c r="AB76" i="6"/>
  <c r="AB77" i="6"/>
  <c r="AA77" i="6"/>
  <c r="AC77" i="6" s="1"/>
  <c r="AB81" i="6"/>
  <c r="AA81" i="6"/>
  <c r="AC81" i="6" s="1"/>
  <c r="AB83" i="6"/>
  <c r="AA83" i="6"/>
  <c r="AC83" i="6" s="1"/>
  <c r="AA86" i="6"/>
  <c r="AC86" i="6" s="1"/>
  <c r="AB86" i="6"/>
  <c r="AA89" i="6"/>
  <c r="AC89" i="6" s="1"/>
  <c r="AB89" i="6"/>
  <c r="AA88" i="6"/>
  <c r="AC88" i="6" s="1"/>
  <c r="AB88" i="6"/>
  <c r="AA20" i="6"/>
  <c r="AC20" i="6" s="1"/>
  <c r="AB20" i="6"/>
  <c r="AA22" i="6"/>
  <c r="AC22" i="6" s="1"/>
  <c r="AB22" i="6"/>
  <c r="AA24" i="6"/>
  <c r="AC24" i="6" s="1"/>
  <c r="AB24" i="6"/>
  <c r="AB28" i="6"/>
  <c r="AA28" i="6"/>
  <c r="AC28" i="6" s="1"/>
  <c r="AA29" i="6"/>
  <c r="AC29" i="6" s="1"/>
  <c r="AB29" i="6"/>
  <c r="AB34" i="6"/>
  <c r="AA34" i="6"/>
  <c r="AC34" i="6" s="1"/>
  <c r="AA38" i="6"/>
  <c r="AC38" i="6" s="1"/>
  <c r="AB38" i="6"/>
  <c r="AA41" i="6"/>
  <c r="AC41" i="6" s="1"/>
  <c r="AB41" i="6"/>
  <c r="AA45" i="6"/>
  <c r="AC45" i="6" s="1"/>
  <c r="AB45" i="6"/>
  <c r="AA48" i="6"/>
  <c r="AC48" i="6" s="1"/>
  <c r="AB48" i="6"/>
  <c r="AA52" i="6"/>
  <c r="AC52" i="6" s="1"/>
  <c r="AB52" i="6"/>
  <c r="AA56" i="6"/>
  <c r="AC56" i="6" s="1"/>
  <c r="AB56" i="6"/>
  <c r="AB60" i="6"/>
  <c r="AA60" i="6"/>
  <c r="AC60" i="6" s="1"/>
  <c r="AA63" i="6"/>
  <c r="AC63" i="6" s="1"/>
  <c r="AB63" i="6"/>
  <c r="AB65" i="6"/>
  <c r="AA65" i="6"/>
  <c r="AC65" i="6" s="1"/>
  <c r="AA70" i="6"/>
  <c r="AC70" i="6" s="1"/>
  <c r="AB70" i="6"/>
  <c r="AA75" i="6"/>
  <c r="AC75" i="6" s="1"/>
  <c r="AB75" i="6"/>
  <c r="AA80" i="6"/>
  <c r="AC80" i="6" s="1"/>
  <c r="AB80" i="6"/>
  <c r="AA85" i="6"/>
  <c r="AC85" i="6" s="1"/>
  <c r="AB85" i="6"/>
  <c r="AA84" i="6"/>
  <c r="AC84" i="6" s="1"/>
  <c r="AB84" i="6"/>
  <c r="Z265" i="6"/>
  <c r="F265" i="6"/>
  <c r="Z264" i="6"/>
  <c r="F264" i="6"/>
  <c r="Z263" i="6"/>
  <c r="F263" i="6"/>
  <c r="Z262" i="6"/>
  <c r="F262" i="6"/>
  <c r="Z261" i="6"/>
  <c r="F261" i="6"/>
  <c r="Z260" i="6"/>
  <c r="F260" i="6"/>
  <c r="Z259" i="6"/>
  <c r="F259" i="6"/>
  <c r="Z258" i="6"/>
  <c r="F258" i="6"/>
  <c r="Z256" i="6"/>
  <c r="F256" i="6"/>
  <c r="Z257" i="6"/>
  <c r="F257" i="6"/>
  <c r="Z254" i="6"/>
  <c r="F254" i="6"/>
  <c r="Z252" i="6"/>
  <c r="F252" i="6"/>
  <c r="Z255" i="6"/>
  <c r="F255" i="6"/>
  <c r="Z253" i="6"/>
  <c r="F253" i="6"/>
  <c r="Z251" i="6"/>
  <c r="F251" i="6"/>
  <c r="Z245" i="6"/>
  <c r="F245" i="6"/>
  <c r="Z244" i="6"/>
  <c r="F244" i="6"/>
  <c r="Z243" i="6"/>
  <c r="F243" i="6"/>
  <c r="AB243" i="6" l="1"/>
  <c r="AA243" i="6"/>
  <c r="AC243" i="6" s="1"/>
  <c r="AA245" i="6"/>
  <c r="AC245" i="6" s="1"/>
  <c r="AB245" i="6"/>
  <c r="AA252" i="6"/>
  <c r="AC252" i="6" s="1"/>
  <c r="AB252" i="6"/>
  <c r="AB258" i="6"/>
  <c r="AA258" i="6"/>
  <c r="AC258" i="6" s="1"/>
  <c r="AA260" i="6"/>
  <c r="AC260" i="6" s="1"/>
  <c r="AB260" i="6"/>
  <c r="AA264" i="6"/>
  <c r="AC264" i="6" s="1"/>
  <c r="AB264" i="6"/>
  <c r="AB253" i="6"/>
  <c r="AA253" i="6"/>
  <c r="AC253" i="6" s="1"/>
  <c r="AA257" i="6"/>
  <c r="AC257" i="6" s="1"/>
  <c r="AB257" i="6"/>
  <c r="AB262" i="6"/>
  <c r="AA262" i="6"/>
  <c r="AC262" i="6" s="1"/>
  <c r="AA244" i="6"/>
  <c r="AC244" i="6" s="1"/>
  <c r="AB244" i="6"/>
  <c r="AB251" i="6"/>
  <c r="AA251" i="6"/>
  <c r="AC251" i="6" s="1"/>
  <c r="AA255" i="6"/>
  <c r="AC255" i="6" s="1"/>
  <c r="AB255" i="6"/>
  <c r="AA254" i="6"/>
  <c r="AC254" i="6" s="1"/>
  <c r="AB254" i="6"/>
  <c r="AA256" i="6"/>
  <c r="AC256" i="6" s="1"/>
  <c r="AB256" i="6"/>
  <c r="AB259" i="6"/>
  <c r="AA259" i="6"/>
  <c r="AC259" i="6" s="1"/>
  <c r="AA261" i="6"/>
  <c r="AC261" i="6" s="1"/>
  <c r="AB261" i="6"/>
  <c r="AA263" i="6"/>
  <c r="AC263" i="6" s="1"/>
  <c r="AB263" i="6"/>
  <c r="AB265" i="6"/>
  <c r="AA265" i="6"/>
  <c r="AC265" i="6" s="1"/>
  <c r="Z242" i="6" l="1"/>
  <c r="F242" i="6"/>
  <c r="Z241" i="6"/>
  <c r="F241" i="6"/>
  <c r="Z240" i="6"/>
  <c r="F240" i="6"/>
  <c r="Z239" i="6"/>
  <c r="F239" i="6"/>
  <c r="Z238" i="6"/>
  <c r="F238" i="6"/>
  <c r="Z237" i="6"/>
  <c r="F237" i="6"/>
  <c r="Z236" i="6"/>
  <c r="F236" i="6"/>
  <c r="Z234" i="6"/>
  <c r="F234" i="6"/>
  <c r="Z235" i="6"/>
  <c r="F235" i="6"/>
  <c r="Z233" i="6"/>
  <c r="F233" i="6"/>
  <c r="Z232" i="6"/>
  <c r="F232" i="6"/>
  <c r="Z231" i="6"/>
  <c r="F231" i="6"/>
  <c r="AA239" i="6" l="1"/>
  <c r="AC239" i="6" s="1"/>
  <c r="AB239" i="6"/>
  <c r="AA235" i="6"/>
  <c r="AC235" i="6" s="1"/>
  <c r="AB235" i="6"/>
  <c r="AB236" i="6"/>
  <c r="AA236" i="6"/>
  <c r="AC236" i="6" s="1"/>
  <c r="AB238" i="6"/>
  <c r="AA238" i="6"/>
  <c r="AC238" i="6" s="1"/>
  <c r="AA240" i="6"/>
  <c r="AC240" i="6" s="1"/>
  <c r="AB240" i="6"/>
  <c r="AB242" i="6"/>
  <c r="AA242" i="6"/>
  <c r="AC242" i="6" s="1"/>
  <c r="AA231" i="6"/>
  <c r="AC231" i="6" s="1"/>
  <c r="AB231" i="6"/>
  <c r="AA233" i="6"/>
  <c r="AC233" i="6" s="1"/>
  <c r="AB233" i="6"/>
  <c r="AB234" i="6"/>
  <c r="AA234" i="6"/>
  <c r="AC234" i="6" s="1"/>
  <c r="AA237" i="6"/>
  <c r="AC237" i="6" s="1"/>
  <c r="AB237" i="6"/>
  <c r="AA241" i="6"/>
  <c r="AC241" i="6" s="1"/>
  <c r="AB241" i="6"/>
  <c r="AB232" i="6"/>
  <c r="AA232" i="6"/>
  <c r="AC232" i="6" s="1"/>
  <c r="Z939" i="6" l="1"/>
  <c r="F939" i="6"/>
  <c r="Z938" i="6"/>
  <c r="F938" i="6"/>
  <c r="Z937" i="6"/>
  <c r="F937" i="6"/>
  <c r="Z936" i="6"/>
  <c r="F936" i="6"/>
  <c r="Z935" i="6"/>
  <c r="F935" i="6"/>
  <c r="Z934" i="6"/>
  <c r="F934" i="6"/>
  <c r="Z933" i="6"/>
  <c r="F933" i="6"/>
  <c r="Z932" i="6"/>
  <c r="F932" i="6"/>
  <c r="Z931" i="6"/>
  <c r="F931" i="6"/>
  <c r="Z930" i="6"/>
  <c r="F930" i="6"/>
  <c r="Z929" i="6"/>
  <c r="F929" i="6"/>
  <c r="Z928" i="6"/>
  <c r="F928" i="6"/>
  <c r="Z927" i="6"/>
  <c r="F927" i="6"/>
  <c r="Z926" i="6"/>
  <c r="F926" i="6"/>
  <c r="Z925" i="6"/>
  <c r="F925" i="6"/>
  <c r="Z924" i="6"/>
  <c r="F924" i="6"/>
  <c r="Z923" i="6"/>
  <c r="F923" i="6"/>
  <c r="Z921" i="6"/>
  <c r="F921" i="6"/>
  <c r="Z922" i="6"/>
  <c r="F922" i="6"/>
  <c r="Z920" i="6"/>
  <c r="F920" i="6"/>
  <c r="Z919" i="6"/>
  <c r="F919" i="6"/>
  <c r="Z918" i="6"/>
  <c r="F918" i="6"/>
  <c r="Z917" i="6"/>
  <c r="F917" i="6"/>
  <c r="Z916" i="6"/>
  <c r="F916" i="6"/>
  <c r="AA916" i="6" l="1"/>
  <c r="AC916" i="6" s="1"/>
  <c r="AB916" i="6"/>
  <c r="AA924" i="6"/>
  <c r="AC924" i="6" s="1"/>
  <c r="AB924" i="6"/>
  <c r="AB934" i="6"/>
  <c r="AA934" i="6"/>
  <c r="AC934" i="6" s="1"/>
  <c r="AA918" i="6"/>
  <c r="AC918" i="6" s="1"/>
  <c r="AB918" i="6"/>
  <c r="AB921" i="6"/>
  <c r="AA921" i="6"/>
  <c r="AC921" i="6" s="1"/>
  <c r="AA928" i="6"/>
  <c r="AC928" i="6" s="1"/>
  <c r="AB928" i="6"/>
  <c r="AB932" i="6"/>
  <c r="AA932" i="6"/>
  <c r="AC932" i="6" s="1"/>
  <c r="AB938" i="6"/>
  <c r="AA938" i="6"/>
  <c r="AC938" i="6" s="1"/>
  <c r="AB919" i="6"/>
  <c r="AA919" i="6"/>
  <c r="AC919" i="6" s="1"/>
  <c r="AB923" i="6"/>
  <c r="AA923" i="6"/>
  <c r="AC923" i="6" s="1"/>
  <c r="AA925" i="6"/>
  <c r="AC925" i="6" s="1"/>
  <c r="AB925" i="6"/>
  <c r="AA927" i="6"/>
  <c r="AC927" i="6" s="1"/>
  <c r="AB927" i="6"/>
  <c r="AB929" i="6"/>
  <c r="AA929" i="6"/>
  <c r="AC929" i="6" s="1"/>
  <c r="AB931" i="6"/>
  <c r="AA931" i="6"/>
  <c r="AC931" i="6" s="1"/>
  <c r="AA933" i="6"/>
  <c r="AC933" i="6" s="1"/>
  <c r="AB933" i="6"/>
  <c r="AB935" i="6"/>
  <c r="AA935" i="6"/>
  <c r="AC935" i="6" s="1"/>
  <c r="AA937" i="6"/>
  <c r="AC937" i="6" s="1"/>
  <c r="AB937" i="6"/>
  <c r="AA939" i="6"/>
  <c r="AC939" i="6" s="1"/>
  <c r="AB939" i="6"/>
  <c r="AB920" i="6"/>
  <c r="AA920" i="6"/>
  <c r="AC920" i="6" s="1"/>
  <c r="AB926" i="6"/>
  <c r="AA926" i="6"/>
  <c r="AC926" i="6" s="1"/>
  <c r="AA930" i="6"/>
  <c r="AC930" i="6" s="1"/>
  <c r="AB930" i="6"/>
  <c r="AA936" i="6"/>
  <c r="AC936" i="6" s="1"/>
  <c r="AB936" i="6"/>
  <c r="AA917" i="6"/>
  <c r="AC917" i="6" s="1"/>
  <c r="AB917" i="6"/>
  <c r="AA922" i="6"/>
  <c r="AC922" i="6" s="1"/>
  <c r="AB922" i="6"/>
  <c r="Z159" i="6"/>
  <c r="F159" i="6"/>
  <c r="Z155" i="6"/>
  <c r="F155" i="6"/>
  <c r="Z152" i="6"/>
  <c r="F152" i="6"/>
  <c r="Z149" i="6"/>
  <c r="F149" i="6"/>
  <c r="Z147" i="6"/>
  <c r="F147" i="6"/>
  <c r="Z138" i="6"/>
  <c r="F138" i="6"/>
  <c r="Z130" i="6"/>
  <c r="F130" i="6"/>
  <c r="Z117" i="6"/>
  <c r="F117" i="6"/>
  <c r="Z115" i="6"/>
  <c r="F115" i="6"/>
  <c r="Z113" i="6"/>
  <c r="F113" i="6"/>
  <c r="Z110" i="6"/>
  <c r="F110" i="6"/>
  <c r="Z108" i="6"/>
  <c r="F108" i="6"/>
  <c r="Z106" i="6"/>
  <c r="F106" i="6"/>
  <c r="Z104" i="6"/>
  <c r="F104" i="6"/>
  <c r="Z161" i="6"/>
  <c r="F161" i="6"/>
  <c r="Z160" i="6"/>
  <c r="F160" i="6"/>
  <c r="Z158" i="6"/>
  <c r="F158" i="6"/>
  <c r="Z157" i="6"/>
  <c r="F157" i="6"/>
  <c r="Z156" i="6"/>
  <c r="F156" i="6"/>
  <c r="Z154" i="6"/>
  <c r="F154" i="6"/>
  <c r="Z153" i="6"/>
  <c r="F153" i="6"/>
  <c r="Z151" i="6"/>
  <c r="F151" i="6"/>
  <c r="Z150" i="6"/>
  <c r="F150" i="6"/>
  <c r="Z148" i="6"/>
  <c r="F148" i="6"/>
  <c r="Z146" i="6"/>
  <c r="F146" i="6"/>
  <c r="Z145" i="6"/>
  <c r="F145" i="6"/>
  <c r="Z144" i="6"/>
  <c r="F144" i="6"/>
  <c r="Z143" i="6"/>
  <c r="F143" i="6"/>
  <c r="Z142" i="6"/>
  <c r="F142" i="6"/>
  <c r="Z141" i="6"/>
  <c r="F141" i="6"/>
  <c r="Z140" i="6"/>
  <c r="F140" i="6"/>
  <c r="Z139" i="6"/>
  <c r="F139" i="6"/>
  <c r="Z137" i="6"/>
  <c r="F137" i="6"/>
  <c r="Z136" i="6"/>
  <c r="F136" i="6"/>
  <c r="Z135" i="6"/>
  <c r="F135" i="6"/>
  <c r="Z134" i="6"/>
  <c r="F134" i="6"/>
  <c r="Z133" i="6"/>
  <c r="F133" i="6"/>
  <c r="Z132" i="6"/>
  <c r="F132" i="6"/>
  <c r="Z131" i="6"/>
  <c r="F131" i="6"/>
  <c r="Z129" i="6"/>
  <c r="F129" i="6"/>
  <c r="Z127" i="6"/>
  <c r="F127" i="6"/>
  <c r="Z126" i="6"/>
  <c r="F126" i="6"/>
  <c r="Z125" i="6"/>
  <c r="F125" i="6"/>
  <c r="Z124" i="6"/>
  <c r="F124" i="6"/>
  <c r="Z128" i="6"/>
  <c r="F128" i="6"/>
  <c r="Z123" i="6"/>
  <c r="F123" i="6"/>
  <c r="Z122" i="6"/>
  <c r="F122" i="6"/>
  <c r="Z121" i="6"/>
  <c r="F121" i="6"/>
  <c r="Z120" i="6"/>
  <c r="F120" i="6"/>
  <c r="Z119" i="6"/>
  <c r="F119" i="6"/>
  <c r="Z118" i="6"/>
  <c r="F118" i="6"/>
  <c r="Z116" i="6"/>
  <c r="F116" i="6"/>
  <c r="Z114" i="6"/>
  <c r="F114" i="6"/>
  <c r="Z112" i="6"/>
  <c r="F112" i="6"/>
  <c r="Z111" i="6"/>
  <c r="F111" i="6"/>
  <c r="Z109" i="6"/>
  <c r="F109" i="6"/>
  <c r="Z107" i="6"/>
  <c r="F107" i="6"/>
  <c r="Z105" i="6"/>
  <c r="F105" i="6"/>
  <c r="Z103" i="6"/>
  <c r="F103" i="6"/>
  <c r="Z102" i="6"/>
  <c r="F102" i="6"/>
  <c r="Z101" i="6"/>
  <c r="F101" i="6"/>
  <c r="Z100" i="6"/>
  <c r="F100" i="6"/>
  <c r="Z99" i="6"/>
  <c r="F99" i="6"/>
  <c r="Z98" i="6"/>
  <c r="F98" i="6"/>
  <c r="Z97" i="6"/>
  <c r="F97" i="6"/>
  <c r="Z95" i="6"/>
  <c r="F95" i="6"/>
  <c r="Z96" i="6"/>
  <c r="F96" i="6"/>
  <c r="Z94" i="6"/>
  <c r="F94" i="6"/>
  <c r="Z93" i="6"/>
  <c r="F93" i="6"/>
  <c r="Z92" i="6"/>
  <c r="F92" i="6"/>
  <c r="AB93" i="6" l="1"/>
  <c r="AA93" i="6"/>
  <c r="AC93" i="6" s="1"/>
  <c r="AA96" i="6"/>
  <c r="AC96" i="6" s="1"/>
  <c r="AB96" i="6"/>
  <c r="AB97" i="6"/>
  <c r="AA97" i="6"/>
  <c r="AC97" i="6" s="1"/>
  <c r="AA99" i="6"/>
  <c r="AC99" i="6" s="1"/>
  <c r="AB99" i="6"/>
  <c r="AB101" i="6"/>
  <c r="AA101" i="6"/>
  <c r="AC101" i="6" s="1"/>
  <c r="AA103" i="6"/>
  <c r="AC103" i="6" s="1"/>
  <c r="AB103" i="6"/>
  <c r="AA107" i="6"/>
  <c r="AC107" i="6" s="1"/>
  <c r="AB107" i="6"/>
  <c r="AB111" i="6"/>
  <c r="AA111" i="6"/>
  <c r="AC111" i="6" s="1"/>
  <c r="AA114" i="6"/>
  <c r="AC114" i="6" s="1"/>
  <c r="AB114" i="6"/>
  <c r="AB118" i="6"/>
  <c r="AA118" i="6"/>
  <c r="AC118" i="6" s="1"/>
  <c r="AB120" i="6"/>
  <c r="AA120" i="6"/>
  <c r="AC120" i="6" s="1"/>
  <c r="AA122" i="6"/>
  <c r="AC122" i="6" s="1"/>
  <c r="AB122" i="6"/>
  <c r="AA128" i="6"/>
  <c r="AC128" i="6" s="1"/>
  <c r="AB128" i="6"/>
  <c r="AA125" i="6"/>
  <c r="AC125" i="6" s="1"/>
  <c r="AB125" i="6"/>
  <c r="AB127" i="6"/>
  <c r="AA127" i="6"/>
  <c r="AC127" i="6" s="1"/>
  <c r="AA131" i="6"/>
  <c r="AC131" i="6" s="1"/>
  <c r="AB131" i="6"/>
  <c r="AA133" i="6"/>
  <c r="AC133" i="6" s="1"/>
  <c r="AB133" i="6"/>
  <c r="AB135" i="6"/>
  <c r="AA135" i="6"/>
  <c r="AC135" i="6" s="1"/>
  <c r="AA137" i="6"/>
  <c r="AC137" i="6" s="1"/>
  <c r="AB137" i="6"/>
  <c r="AB140" i="6"/>
  <c r="AA140" i="6"/>
  <c r="AC140" i="6" s="1"/>
  <c r="AB142" i="6"/>
  <c r="AA142" i="6"/>
  <c r="AC142" i="6" s="1"/>
  <c r="AA144" i="6"/>
  <c r="AC144" i="6" s="1"/>
  <c r="AB144" i="6"/>
  <c r="AB146" i="6"/>
  <c r="AA146" i="6"/>
  <c r="AC146" i="6" s="1"/>
  <c r="AA150" i="6"/>
  <c r="AC150" i="6" s="1"/>
  <c r="AB150" i="6"/>
  <c r="AB153" i="6"/>
  <c r="AA153" i="6"/>
  <c r="AC153" i="6" s="1"/>
  <c r="AA156" i="6"/>
  <c r="AC156" i="6" s="1"/>
  <c r="AB156" i="6"/>
  <c r="AB158" i="6"/>
  <c r="AA158" i="6"/>
  <c r="AA161" i="6"/>
  <c r="AB161" i="6"/>
  <c r="AB106" i="6"/>
  <c r="AA106" i="6"/>
  <c r="AC106" i="6" s="1"/>
  <c r="AA110" i="6"/>
  <c r="AC110" i="6" s="1"/>
  <c r="AB110" i="6"/>
  <c r="AA115" i="6"/>
  <c r="AC115" i="6" s="1"/>
  <c r="AB115" i="6"/>
  <c r="AB130" i="6"/>
  <c r="AA130" i="6"/>
  <c r="AC130" i="6" s="1"/>
  <c r="AB147" i="6"/>
  <c r="AA147" i="6"/>
  <c r="AC147" i="6" s="1"/>
  <c r="AA152" i="6"/>
  <c r="AC152" i="6" s="1"/>
  <c r="AB152" i="6"/>
  <c r="AB159" i="6"/>
  <c r="AA159" i="6"/>
  <c r="AC159" i="6" s="1"/>
  <c r="AA92" i="6"/>
  <c r="AC92" i="6" s="1"/>
  <c r="AB92" i="6"/>
  <c r="AA94" i="6"/>
  <c r="AC94" i="6" s="1"/>
  <c r="AB94" i="6"/>
  <c r="AB95" i="6"/>
  <c r="AA95" i="6"/>
  <c r="AC95" i="6" s="1"/>
  <c r="AA98" i="6"/>
  <c r="AC98" i="6" s="1"/>
  <c r="AB98" i="6"/>
  <c r="AB100" i="6"/>
  <c r="AA100" i="6"/>
  <c r="AC100" i="6" s="1"/>
  <c r="AA102" i="6"/>
  <c r="AC102" i="6" s="1"/>
  <c r="AB102" i="6"/>
  <c r="AB105" i="6"/>
  <c r="AA105" i="6"/>
  <c r="AC105" i="6" s="1"/>
  <c r="AA109" i="6"/>
  <c r="AC109" i="6" s="1"/>
  <c r="AB109" i="6"/>
  <c r="AA112" i="6"/>
  <c r="AC112" i="6" s="1"/>
  <c r="AB112" i="6"/>
  <c r="AB116" i="6"/>
  <c r="AA116" i="6"/>
  <c r="AC116" i="6" s="1"/>
  <c r="AA119" i="6"/>
  <c r="AC119" i="6" s="1"/>
  <c r="AB119" i="6"/>
  <c r="AA121" i="6"/>
  <c r="AC121" i="6" s="1"/>
  <c r="AB121" i="6"/>
  <c r="AA123" i="6"/>
  <c r="AC123" i="6" s="1"/>
  <c r="AB123" i="6"/>
  <c r="AA124" i="6"/>
  <c r="AC124" i="6" s="1"/>
  <c r="AB124" i="6"/>
  <c r="AB126" i="6"/>
  <c r="AA126" i="6"/>
  <c r="AC126" i="6" s="1"/>
  <c r="AA129" i="6"/>
  <c r="AC129" i="6" s="1"/>
  <c r="AB129" i="6"/>
  <c r="AB132" i="6"/>
  <c r="AA132" i="6"/>
  <c r="AC132" i="6" s="1"/>
  <c r="AA134" i="6"/>
  <c r="AC134" i="6" s="1"/>
  <c r="AB134" i="6"/>
  <c r="AA136" i="6"/>
  <c r="AC136" i="6" s="1"/>
  <c r="AB136" i="6"/>
  <c r="AA139" i="6"/>
  <c r="AC139" i="6" s="1"/>
  <c r="AB139" i="6"/>
  <c r="AA141" i="6"/>
  <c r="AC141" i="6" s="1"/>
  <c r="AB141" i="6"/>
  <c r="AB143" i="6"/>
  <c r="AA143" i="6"/>
  <c r="AC143" i="6" s="1"/>
  <c r="AA145" i="6"/>
  <c r="AC145" i="6" s="1"/>
  <c r="AB145" i="6"/>
  <c r="AB148" i="6"/>
  <c r="AA148" i="6"/>
  <c r="AC148" i="6" s="1"/>
  <c r="AA151" i="6"/>
  <c r="AC151" i="6" s="1"/>
  <c r="AB151" i="6"/>
  <c r="AA154" i="6"/>
  <c r="AC154" i="6" s="1"/>
  <c r="AB154" i="6"/>
  <c r="AA157" i="6"/>
  <c r="AC157" i="6" s="1"/>
  <c r="AB157" i="6"/>
  <c r="AB160" i="6"/>
  <c r="AA160" i="6"/>
  <c r="AC160" i="6" s="1"/>
  <c r="AA104" i="6"/>
  <c r="AC104" i="6" s="1"/>
  <c r="AB104" i="6"/>
  <c r="AA108" i="6"/>
  <c r="AC108" i="6" s="1"/>
  <c r="AB108" i="6"/>
  <c r="AB113" i="6"/>
  <c r="AA113" i="6"/>
  <c r="AC113" i="6" s="1"/>
  <c r="AB117" i="6"/>
  <c r="AA117" i="6"/>
  <c r="AC117" i="6" s="1"/>
  <c r="AA138" i="6"/>
  <c r="AB138" i="6"/>
  <c r="AB149" i="6"/>
  <c r="AA149" i="6"/>
  <c r="AC149" i="6" s="1"/>
  <c r="AA155" i="6"/>
  <c r="AC155" i="6" s="1"/>
  <c r="AB155" i="6"/>
  <c r="AC158" i="6" l="1"/>
  <c r="AC138" i="6"/>
  <c r="AC161" i="6"/>
  <c r="F4" i="6"/>
  <c r="F3" i="6"/>
  <c r="F5" i="6"/>
  <c r="F6" i="6"/>
  <c r="F7" i="6"/>
  <c r="F8" i="6"/>
  <c r="F9" i="6"/>
  <c r="F10" i="6"/>
  <c r="F11" i="6"/>
  <c r="F12" i="6"/>
  <c r="F13" i="6"/>
  <c r="F14" i="6"/>
  <c r="F15" i="6"/>
  <c r="F16" i="6"/>
  <c r="Z16" i="6"/>
  <c r="Z15" i="6"/>
  <c r="Z14" i="6"/>
  <c r="Z13" i="6"/>
  <c r="Z12" i="6"/>
  <c r="Z11" i="6"/>
  <c r="Z10" i="6"/>
  <c r="Z9" i="6"/>
  <c r="AA9" i="6" l="1"/>
  <c r="AB9" i="6"/>
  <c r="AA13" i="6"/>
  <c r="AC13" i="6" s="1"/>
  <c r="AB13" i="6"/>
  <c r="AB10" i="6"/>
  <c r="AA10" i="6"/>
  <c r="AC10" i="6" s="1"/>
  <c r="AB14" i="6"/>
  <c r="AA14" i="6"/>
  <c r="AC14" i="6" s="1"/>
  <c r="AB11" i="6"/>
  <c r="AA11" i="6"/>
  <c r="AC11" i="6" s="1"/>
  <c r="AA15" i="6"/>
  <c r="AC15" i="6" s="1"/>
  <c r="AB15" i="6"/>
  <c r="AA12" i="6"/>
  <c r="AC12" i="6" s="1"/>
  <c r="AB12" i="6"/>
  <c r="AB16" i="6"/>
  <c r="AA16" i="6"/>
  <c r="AC16" i="6" s="1"/>
  <c r="AC9" i="6" l="1"/>
  <c r="Z8" i="6"/>
  <c r="Z7" i="6"/>
  <c r="Z6" i="6"/>
  <c r="Z5" i="6"/>
  <c r="AB5" i="6" l="1"/>
  <c r="AA5" i="6"/>
  <c r="AC5" i="6" s="1"/>
  <c r="AA7" i="6"/>
  <c r="AC7" i="6" s="1"/>
  <c r="AB7" i="6"/>
  <c r="AA6" i="6"/>
  <c r="AC6" i="6" s="1"/>
  <c r="AB6" i="6"/>
  <c r="AB8" i="6"/>
  <c r="AA8" i="6"/>
  <c r="AC8" i="6" s="1"/>
  <c r="Z3" i="6"/>
  <c r="AA3" i="6" l="1"/>
  <c r="AB3" i="6"/>
  <c r="AC3" i="6" s="1"/>
  <c r="F2" i="6"/>
  <c r="Z4" i="6" l="1"/>
  <c r="AB4" i="6" l="1"/>
  <c r="AA4" i="6"/>
  <c r="AC4" i="6" s="1"/>
</calcChain>
</file>

<file path=xl/sharedStrings.xml><?xml version="1.0" encoding="utf-8"?>
<sst xmlns="http://schemas.openxmlformats.org/spreadsheetml/2006/main" count="9159" uniqueCount="3036">
  <si>
    <t>country</t>
  </si>
  <si>
    <t>cabinet</t>
  </si>
  <si>
    <t>mandatory_vote</t>
  </si>
  <si>
    <t>date_vote</t>
  </si>
  <si>
    <t>membership_alliance</t>
  </si>
  <si>
    <t>chamber</t>
  </si>
  <si>
    <t>abstentions_parl</t>
  </si>
  <si>
    <t>votes_cast_parl</t>
  </si>
  <si>
    <t>share_yes_votes_parl</t>
  </si>
  <si>
    <t>share_no_votes_parl</t>
  </si>
  <si>
    <t>mission</t>
  </si>
  <si>
    <t>vote_name_native</t>
  </si>
  <si>
    <t>vote_multiple_missions</t>
  </si>
  <si>
    <t>multilat_mission</t>
  </si>
  <si>
    <t>bilat_mission</t>
  </si>
  <si>
    <t>unilat_mission</t>
  </si>
  <si>
    <t>extension_vote</t>
  </si>
  <si>
    <t>membership_UNSC</t>
  </si>
  <si>
    <t>year_vote</t>
  </si>
  <si>
    <t>committee_level_vote</t>
  </si>
  <si>
    <t>withdrawal_vote</t>
  </si>
  <si>
    <t>Hawke IV</t>
  </si>
  <si>
    <t>ALP</t>
  </si>
  <si>
    <t>Gulf War</t>
  </si>
  <si>
    <t>https://parlinfo.aph.gov.au/parlInfo/search/display/display.w3p;query=Id%3A%22chamber%2Fhansardr%2F1991-01-22%2F0090%22</t>
  </si>
  <si>
    <t>chamber/hansardr/1991-01-22/0090</t>
  </si>
  <si>
    <t>ACC</t>
  </si>
  <si>
    <t>Howard III</t>
  </si>
  <si>
    <t>Motion on Iraq (by PM Howard)</t>
  </si>
  <si>
    <t>Motion on Middle East (by PM Hawke)</t>
  </si>
  <si>
    <t>Iraq War</t>
  </si>
  <si>
    <t>https://parlinfo.aph.gov.au/parlInfo/search/display/display.w3p;query=Id%3A%22chamber%2Fhansardr%2F2003-03-20%2F0070%22</t>
  </si>
  <si>
    <t>chamber/hansardr/2003-03-20/0070</t>
  </si>
  <si>
    <t>Motion on Iraq (by Senator Barlett)</t>
  </si>
  <si>
    <t>chamber/hansards/2003-03-20/0099</t>
  </si>
  <si>
    <t>https://parlinfo.aph.gov.au/parlInfo/search/display/display.w3p;db=CHAMBER;id=chamber%2Fhansards%2F2003-03-20%2F0099;query=Id%3A%22chamber%2Fhansards%2F2003-03-20%2F0000%22</t>
  </si>
  <si>
    <t>BEL</t>
  </si>
  <si>
    <t>Leterme III</t>
  </si>
  <si>
    <t>Voorstel van resolutie betreffende de toestand in Libië (1308/2)</t>
  </si>
  <si>
    <t>Belgische Kamer van Volksvertegenwoordigers, Plenaire Vergadering (2011). Integraal Verslag. 21/03/2011, CRIV 53 PLEN 024, pp. 44.</t>
  </si>
  <si>
    <t>https://www.dekamer.be/doc/PCRI/PDF/53/ip024.pdf</t>
  </si>
  <si>
    <t>Di Rupo I</t>
  </si>
  <si>
    <t>Geheel van het voorstel van resolutie betreffende de toestand in Mali (2605/2)</t>
  </si>
  <si>
    <t>Belgische Kamer van Volksvertegenwoordigers, Plenaire Vergadering (2013). Integraal Verslag. 17/01/2013, CRABV 53 PLEN 125, pp. 65.</t>
  </si>
  <si>
    <t>https://www.dekamer.be/doc/PCRA/pdf/53/ap125.pdf</t>
  </si>
  <si>
    <t>Di Rupo II</t>
  </si>
  <si>
    <t>Stemming over het voorstel van resolutie betreffende de toestand in Irak en de deelneming van België aan de internationale coalitie tegen IS (305/2)</t>
  </si>
  <si>
    <t>Belgische Kamer van Volksvertegenwoordigers, Plenaire Vergadering (2014). Integraal Verslag. 26/09/2014, CRIV 54 PLEN 005, pp. 61-61.</t>
  </si>
  <si>
    <t>https://www.dekamer.be/doc/PCRI/PDF/54/ip005.pdf</t>
  </si>
  <si>
    <t>Michel I</t>
  </si>
  <si>
    <t>Voorstel van resolutie over de inzet van de Belgische Defensie tegen de islamitische staat (IS of DAESH) in Irak en in Syrië (1883/4)</t>
  </si>
  <si>
    <t>Belgische Kamer van Volksvertegenwoordigers, Plenaire Vergadering (2016). Integraal Verslag. 30/06/2016, CRIV 54 PLEN 118, p. 183.</t>
  </si>
  <si>
    <t>https://www.dekamer.be/doc/PCRI/PDF/54/ip118.pdf</t>
  </si>
  <si>
    <t>CAN</t>
  </si>
  <si>
    <t>PCP</t>
  </si>
  <si>
    <t>House of Commons(CAN)</t>
  </si>
  <si>
    <t>unACC</t>
  </si>
  <si>
    <t>Mulroney II</t>
  </si>
  <si>
    <t>Division - Vote No. 307</t>
  </si>
  <si>
    <t>http://parl.canadiana.ca/view/oop.proc_HOC_3402_3/129?r=0&amp;s=1</t>
  </si>
  <si>
    <t>Harper I</t>
  </si>
  <si>
    <t>CPC</t>
  </si>
  <si>
    <t>Government Business No. 7 (Two year extension of Canada’s commitment in Afghanistan)</t>
  </si>
  <si>
    <t>39th Parliament, 1st Session - Vote No. 9</t>
  </si>
  <si>
    <t>https://www.ourcommons.ca/Members/en/votes/39/1/9?view=party</t>
  </si>
  <si>
    <t>Government Business No. 5 (Afghanistan mission)</t>
  </si>
  <si>
    <t>39th Parliament, 2nd Session - Vote No. 76</t>
  </si>
  <si>
    <t>https://www.ourcommons.ca/Members/en/votes/39/2/76?view=party</t>
  </si>
  <si>
    <t>Harper III</t>
  </si>
  <si>
    <t>Government Business No. 1 (Libya)</t>
  </si>
  <si>
    <t>41st Parliament, 1st Session - Vote No. 6</t>
  </si>
  <si>
    <t>https://www.ourcommons.ca/Members/en/votes/41/1/6?view=party</t>
  </si>
  <si>
    <t>Government Business No. 5 (Libya)</t>
  </si>
  <si>
    <t>41st Parliament, 1st Session - Vote No. 31</t>
  </si>
  <si>
    <t>https://www.ourcommons.ca/Members/en/votes/41/1/31?view=result</t>
  </si>
  <si>
    <t>Government Business No. 13 ( Military contribution against ISIL)</t>
  </si>
  <si>
    <t>41st Parliament, 2nd Session - Vote No. 252</t>
  </si>
  <si>
    <t>https://www.ourcommons.ca/Members/en/votes/41/2/252?view=result</t>
  </si>
  <si>
    <t>Government Business No. 17 (Military contribution against ISIL)</t>
  </si>
  <si>
    <t>41st Parliament, 2nd Session - Vote No. 368</t>
  </si>
  <si>
    <t>https://www.ourcommons.ca/Members/en/votes/41/2/368?view=result</t>
  </si>
  <si>
    <t>Trudeau J I</t>
  </si>
  <si>
    <t>LP</t>
  </si>
  <si>
    <t>Government Business No. 2 (Canada's contribution to the effort to combat ISIL)</t>
  </si>
  <si>
    <t>42nd Parliament, 1st Session - Vote No. 19</t>
  </si>
  <si>
    <t>https://www.ourcommons.ca/Members/en/votes/42/1/19?view=result</t>
  </si>
  <si>
    <t>Klaus I</t>
  </si>
  <si>
    <t>ODS/KDS/ODA/KDU-CSL</t>
  </si>
  <si>
    <t>29. Vládní návrh na rozšíření účasti České republiky v Ochranných silách Organizace Spojených národů (UNPROFOR) na území bývalé Jugoslávie /sněmovní tisk 734/</t>
  </si>
  <si>
    <t>29. sněmovní tisk 734</t>
  </si>
  <si>
    <t>https://www.psp.cz/eknih/1993ps/tisky/t0734_00.htm</t>
  </si>
  <si>
    <t>Klaus II</t>
  </si>
  <si>
    <t>21. Vládní návrh, k nabídce České republiky na účast v mnohonárodních mírových silách pod vedením NATO k dohledu nad dodržováním mírové dohody na území bývalé Jugoslávie, sněmovní tisk 2003</t>
  </si>
  <si>
    <t>21. sněmovní tisk 2003</t>
  </si>
  <si>
    <t>https://www.psp.cz/eknih/1993ps/tisky/t2003_00.htm</t>
  </si>
  <si>
    <t>Klaus III</t>
  </si>
  <si>
    <t>ODS/KDU-CSL/ODA</t>
  </si>
  <si>
    <t>68. Návrh usnesení Poslanecké sněmovny o další účasti České republiky při mírových operacích na území Bosny a Hercegoviny /sněmovní tisk 106</t>
  </si>
  <si>
    <t>68. sněmovní tisk 106</t>
  </si>
  <si>
    <t>https://www.psp.cz/eknih/1996ps/tisky/t010600.htm</t>
  </si>
  <si>
    <t>Zeman</t>
  </si>
  <si>
    <t>CSSD</t>
  </si>
  <si>
    <t>73. Vládní návrh na vyslání 6. polní nemocnice Armády České republiky do operace JOINT GUARDIAN /sněmovní tisk 148/</t>
  </si>
  <si>
    <t>73. sněmovní tisk 148</t>
  </si>
  <si>
    <t>https://www.psp.cz/sqw/text/tiskt.sqw?O=3&amp;CT=148&amp;CT1=0</t>
  </si>
  <si>
    <t>74. Vládní návrh na vyslání nevyzbrojeného dopravního letounu An - 26 Armády České republiky do operace EAGLE EYE /sněmovní tisk 153/</t>
  </si>
  <si>
    <t>74. sněmovní tisk 153</t>
  </si>
  <si>
    <t>https://www.psp.cz/sqw/text/tiskt.sqw?O=3&amp;CT=153&amp;CT1=0</t>
  </si>
  <si>
    <t>1. Změna mandátu pro vyslání 6. polní nemocnice Armády České republiky a nevyzbrojeného dopravního letounu An - 26 Armády České republiky, schváleného 10. schůzí Poslanecké sněmovny /sněmovní tisk 176/</t>
  </si>
  <si>
    <t>AFOR (Albania)</t>
  </si>
  <si>
    <t>1. sněmovní tisk 176</t>
  </si>
  <si>
    <t>https://www.psp.cz/sqw/tisky.sqw?O=3&amp;T=176</t>
  </si>
  <si>
    <t>1. Vládní návrh na vyslovení souhlasu s vysláním průzkumné roty a dopravního letounu An-26 Armády České republiky do operace JOINT GUARDIAN /sněmovní tisk 250/</t>
  </si>
  <si>
    <t>1. sněmovní tisk 250</t>
  </si>
  <si>
    <t>https://www.psp.cz/sqw/text/tiskt.sqw?O=3&amp;CT=250&amp;CT1=0</t>
  </si>
  <si>
    <t>172. Vládní návrh na prodloužení účasti jednotek Armády České republiky v operaci NATO na území Bosny a Hercegoviny a v operaci JOINT GUARDIAN /sněmovní tisk 391/</t>
  </si>
  <si>
    <t>172. sněmovní tisk 391</t>
  </si>
  <si>
    <t>https://www.psp.cz/sqw/text/tiskt.sqw?O=3&amp;CT=391&amp;CT1=0</t>
  </si>
  <si>
    <t>66. Vládní návrh na další působení jednotek Armády České republiky v operacích mezinárodního společenství na Balkáně podle příslušných rezolucí Rady bezpečnosti OSN a uzavřených dohod v roce 2001 /sněmovní tisk 784/</t>
  </si>
  <si>
    <t>Multiple1</t>
  </si>
  <si>
    <t>JOINT FORCE, JOINT GUARDIAN</t>
  </si>
  <si>
    <t>66. sněmovní tisk 784</t>
  </si>
  <si>
    <t>https://www.psp.cz/sqw/text/tiskt.sqw?O=3&amp;CT=784&amp;CT1=0</t>
  </si>
  <si>
    <t>125. Vládní návrh dalšího působení sil a prostředků Armády České republiky v operacích mezinárodního společenství na Balkáně po 31. prosinci 2001 /sněmovní tisk 1115/</t>
  </si>
  <si>
    <t>Multiple2</t>
  </si>
  <si>
    <t>secret</t>
  </si>
  <si>
    <t>125. sněmovní tisk 1115</t>
  </si>
  <si>
    <t>https://www.psp.cz/sqw/tisky.sqw?O=3&amp;T=1115</t>
  </si>
  <si>
    <t>1. Vládní návrh na vyslání 6. polní nemocnice do Afghánistánu v rámci mise Mezinárodních bezpečnostních podpůrných sil ISAF /sněmovní tisk 1281/</t>
  </si>
  <si>
    <t>ISAF (Afghanistan)</t>
  </si>
  <si>
    <t>1. sněmovní tisk 1281</t>
  </si>
  <si>
    <t>https://www.psp.cz/sqw/text/tiskt.sqw?o=3&amp;v=US&amp;ct=2228</t>
  </si>
  <si>
    <t>Spidla</t>
  </si>
  <si>
    <t>CSSD/KDU-CSL/US</t>
  </si>
  <si>
    <t>60. Vládní návrh dalšího působení sil a prostředků Armády České republiky v zahraničních operacích /sněmovní tisk 57/</t>
  </si>
  <si>
    <t>Multiple3</t>
  </si>
  <si>
    <t xml:space="preserve">NATO Balkans, ENDURING FREEDOM, ISAF, </t>
  </si>
  <si>
    <t>60. sněmovní tisk 57</t>
  </si>
  <si>
    <t>https://www.psp.cz/sqw/text/tiskt.sqw?O=4&amp;CT=57&amp;CT1=0</t>
  </si>
  <si>
    <t>97. Vládní návrh na vyslání polní nemocnice /sněmovní tisk 285/</t>
  </si>
  <si>
    <t>97. sněmovní tisk 285</t>
  </si>
  <si>
    <t>https://www.psp.cz/sqw/text/tiskt.sqw?O=4&amp;CT=285&amp;CT1=0</t>
  </si>
  <si>
    <t>106. Návrh na působení sil a prostředků Armády České republiky v operaci Evropské unie v Bývalé jugoslávské republice Makedonie /sněmovní tisk 319/</t>
  </si>
  <si>
    <t>106. sněmovní tisk 319</t>
  </si>
  <si>
    <t>https://www.psp.cz/sqw/text/tiskt.sqw?O=4&amp;CT=319&amp;CT1=0</t>
  </si>
  <si>
    <t>83. Vládní návrh na zapojení kontingentu Armády České republiky do souboru mezinárodních opatření ke stabilizaci bezpečnostní situace a pro poskytování humanitární pomoci a obnovu Irácké republiky /sněmovní tisk 368/</t>
  </si>
  <si>
    <t>83. sněmovní tisk 368</t>
  </si>
  <si>
    <t>https://www.psp.cz/sqw/text/tiskt.sqw?O=4&amp;CT=368&amp;CT1=0</t>
  </si>
  <si>
    <t>149. Vládní návrh dalšího působení sil a prostředků Armády České republiky v zahraničních operacích v roce 2004 /sněmovní tisk 493/</t>
  </si>
  <si>
    <t>NATO Balkans, IRAQ</t>
  </si>
  <si>
    <t>149. sněmovní tisk 493</t>
  </si>
  <si>
    <t>https://www.psp.cz/sqw/text/tiskt.sqw?O=4&amp;CT=493&amp;CT1=0</t>
  </si>
  <si>
    <t>167. Vládní návrh na vyslání sil a prostředků Armády České republiky do Afghánistánu v rámci protiteroristické operace Trvalá svoboda a mise ISAF (International Security Assistance Force) /sněmovní tisk 565/</t>
  </si>
  <si>
    <t>ENDURING FREEDOM, ISAF</t>
  </si>
  <si>
    <t>167. sněmovní tisk 565</t>
  </si>
  <si>
    <t>https://www.psp.cz/sqw/text/tiskt.sqw?O=4&amp;CT=565&amp;CT1=0</t>
  </si>
  <si>
    <t>121. Vládní návrh na vyslovení souhlasu s působením sil a prostředků Armády České republiky v operacích sil rychlé reakce Organizace Severoatlantické smlouvy (NATO Response Force - NRF) /sněmovní tisk 694/</t>
  </si>
  <si>
    <t>NRF (NATO Response Force)</t>
  </si>
  <si>
    <t>121. sněmovní tisk 694</t>
  </si>
  <si>
    <t>https://www.psp.cz/sqw/text/tiskt.sqw?O=4&amp;CT=694&amp;CT1=0</t>
  </si>
  <si>
    <t>132. Vládní návrh na vyslání protichemického odřadu Armády České republiky k zajištění bezpečnosti XXVIII. Letních Olympijských a XII. Paralympijských her v Řecku /sněmovní tisk 716/</t>
  </si>
  <si>
    <t>132. sněmovní tisk 716</t>
  </si>
  <si>
    <t>https://www.psp.cz/sqw/text/tiskt.sqw?O=4&amp;CT=716&amp;CT1=0</t>
  </si>
  <si>
    <t>Gross</t>
  </si>
  <si>
    <t>76. Vládní návrh dalšího působení sil a prostředků Armády České republiky v zahraničních operacích v roce 2005 /sněmovní tisk 757/</t>
  </si>
  <si>
    <t>KFOR (Kosovo)</t>
  </si>
  <si>
    <t>76. sněmovní tisk 757</t>
  </si>
  <si>
    <t>https://www.psp.cz/sqw/text/tiskt.sqw?O=4&amp;CT=757&amp;CT1=0</t>
  </si>
  <si>
    <t>85. Vládní návrh dalšího působení sil a prostředků Armády České republiky v zahraničních operacích v roce 2005 /sněmovní tisk 757/</t>
  </si>
  <si>
    <t>85. sněmovní tisk 757 (a)</t>
  </si>
  <si>
    <t>85. sněmovní tisk 757 (b)</t>
  </si>
  <si>
    <t>ISAF, Iraq reconstruciton</t>
  </si>
  <si>
    <t>85. sněmovní tisk 757 (c)</t>
  </si>
  <si>
    <t>85. sněmovní tisk 757 (d)</t>
  </si>
  <si>
    <t>1. Vládní návrh na prodloužení doby působení kontingentu Armády České republiky v Iráku v roce 2005 /sněmovní tisk 861/</t>
  </si>
  <si>
    <t>1. sněmovní tisk 861</t>
  </si>
  <si>
    <t>https://www.psp.cz/sqw/text/tiskt.sqw?O=4&amp;CT=861&amp;CT1=0</t>
  </si>
  <si>
    <t>Paroubek</t>
  </si>
  <si>
    <t>207. Vládní návrh dalšího působení sil a prostředků Armády České republiky v zahraničních operacích v roce 2006 /sněmovní tisk 1113/</t>
  </si>
  <si>
    <t>207. sněmovní tisk 1113</t>
  </si>
  <si>
    <t>https://www.psp.cz/sqw/text/tiskt.sqw?O=4&amp;CT=1113&amp;CT1=0</t>
  </si>
  <si>
    <t>207. sněmovní tisk 1113 (a)</t>
  </si>
  <si>
    <t>207. sněmovní tisk 1113 (b)</t>
  </si>
  <si>
    <t>207. sněmovní tisk 1113 (c)</t>
  </si>
  <si>
    <t>NATO Balkans, IRAQ International</t>
  </si>
  <si>
    <t>207. sněmovní tisk 1113 (d)</t>
  </si>
  <si>
    <t>207. sněmovní tisk 1113 (e)</t>
  </si>
  <si>
    <t>179. Vládní návrh na vyslání kontingentu speciálních sil rezortu Ministerstva obrany do protiteroristické operace Trvalá svoboda v Afghánistánu /sněmovní tisk 1234/</t>
  </si>
  <si>
    <t>179. sněmovní tisk 1234</t>
  </si>
  <si>
    <t>https://www.psp.cz/sqw/text/tiskt.sqw?O=4&amp;CT=1234&amp;CT1=0</t>
  </si>
  <si>
    <t>109. Vládní návrh na zapojení České republiky do 7. rotace Sil rychlé reakce Organizace Severoatlantické smlouvy /sněmovní tisk 1268/</t>
  </si>
  <si>
    <t>109. sněmovní tisk 1268</t>
  </si>
  <si>
    <t>https://www.psp.cz/sqw/text/tiskt.sqw?O=4&amp;CT=1268&amp;CT1=0</t>
  </si>
  <si>
    <t>Topolanek I</t>
  </si>
  <si>
    <t>ODS</t>
  </si>
  <si>
    <t>56. Vládní návrh působení sil a prostředků Armády České republiky v zahraničních operacích v roce 2007 /sněmovní tisk 71/</t>
  </si>
  <si>
    <t>56. sněmovní tisk 71 (a)</t>
  </si>
  <si>
    <t>https://www.psp.cz/sqw/text/tiskt.sqw?O=5&amp;CT=71&amp;CT1=0</t>
  </si>
  <si>
    <t>56. sněmovní tisk 71 (b)</t>
  </si>
  <si>
    <t>NATO Balkans, ISAF, IRAQ, NRF, UNIFIL,</t>
  </si>
  <si>
    <t>56. sněmovní tisk 71 (c)</t>
  </si>
  <si>
    <t>56. sněmovní tisk 71 (d)</t>
  </si>
  <si>
    <t>UNIFIL (Lebanon)</t>
  </si>
  <si>
    <t>56. sněmovní tisk 71 (e)</t>
  </si>
  <si>
    <t>Topolanek II</t>
  </si>
  <si>
    <t>ODS/KDU-CSL/SZ</t>
  </si>
  <si>
    <t>69. Vládní návrh na vyslání polní nemocnice Role 2E Armády České republiky do sestavy Mezinárodních bezpečnostních podpůrných sil ISAF v Afghánistánu /sněmovní tisk 133/</t>
  </si>
  <si>
    <t>69. sněmovní tisk 133</t>
  </si>
  <si>
    <t>https://www.psp.cz/sqw/text/tiskt.sqw?O=5&amp;CT=133&amp;CT1=0</t>
  </si>
  <si>
    <t>77. Vládní návrh působení sil a prostředků Armády České republiky v zahraničních operacích v roce 2008 /sněmovní tisk 347/</t>
  </si>
  <si>
    <t>77. sněmovní tisk 347 (a)</t>
  </si>
  <si>
    <t>https://www.psp.cz/sqw/text/tiskt.sqw?O=5&amp;CT=347&amp;CT1=0</t>
  </si>
  <si>
    <t>77. sněmovní tisk 347 (b)</t>
  </si>
  <si>
    <t>77. sněmovní tisk 347 (c)</t>
  </si>
  <si>
    <t>EUFOR, Chad, RCA</t>
  </si>
  <si>
    <t>77. sněmovní tisk 347 (d)</t>
  </si>
  <si>
    <t>ISAF, Iraq</t>
  </si>
  <si>
    <t>77. sněmovní tisk 347 (e)</t>
  </si>
  <si>
    <t>77. sněmovní tisk 347 (f)</t>
  </si>
  <si>
    <t>75. Vládní návrh na vyslání kontingentu speciálních sil rezortu Ministerstva obrany do protiteroristické operace Trvalá svoboda v Afghánistánu /sněmovní tisk 492/</t>
  </si>
  <si>
    <t>75. sněmovní tisk 492</t>
  </si>
  <si>
    <t>https://www.psp.cz/sqw/text/tiskt.sqw?O=5&amp;CT=492&amp;CT1=0</t>
  </si>
  <si>
    <t>22. Vládní návrh působení sil a prostředků rezortu Ministerstva obrany v zahraničních operacích v roce 2009 /sněmovní tisk 641/</t>
  </si>
  <si>
    <t xml:space="preserve">KFOR, ISAF, ENDURING FREEDOM, IRAQ, EUFOR Chad/RCA, Baltic Air policing, MFO Sinai, EUBG, NRF, </t>
  </si>
  <si>
    <t>22. sněmovní tisk 641</t>
  </si>
  <si>
    <t>https://www.psp.cz/sqw/text/tiskt.sqw?O=5&amp;CT=641&amp;CT1=0</t>
  </si>
  <si>
    <t>1. Vládní návrh působení sil a prostředků rezortu Ministerstva obrany v zahraničních operacích v roce 2009 /sněmovní tisk 709/</t>
  </si>
  <si>
    <t>1. sněmovní tisk 709</t>
  </si>
  <si>
    <t>https://www.psp.cz/sqw/text/tiskt.sqw?O=5&amp;CT=709&amp;CT1=0</t>
  </si>
  <si>
    <t>Fischer</t>
  </si>
  <si>
    <t>221. Vládní návrh působení sil a prostředků rezortu Ministerstva obrany v zahraničních operacích v roce 2010 /sněmovní tisk 869/</t>
  </si>
  <si>
    <t>KFOR, EU Bosnia, ISAF, MINURCAT, MFO Sinai, EU NAVFOR ATLANTA, NRF</t>
  </si>
  <si>
    <t>221. sněmovní tisk 869</t>
  </si>
  <si>
    <t>https://www.psp.cz/sqw/text/tiskt.sqw?O=5&amp;CT=869&amp;CT1=0</t>
  </si>
  <si>
    <t>Necas I</t>
  </si>
  <si>
    <t>ODS/TOP09/VV</t>
  </si>
  <si>
    <t>83. Vládní návrh na působení sil a prostředků rezortu Ministerstva obrany v zahraničních operacích v letech 2011 a 2012 s výhledem na rok 2013 /sněmovní tisk 132/</t>
  </si>
  <si>
    <t>KFOR, EU Bosnia, ISAF, Afghanistan, MFO Sinai, NAVFOR Atalanta, Baltic Air policing, EU BG, NRF,</t>
  </si>
  <si>
    <t>83. sněmovní tisk 132</t>
  </si>
  <si>
    <t>https://www.psp.cz/sqw/text/tiskt.sqw?O=6&amp;CT=132&amp;CT1=0</t>
  </si>
  <si>
    <t>Sobotka</t>
  </si>
  <si>
    <t>CSSD/ANO/KDU-CSL</t>
  </si>
  <si>
    <t>136. Vládní návrh na působení sil a prostředků rezortu Ministerstva obrany v zahraničních operacích v letech 2015 a 2016 s výhledem na rok 2017 /sněmovní tisk 348/</t>
  </si>
  <si>
    <t xml:space="preserve">RESOLUTE SUPPORT, Afghanistan embassy protection, Afghanistan reconstruction, EU Balkans, MFO, EU NAVFOR ATALANTA, NRF, EU BG, </t>
  </si>
  <si>
    <t>136. sněmovní tisk 348</t>
  </si>
  <si>
    <t>https://www.psp.cz/sqw/text/tiskt.sqw?O=7&amp;CT=348&amp;CT1=0</t>
  </si>
  <si>
    <t>148. Vládní návrh na působení sil a prostředků rezortu Ministerstva obrany v misích OSN UNDOF a MINUSMA /sněmovní tisk 472/</t>
  </si>
  <si>
    <t>MINUSMA (Mali)</t>
  </si>
  <si>
    <t>148. sněmovní tisk 472 (a)</t>
  </si>
  <si>
    <t>https://www.psp.cz/sqw/text/tiskt.sqw?O=7&amp;CT=472&amp;CT1=0</t>
  </si>
  <si>
    <t>UNDOF (Israel)</t>
  </si>
  <si>
    <t>148. sněmovní tisk 472  (b)</t>
  </si>
  <si>
    <t>205. Návrh na působení sil a prostředků rezortu Ministerstva obrany v zahraničních operacích v letech 2017 a 2018 s výhledem na rok 2019 /sněmovní tisk 786/</t>
  </si>
  <si>
    <t>RESOLUTE SUPPORT, Afghanistan embassy protection, Afghanistan reconstruction, EU Balkans, MFO, EU NAVFOR ATALANTA, NRF, EU BG, KFOR</t>
  </si>
  <si>
    <t>205. sněmovní tisk 786</t>
  </si>
  <si>
    <t>https://www.psp.cz/sqw/text/tiskt.sqw?O=7&amp;CT=786&amp;CT1=0</t>
  </si>
  <si>
    <t>171. Návrh na působení sil a prostředků rezortu Ministerstva obrany v Litvě, Estonsku, Lotyšsku a Polsku v rámci Posílené předsunuté přítomnosti NATO /sněmovní tisk 1121/</t>
  </si>
  <si>
    <t>171. sněmovní tisk 1121</t>
  </si>
  <si>
    <t>https://www.psp.cz/sqw/text/tiskt.sqw?O=7&amp;CT=1121&amp;CT1=0</t>
  </si>
  <si>
    <t>BABIS I</t>
  </si>
  <si>
    <t>ANO</t>
  </si>
  <si>
    <t>Usnesení PS č. 260
k návrhu na působení sil a prostředků rezortu Ministerstva obrany v zahraničních operacích v letech 2018 až 2020 s výhledem na rok 2021 /sněmovní tisk 150/ (1. června 2018)</t>
  </si>
  <si>
    <t>RESOLUTE SUPPORT, INHERENT RESOLVE, EUTM, MINUSMA (Mali), MULTINATIONAL FORCE AND OBSERVERS (Sinai), UNDOF, ALTHEA, JOINT ENTERPRISE (KFOR), EFP (Baltics), NAVFOR MED SOPHIA (Italy), NRF (NATO Response Force), EU BG</t>
  </si>
  <si>
    <t xml:space="preserve">260. sněmovní tisk 150 </t>
  </si>
  <si>
    <t>https://www.psp.cz/sqw/text/tiskt.sqw?o=8&amp;v=US&amp;ct=260</t>
  </si>
  <si>
    <t>USNESENÍ SENÁTU z 5. schůze dne 15. dubna 2003 k vládnímu návrhu na vyslání polní nemocnice /senátní tisk č. 78/</t>
  </si>
  <si>
    <t>senátní tisk č. 78</t>
  </si>
  <si>
    <t>https://www.senat.cz/xqw/xervlet/pssenat/htmlhled?action=doc&amp;value=20237</t>
  </si>
  <si>
    <t>USNESENÍ SENÁTU ze 6. schůze dne 21. května 2003 k návrhu na působení sil a prostředků Armády České republiky v operaci Evropské unie v Bývalé jugoslávské republice Makedonie /senátní tisk č. 96/</t>
  </si>
  <si>
    <t>senátní tisk č. 96</t>
  </si>
  <si>
    <t>https://www.senat.cz/xqw/xervlet/pssenat/htmlhled?action=doc&amp;value=20691</t>
  </si>
  <si>
    <t>USNESENÍ SENÁTU, ze 7. schůze dne 26. června 2003, k vládnímu návrhu na zapojení kontingentu Armády České republiky do souboru mezinárodních opatření ke stabilizaci bezpečnostní situace a pro poskytování humanitární pomoci a obnovu Irácké republiky /senátní tisk č. 120/</t>
  </si>
  <si>
    <t>senátní tisk č. 120</t>
  </si>
  <si>
    <t>https://www.senat.cz/xqw/xervlet/pssenat/htmlhled?action=doc&amp;value=21140</t>
  </si>
  <si>
    <t>USNESENÍ SENÁTU, ze 12. schůze dne 17. prosince 2003, k vládnímu návrhu dalšího působení sil a prostředků Armády České republiky v zahraničních operacích v roce 2004 /senátní tisk č. 190/</t>
  </si>
  <si>
    <t>NATO Balkans, Iraq</t>
  </si>
  <si>
    <t>senátní tisk č. 190</t>
  </si>
  <si>
    <t>https://www.senat.cz/xqw/xervlet/pssenat/htmlhled?action=doc&amp;value=24925</t>
  </si>
  <si>
    <t>Senátní tisk č. 375
Vládní návrh na vyslovení souhlasu s působením sil a prostředků Armády České republiky v operacích sil rychlé reakce Organizace Severoatlantické smlouvy (NATO Response Force - NRF)</t>
  </si>
  <si>
    <t>Senátní tisk č. 375</t>
  </si>
  <si>
    <t>https://www.senat.cz/xqw/xervlet/pssenat/hlasovani?action=tisk&amp;O=4&amp;T=375</t>
  </si>
  <si>
    <t>USNESENÍ SENÁTU, ze 16. schůze dne 13. července 2004, k vládnímu návrhu na vyslání protichemického odřadu Armády České republiky k zajištění bezpečnosti XXVIII. Letních Olympijských a XII. Paralympijských her v Řecku /senátní tisk č. 381/</t>
  </si>
  <si>
    <t>senátní tisk č. 381</t>
  </si>
  <si>
    <t>https://www.senat.cz/xqw/xervlet/pssenat/htmlhled?action=doc&amp;value=27759</t>
  </si>
  <si>
    <t>USNESENÍ SENÁTU, z 18. schůze dne 4. listopadu 2004, k vládnímu návrhu dalšího působení sil a prostředků Armády České republiky v zahraničních operacích v roce 2005 /senátní tisk č. 407/</t>
  </si>
  <si>
    <t>NATO Balkans, EU Balkans, Iraq, ISAF, NRF</t>
  </si>
  <si>
    <t>senátní tisk č. 407</t>
  </si>
  <si>
    <t>https://www.senat.cz/xqw/xervlet/pssenat/htmlhled?action=doc&amp;value=28359</t>
  </si>
  <si>
    <t>Senátní tisk č. 236
Vládní návrh na vyslání kontingentu speciálních sil rezortu Ministerstva obrany do protiteroristické operace Trvalá svoboda v Afghánistánu</t>
  </si>
  <si>
    <t>Senátní tisk č. 236</t>
  </si>
  <si>
    <t>https://www.senat.cz/xqw/xervlet/pssenat/hlasovani?action=tisk&amp;O=5&amp;T=236</t>
  </si>
  <si>
    <t>USNESENÍ SENÁTU, ze 3. schůze dne 7. února 2007, k vládnímu návrhu na vyslání polní nemocnice Role 2E Armády České republiky do sestavy Mezinárodních bezpečnostních podpůrných sil ISAF v Afghánistánu /senátní tisk č. 16/</t>
  </si>
  <si>
    <t>senátní tisk č. 16</t>
  </si>
  <si>
    <t>https://www.senat.cz/xqw/xervlet/pssenat/hlasovani?action=tisk&amp;O=6&amp;T=16</t>
  </si>
  <si>
    <t>USNESENÍ SENÁTU, ze 2. schůze dne 11. prosince 2008, k vládnímu návrhu působení sil a prostředků rezortu Ministerstva obrany v zahraničních operacích v roce 2009 /senátní tisk č. 340/</t>
  </si>
  <si>
    <t>senátní tisk č. 340</t>
  </si>
  <si>
    <t>https://www.senat.cz/xqw/xervlet/pssenat/htmlhled?action=doc&amp;value=49224</t>
  </si>
  <si>
    <t>USNESENÍ SENÁTU, ze 4. schůze dne 28. ledna 2009, k vládnímu návrhu působení sil a prostředků rezortu Ministerstva obrany v zahraničních operacích v roce 2009 /senátní tisk č. 23/</t>
  </si>
  <si>
    <t>senátní tisk č. 23</t>
  </si>
  <si>
    <t>https://www.senat.cz/xqw/xervlet/pssenat/hlasovani?action=tisk&amp;O=7&amp;T=23</t>
  </si>
  <si>
    <t>USNESENÍ SENÁTU, z 8. schůze dne 17. června 2009, k vládnímu návrhu působení sil a prostředků rezortu Ministerstva obrany v zahraničních operacích v roce 2010 /senátní tisk č. 107/</t>
  </si>
  <si>
    <t>senátní tisk č. 107</t>
  </si>
  <si>
    <t>https://www.senat.cz/xqw/xervlet/pssenat/htmlhled?action=doc&amp;value=52407</t>
  </si>
  <si>
    <t>Vládní návrh na působení sil a prostředků rezortu Ministerstva obrany v misích OSN UNDOF a MINUSMA</t>
  </si>
  <si>
    <t>senátní tisk č. 67</t>
  </si>
  <si>
    <t>https://www.senat.cz/xqw/xervlet/pssenat/hlasovani?action=tisk&amp;O=10&amp;T=67</t>
  </si>
  <si>
    <t xml:space="preserve">USNESENÍ SENÁTU, k návrhu na působení sil a prostředků rezortu Ministerstva obrany v Litvě, Estonsku, Lotyšsku a Polsku v rámci Posílené předsunuté přítomnosti NATO/senátní tisk č. 129/ </t>
  </si>
  <si>
    <t>senátní tisk č. 129</t>
  </si>
  <si>
    <t>https://www.senat.cz/xqw/xervlet/pssenat/hlasovani?action=tisk&amp;O=11&amp;T=129</t>
  </si>
  <si>
    <t>Zapatero I</t>
  </si>
  <si>
    <t>PSOE</t>
  </si>
  <si>
    <t>Solicitud de autorización del Congreso de los diputados para incrementar los efectivos de las Fuerzas Armadas actualmente destinados en la Fuerza Internacional de Asistencia para la Seguridad en Afganistán (ISAF)</t>
  </si>
  <si>
    <t>420/000056</t>
  </si>
  <si>
    <t xml:space="preserve">http://www.congreso.es/public_oficiales/L8/CONG/DS/PL/PL_175.PDF </t>
  </si>
  <si>
    <t>Solicitud de autorización del Congreso de los Diputados para la participación española en la operación de la Unión Europea en la República Democrática del Congo</t>
  </si>
  <si>
    <t>420/000059</t>
  </si>
  <si>
    <t>http://www.congreso.es/public_oficiales/L8/CONG/DS/CO/CO_590.PDF#page=2</t>
  </si>
  <si>
    <t>Solicitud de autorización del Congreso de los Diputados para la participación de un contingente militar español en la Fuerza Provisional de las Naciones Unidas en el Líbano (FPNUL)</t>
  </si>
  <si>
    <t>420/000070</t>
  </si>
  <si>
    <t xml:space="preserve">http://www.congreso.es/public_oficiales/L8/CONG/DS/PL/PL_196.PDF </t>
  </si>
  <si>
    <t>Solicitud de autorización del Congreso de los Diputados para el envío y participación, dentro de la misión Isaf-Afganistán, de dos equipos de instructores de las Fuerzas Armadas españolas para el adiestramiento de efectivos de las Fuerzas Armadas de Afganistán (OMLTs)</t>
  </si>
  <si>
    <t>420/000088</t>
  </si>
  <si>
    <t>http://www.congreso.es/public_oficiales/L8/CONG/DS/CO/CO_893.PDF#page=2</t>
  </si>
  <si>
    <t>Solicitud de ratificación por el Congreso de los Diputados del Acuerdo de despliegue de los efectivos necesarios para operar vehículos aéreos no tripulados, en la misión ISAF, en la que participan las Fuerzas Armadas españolas en Afganistán, así como de que dicha ratificación se otorgue tras la constitución de la nueva Cámara o, en su caso, mediante acuerdo de la Diputación Permanente</t>
  </si>
  <si>
    <t>420/000103</t>
  </si>
  <si>
    <t>http://www.congreso.es/public_oficiales/L8/CONG/DS/PL/PL_314.PDF</t>
  </si>
  <si>
    <t>Zapatero II</t>
  </si>
  <si>
    <t>Solicitud de autorización del Congreso de los Diputados para la participación de una unidad naval española en la fuerza maritima de UNIFIL (Líbano), integrada en EUROMARFOR</t>
  </si>
  <si>
    <t>095/000001</t>
  </si>
  <si>
    <t xml:space="preserve">http://www.congreso.es/public_oficiales/L9/CONG/DS/CO/CO_031.PDF#page=2 </t>
  </si>
  <si>
    <t>Solicitud de autorización del Congreso de los Diputados para la participación de un contingente español en la operación de la Unión Europea en Chad y República Centroafricana (EUFOR CHAD-RCA)</t>
  </si>
  <si>
    <t>095/000002</t>
  </si>
  <si>
    <t>Solicitud de autorización del Congreso de los Diputados para la participación de un contingente español en la "Operación Atalanta" de la Unión Europea para luchar contra la piratería en aguas de Somalia.</t>
  </si>
  <si>
    <t>095/000003</t>
  </si>
  <si>
    <t>http://www.congreso.es/votoplenoh/L9/20090121001.pdf</t>
  </si>
  <si>
    <t>Solicitud de autorización para el envío y participación de efectivos adicionales de las Fuerzas Armadas Españolas y de la Guardia Civil, dentro de la Misión ISAF-Afganistán</t>
  </si>
  <si>
    <t>095/000004</t>
  </si>
  <si>
    <t>http://www.congreso.es/public_oficiales/L9/CONG/DS/CO/CO_310.PDF#page=2</t>
  </si>
  <si>
    <t>Solicitud de autorización para el despliegue de efectivos adicionales de las Fuerzas Armadas Españolas, dentro de la Misión ISAF-AFGANISTÁN</t>
  </si>
  <si>
    <t>095/000005</t>
  </si>
  <si>
    <t>http://www.congreso.es/public_oficiales/L9/CONG/DS/CO/CO_347.PDF#page=2</t>
  </si>
  <si>
    <t>Solicitud de ratificación por el Congreso de los Diputados del acuerdo del Consejo de Ministros de 22 de enero de 2010 por el que se dispone la participación de unidades militares españolas en una misión de ayuda humanitaria en la República de Haití</t>
  </si>
  <si>
    <t>Humanitarian Aid Haiti</t>
  </si>
  <si>
    <t>095/000006</t>
  </si>
  <si>
    <t>http://www.congreso.es/votoplenoh/L9/20100210001.pdf</t>
  </si>
  <si>
    <t>Solicitud de autorización para el despliegue de efectivos adicionales de las Fuerzas Armadas Españolas y de la Guardia Civil, dentro de la Misión ISAF-Afganistán</t>
  </si>
  <si>
    <t>095/000007</t>
  </si>
  <si>
    <t>http://www.congreso.es/public_oficiales/L9/CONG/DS/CO/CO_468.PDF#page=2</t>
  </si>
  <si>
    <t>Solicitud de autorización para la participación de militares españoles en la misión de la Unión Europea de adiestramiento de fuerzas de seguridad somalíes en Uganda (EUTM-SOMALIA)</t>
  </si>
  <si>
    <t>095/000008</t>
  </si>
  <si>
    <t>http://www.congreso.es/votoplenoh/L9/20100422001.pdf</t>
  </si>
  <si>
    <t>Solicitud de autorización o, en su caso, ratificación por el Congreso de los Diputados del apartado primero del Acuerdo del Consejo de Ministros de 18 de marzo de 2011, por el que se dispone la participación de fuerzas españolas en la resolución de la crisis de Libia, en aplicación de las resoluciones 1970 (2011) y 1973 (2011) del Consejo de Seguridad de Naciones Unidas</t>
  </si>
  <si>
    <t>095/000009</t>
  </si>
  <si>
    <t>http://www.congreso.es/votoplenoh/L9/20110322001.pdf</t>
  </si>
  <si>
    <t>Rajoy I</t>
  </si>
  <si>
    <t>PP</t>
  </si>
  <si>
    <t>Solicitud de ratificación por el Congreso de los Diputados del Acuerdo del Consejo de Ministros de 18 de enero de 2013 por el que se autoriza el despliegue y la participación de unidades militares en el marco de la crisis de Mali</t>
  </si>
  <si>
    <t>https://app.congreso.es/votacionesWeb/InvocaReport?sesion=81&amp;votacion=1&amp;legislatura=10</t>
  </si>
  <si>
    <t>Solicitud de autorización del Congreso de los Diputados para el incremento del número de efectivos en la participación de las Fuerzas Armadas españolas en la misión de la Unión Europea EUTM-Mali</t>
  </si>
  <si>
    <t>http://www.congreso.es/public_oficiales/L10/CONG/DS/CO/DSCD-10-CO-345.PDF#page=2</t>
  </si>
  <si>
    <t>Solicitud de autorización por el Congreso de los Diputados del Acuerdo del Consejo de Ministros de 13 de diciembre de 2013 por el que se autoriza el despliegue y la participación de las Fuerzas Armadas españolas en los apoyos a la misión de Naciones Unidas para la estabilización de la República Centroafricana</t>
  </si>
  <si>
    <t>https://app.congreso.es/votacionesWeb/InvocaReport?sesion=159&amp;votacion=9&amp;legislatura=10</t>
  </si>
  <si>
    <t>Solicitud de autorización del Congreso de los Diputados para el despliegue y la participación de las fuerzas armadas en la operación militar de la Unión Europea en la República Centroafricana, (EUFOR RCA)</t>
  </si>
  <si>
    <t>https://app.congreso.es/votacionesWeb/InvocaReport?sesion=178&amp;votacion=1&amp;legislatura=10</t>
  </si>
  <si>
    <t>Solicitud de autorización del Congreso de los Diputados para la participación de Unidades Militares Españolas en el marco de la coalición para la lucha contra el Estado Islámico de Irak y de Levante</t>
  </si>
  <si>
    <t>https://app.congreso.es/votacionesWeb/InvocaReport?sesion=218&amp;votacion=2&amp;legislatura=10</t>
  </si>
  <si>
    <t>Solicitud de autorización del Congreso de los Diputados para la participación de Unidades Militares Españolas en la Operación Resolute Support en Afganistán</t>
  </si>
  <si>
    <t>https://app.congreso.es/votacionesWeb/InvocaReport?sesion=236&amp;votacion=50&amp;legislatura=10</t>
  </si>
  <si>
    <t>Solicitud de autorización del Congreso de los Diputados para el despliegue y la participación de las Fuerzas Armadas en la operación de asesoramiento militar de la Unión Europea en la República Centroafricana (EUMAM RCA)</t>
  </si>
  <si>
    <t>http://www.congreso.es/public_oficiales/L10/CONG/DS/CO/DSCD-10-CO-791.PDF#page=2</t>
  </si>
  <si>
    <t>Solicitud de autorización del Congreso de los Diputados para el despliegue y la participación de las Fuerzas Armadas en la operación militar de la Unión Europea en el Mediterráneo Central Meridional (EUNAVFOR MED)</t>
  </si>
  <si>
    <t>https://app.congreso.es/votacionesWeb/InvocaReport?sesion=279&amp;votacion=4&amp;legislatura=10</t>
  </si>
  <si>
    <t>Rajoy II</t>
  </si>
  <si>
    <t xml:space="preserve">Solicitud de autorización del Congreso de los Diputados para el despliegue de efectivos de la Guardia Civil y el incremento de los efectivos de las Fuerzas Armadas Españolas en la misión "Apoyo a Irak" en el marco de la coalición global contra el ISIL-DAESH.  </t>
  </si>
  <si>
    <t>http://www.congreso.es/public_oficiales/L12/CONG/DS/CO/DSCD-12-CO-82.PDF#page=34</t>
  </si>
  <si>
    <t>Solicitud de autorización del Congreso de los Diputados para el incremento del número de efectivos en la participación de las Fuerzas Armadas Españolas en la misión de la Unión Europea EUTM-MALÍ. (095/000002)</t>
  </si>
  <si>
    <t xml:space="preserve">http://www.congreso.es/public_oficiales/L12/CONG/DS/CO/DSCD-12-CO-412.PDF#page=2 </t>
  </si>
  <si>
    <t>FIN</t>
  </si>
  <si>
    <t>Lipponen I</t>
  </si>
  <si>
    <t>Eduskunta(FIN)</t>
  </si>
  <si>
    <t>Valtioneuvoston selonteko Suomen osallistumisesta Bosnia-Hertsegovinan rauhansopimuksen sotilaalliseen toimeenpanoon</t>
  </si>
  <si>
    <t>PTK 139/1995 vp</t>
  </si>
  <si>
    <t xml:space="preserve">https://www.eduskunta.fi/FI/vaski/Poytakirja/Documents/ptk_139+1995.pdf </t>
  </si>
  <si>
    <t>Lipponen II</t>
  </si>
  <si>
    <t>Valtioneuvoston selonteko Suomen osallistumisesta sotilaalliseen kriisinhallintaoperaatioon (KFOR) Kosovossa</t>
  </si>
  <si>
    <t>PTK 40/1999 vp</t>
  </si>
  <si>
    <t>https://www.eduskunta.fi/FI/vaski/Poytakirja/Documents/ptk_40+1999.pdf</t>
  </si>
  <si>
    <t>Vanhanen I</t>
  </si>
  <si>
    <t>Valtioneuvoston selonteko Suomen osallistumisesta sotilaalliseen kriisinhallintaoperaatioon (UNIFIL - United Nations Interim Force in Lebanon) Libanonissa</t>
  </si>
  <si>
    <t>PTK 80/2006 vp</t>
  </si>
  <si>
    <t>https://www.eduskunta.fi/FI/Vaski/sivut/aanestys.aspx?aanestysnro=1&amp;istuntonro=80&amp;vuosi=2006</t>
  </si>
  <si>
    <t>Vanhanen II</t>
  </si>
  <si>
    <t>Valtioneuvoston selonteko Suomen osallistumisesta Afganistanin ISAF-operaatioon, Suomen osallistumisesta EU:n sotilaalliseen kriisinhallintaoperaatioon Tshadissa ja Keski-Afrikan tasavallassa (EUFOR TCHAD/RCA) sekä sotilasosaston asettamisesta korkeaan valmiuteen osana Ruotsin, Suomen, Viron, Irlannin ja Norjan muodostaman EU:n taisteluosaston valmiusvuoroa 1.1.-30.6.2008</t>
  </si>
  <si>
    <t xml:space="preserve">ISAF Afghanistan, EUFOR Chad/Central African Republic </t>
  </si>
  <si>
    <t>PTK 98/2007 vp</t>
  </si>
  <si>
    <t>https://www.eduskunta.fi/FI/Vaski/sivut/aanestys.aspx?aanestysnro=2&amp;istuntonro=98&amp;vuosi=2007</t>
  </si>
  <si>
    <t>https://www.eduskunta.fi/FI/Vaski/sivut/aanestys.aspx?aanestysnro=1&amp;istuntonro=98&amp;vuosi=2007</t>
  </si>
  <si>
    <t>Suomen osallistuminen ISAF-operaation tukitoimiin vaalien järjestämiseksi Afganistanissa vuonna 2009</t>
  </si>
  <si>
    <t>PTK 20/2009 vp</t>
  </si>
  <si>
    <t xml:space="preserve">https://www.eduskunta.fi/FI/Vaski/sivut/aanestys.aspx?aanestysnro=1&amp;istuntonro=20&amp;vuosi=2009 </t>
  </si>
  <si>
    <t>Valtioneuvoston selonteko Afganistanin tilanteesta ja Suomen osallistumisesta ISAF-operaatioon</t>
  </si>
  <si>
    <t>PTK 35/2010 vp</t>
  </si>
  <si>
    <t>https://www.eduskunta.fi/FI/Vaski/sivut/aanestys.aspx?aanestysnro=1&amp;istuntonro=35&amp;vuosi=2010</t>
  </si>
  <si>
    <t>https://www.eduskunta.fi/FI/Vaski/sivut/aanestys.aspx?aanestysnro=2&amp;istuntonro=35&amp;vuosi=2010</t>
  </si>
  <si>
    <t>https://www.eduskunta.fi/FI/Vaski/sivut/aanestys.aspx?aanestysnro=3&amp;istuntonro=35&amp;vuosi=2010</t>
  </si>
  <si>
    <t>Kiviniemi</t>
  </si>
  <si>
    <t>Valtioneuvoston selonteko Suomen osallistumisesta EU:n sotilaalliseen kriisinhallintaoperaatioon EUNAVFOR Atalantaan</t>
  </si>
  <si>
    <t>PTK 121/2010 vp</t>
  </si>
  <si>
    <t>https://www.eduskunta.fi/FI/Vaski/sivut/aanestys.aspx?aanestysnro=1&amp;istuntonro=121&amp;vuosi=2010</t>
  </si>
  <si>
    <t>Stubb II</t>
  </si>
  <si>
    <t>Resolute Support</t>
  </si>
  <si>
    <t>PTK 129/2014 vp</t>
  </si>
  <si>
    <t>https://www.eduskunta.fi/FI/Vaski/sivut/aanestys.aspx?aanestysnro=1&amp;istuntonro=129&amp;vuosi=2014</t>
  </si>
  <si>
    <t>Valtioneuvoston selonteko eduskunnalle Suomen osallistumisesta turvallisuussektorin koulutusyhteistyöhön Irakissa</t>
  </si>
  <si>
    <t>PTK 173/2014 vp</t>
  </si>
  <si>
    <t>https://www.eduskunta.fi/FI/Vaski/sivut/aanestys.aspx?aanestysnro=1&amp;istuntonro=173&amp;vuosi=2014</t>
  </si>
  <si>
    <t>FRN</t>
  </si>
  <si>
    <t>Rocard II</t>
  </si>
  <si>
    <t>Politique au Moyen-Orient</t>
  </si>
  <si>
    <t>http://archives.assemblee-nationale.fr/9/cri/1990-1991-extraordinaire1/001.pdf</t>
  </si>
  <si>
    <t>Fillon II</t>
  </si>
  <si>
    <t>Scrutin public sur l'autorisation de la prolongation de l'intervention des forces armées en Afghanistan (application de l'article 35 de la Constitution)</t>
  </si>
  <si>
    <t>Afghanistan</t>
  </si>
  <si>
    <t>Analyse du scrutin n° 195 - Séance du 22/09/2008</t>
  </si>
  <si>
    <t>http://www.assemblee-nationale.fr/13/scrutins/jo0195.asp</t>
  </si>
  <si>
    <t>demande du Gouvernement d'autorisation de prolongation de l'intervention des forces armées en Afghanistan</t>
  </si>
  <si>
    <t>Scrutin n° 149 - séance du 22 septembre 2008</t>
  </si>
  <si>
    <t>http://www.senat.fr/scrutin-public/2007/scr2007-149.html</t>
  </si>
  <si>
    <t>autorisation de la prolongation de l'intervention des forces armées en République du Tchad et en Républicaine centrafricaine dans le cadre de l'opération EUFOR</t>
  </si>
  <si>
    <t>Scrutin n° 99 - séance du 28 janvier 2009</t>
  </si>
  <si>
    <t>http://www.senat.fr/scrutin-public/2008/scr2008-99.html</t>
  </si>
  <si>
    <t>autorisation de la prolongation de l'intervention des forces armées en République du Tchad et en République centrafricaine dans le cadre des opérations Boali et Epervier</t>
  </si>
  <si>
    <t>Epervier (Chad), Boali (Central African Republic)</t>
  </si>
  <si>
    <t>Scrutin n° 100 - séance du 28 janvier 2009</t>
  </si>
  <si>
    <t>http://www.senat.fr/scrutin-public/2008/scr2008-100.html</t>
  </si>
  <si>
    <t>autorisation de la prolongation de l'intervention des forces armées en République de Côte-d'Ivoire</t>
  </si>
  <si>
    <t>UNOCI (Ivory Coast)</t>
  </si>
  <si>
    <t>Scrutin n° 96 - séance du 28 janvier 2009</t>
  </si>
  <si>
    <t>http://www.senat.fr/scrutin-public/2008/scr2008-96.html</t>
  </si>
  <si>
    <t>autorisation de la prolongation de l'intervention des forces armées au Kosovo</t>
  </si>
  <si>
    <t>Scrutin n° 97 - séance du 28 janvier 2009</t>
  </si>
  <si>
    <t>http://www.senat.fr/scrutin-public/2008/scr2008-97.html</t>
  </si>
  <si>
    <t>autorisation de la prolongation de l'intervention des forces armées au Liban</t>
  </si>
  <si>
    <t>Scrutin n° 98 - séance du 28 janvier 2009</t>
  </si>
  <si>
    <t>http://www.senat.fr/scrutin-public/2008/scr2008-98.html</t>
  </si>
  <si>
    <t>Fillon III</t>
  </si>
  <si>
    <t>Scrutin public sur la déclaration du Gouvernement sur l'intervention des forces armées en Libye pour la mise en oeuvre de la résolution 1973 du Conseil de sécurité de l'ONU</t>
  </si>
  <si>
    <t>Analyse du scrutin n° 786 - Deuxième séance du 12/07/2011</t>
  </si>
  <si>
    <t>http://www.assemblee-nationale.fr/13/scrutins/jo0786.asp</t>
  </si>
  <si>
    <t>autorisation de la prolongation de l'intervention des forces armées en Libye</t>
  </si>
  <si>
    <t>Scrutin n° 271 - séance du 12 juillet 2011</t>
  </si>
  <si>
    <t>http://www.senat.fr/scrutin-public/2010/scr2010-271.html</t>
  </si>
  <si>
    <t>Ayrault II</t>
  </si>
  <si>
    <t>Scrutin public sur la déclaration du Gouvernement, en application de l'article 35, alinéa 3, de la Constitution, sur l'autorisation de la prolongation de l'intervention des forces françaises au Mali</t>
  </si>
  <si>
    <t>Mali</t>
  </si>
  <si>
    <t>Analyse du scrutin n° 510 Première séance du 22/04/2013</t>
  </si>
  <si>
    <t>http://www.senat.fr/scrutin-public/2012/scr2012-221.html</t>
  </si>
  <si>
    <t>http://www2.assemblee-nationale.fr/scrutins/detail/(legislature)/14/(num)/510</t>
  </si>
  <si>
    <t>autorisation de la prolongation de l'intervention des forces armées en République centrafricaine</t>
  </si>
  <si>
    <t>Scrutin n° 158 - séance du 25 février 2014</t>
  </si>
  <si>
    <t>http://www.senat.fr/scrutin-public/2013/scr2013-158.html</t>
  </si>
  <si>
    <t>Scrutin public sur la déclaration du Gouvernement, en application de l'article 35, alinéa 3, de la Constitution, sur l'autorisation de la prolongation de l'intervention des forces françaises en Centrafrique</t>
  </si>
  <si>
    <t>Analyse du scrutin n° 783 Deuxième séance du 25/02/2014</t>
  </si>
  <si>
    <t>http://www2.assemblee-nationale.fr/scrutins/detail/(legislature)/14/(num)/783</t>
  </si>
  <si>
    <t>Valls II</t>
  </si>
  <si>
    <t>autorisation de prolongation de l'intervention des forces armées en Irak</t>
  </si>
  <si>
    <t>Scrutin n° 81 - séance du 13 janvier 2015</t>
  </si>
  <si>
    <t>http://www.senat.fr/scrutin-public/2014/scr2014-81.html</t>
  </si>
  <si>
    <t>Scrutin public sur la Déclaration du Gouvernement, en application de l'article 35, alinéa 3, de la Constitution, sur l'autorisation de la prolongation de l'intervention des forces armées en Irak</t>
  </si>
  <si>
    <t>Analyse du scrutin n° 998 Première séance du 13/01/2015</t>
  </si>
  <si>
    <t>http://www2.assemblee-nationale.fr/scrutins/detail/(legislature)/14/(num)/998</t>
  </si>
  <si>
    <t>demande du Gouvernement d'autorisation de prolongation de l'engagement des forces aériennes au-dessus du territoire syrien, en application du troisième alinéa de l'article 35 de la Constitution</t>
  </si>
  <si>
    <t>http://www.senat.fr/scrutin-public/2015/scr2015-73.html</t>
  </si>
  <si>
    <t>Scrutin publique sur l'autorisation de la prolongation de l'engagement des forces aériennes au-dessus du territoire syrien, en application de l'article 35, alinéa 3, de la Constitution</t>
  </si>
  <si>
    <t>Analyse du scrutin n° 1195 Première séance du 25/11/2015</t>
  </si>
  <si>
    <t>https://www2.assemblee-nationale.fr/scrutins/detail/(legislature)/14/(num)/1195</t>
  </si>
  <si>
    <t>CRO</t>
  </si>
  <si>
    <t>Racan III</t>
  </si>
  <si>
    <t>SPH; HSS; HNS; LS; LIBRA</t>
  </si>
  <si>
    <t>Hrvatski sabor(CRO)</t>
  </si>
  <si>
    <t>Prijedlog odluke o sudjelovanju hrvatskih vojnih promatrača u mirovnoj misiji UNMOGIP (Indija/Pakistan)</t>
  </si>
  <si>
    <t>IV-1051/2002</t>
  </si>
  <si>
    <t>http://edoc.sabor.hr/Views/AktView.aspx?type=HTML&amp;id=2009952</t>
  </si>
  <si>
    <t>Prijedlog odluke o sudjelovanju hrvatskih vojnih promatrača u mirovnoj misiji Ujedinjenih naroda u Zapadnoj Sahari (MINURSO)</t>
  </si>
  <si>
    <t>1</t>
  </si>
  <si>
    <t>0</t>
  </si>
  <si>
    <t>IV-1187/2002</t>
  </si>
  <si>
    <t>http://edoc.sabor.hr/Views/AktView.aspx?type=HTML&amp;id=2010216</t>
  </si>
  <si>
    <t>Prijedlog odluke o sudjelovanju pripadnika Oružanih snaga Republike Hrvatske u mirovnoj misiji u Afganistanu (ISAF)</t>
  </si>
  <si>
    <t>IV-1179/2002</t>
  </si>
  <si>
    <t>http://edoc.sabor.hr/Views/AktView.aspx?type=HTML&amp;id=2010175</t>
  </si>
  <si>
    <t>Prijedlog odluke o nastavku sudjelovanja hrvatskih vojnih promatrača u mirovnoj misiji UNAMSIL (Sierra Leone)</t>
  </si>
  <si>
    <t>IV-1076/2002</t>
  </si>
  <si>
    <t>http://edoc.sabor.hr/Views/AktView.aspx?type=HTML&amp;id=2010021</t>
  </si>
  <si>
    <t>Prijedlog odluke o nastavku sudjelovanja hrvatskih vojnih promatrača u mirovnoj misiji UNMEE (Etiopija i Eritreja)</t>
  </si>
  <si>
    <t>IV-1275/2003</t>
  </si>
  <si>
    <t>http://edoc.sabor.hr/Views/AktView.aspx?type=HTML&amp;id=2010350</t>
  </si>
  <si>
    <t>IV-1506/2003</t>
  </si>
  <si>
    <t>http://edoc.sabor.hr/Views/AktView.aspx?type=HTML&amp;id=2010793</t>
  </si>
  <si>
    <t>Prijedlog odluke o sudjelovanju pripadnika Oružanih snaga Republike Hrvatske u mirovnoj misiji UN-a u Liberiji</t>
  </si>
  <si>
    <t>IV-1601/2003</t>
  </si>
  <si>
    <t>http://edoc.sabor.hr/Views/AktView.aspx?type=HTML&amp;id=2010938</t>
  </si>
  <si>
    <t>Sanader I</t>
  </si>
  <si>
    <t>HDZ; DC</t>
  </si>
  <si>
    <t>Prijedlog odluke o upućivanju pripadnika Oružanih snaga Republike Hrvatske u mirovnu misiju na Haiti (MINUSTAH)</t>
  </si>
  <si>
    <t>V-176/2004</t>
  </si>
  <si>
    <t>http://edoc.sabor.hr/Views/AktView.aspx?type=HTML&amp;id=256</t>
  </si>
  <si>
    <t>Prijedlog odluke o sudjelovanju pripadnika Oružanih snaga Republike Hrvatske u Mirovnoj misiji UNMOGIP (Indija i Pakistan)</t>
  </si>
  <si>
    <t>V-155/2004</t>
  </si>
  <si>
    <t>http://edoc.sabor.hr/Views/AktView.aspx?type=HTML&amp;id=230</t>
  </si>
  <si>
    <t>Prijedlog odluke o sudjelovanju pripadnika Oružanih snaga Republike Hrvatske u mirovnim misijama Ujedinjenih naroda</t>
  </si>
  <si>
    <t>V-243/2004</t>
  </si>
  <si>
    <t>http://edoc.sabor.hr/Views/AktView.aspx?type=HTML&amp;id=3538</t>
  </si>
  <si>
    <t>V-575/2005</t>
  </si>
  <si>
    <t>http://edoc.sabor.hr/Views/AktView.aspx?type=HTML&amp;id=6346</t>
  </si>
  <si>
    <t>Sanader II</t>
  </si>
  <si>
    <t xml:space="preserve">HDZ  </t>
  </si>
  <si>
    <t>V-859/2006</t>
  </si>
  <si>
    <t>http://edoc.sabor.hr/Views/AktView.aspx?type=HTML&amp;id=6895</t>
  </si>
  <si>
    <t>V-1163/2006</t>
  </si>
  <si>
    <t>http://edoc.sabor.hr/Views/AktView.aspx?type=HTML&amp;id=7416</t>
  </si>
  <si>
    <t>Prijedlog odluke o sudjelovanju pripadnika Oružanih snaga Republike Hrvatske u NATO operaciji "Active Endeavour"</t>
  </si>
  <si>
    <t>V-1161/2006</t>
  </si>
  <si>
    <t>http://edoc.sabor.hr/Views/AktView.aspx?type=HTML&amp;id=7414</t>
  </si>
  <si>
    <t>V-1282/2007</t>
  </si>
  <si>
    <t>http://edoc.sabor.hr/Views/AktView.aspx?type=HTML&amp;id=7622</t>
  </si>
  <si>
    <t>V-1417/2007</t>
  </si>
  <si>
    <t>http://edoc.sabor.hr/Views/AktView.aspx?type=HTML&amp;id=7835</t>
  </si>
  <si>
    <t>Sanader III</t>
  </si>
  <si>
    <t>HDZ; HSS; SDSS; HSLS</t>
  </si>
  <si>
    <t>Prijedlog odluke o sudjelovanju pripadnika Oružanih snaga Republike Hrvatske u mirovnoj misiji Ujedinjenih naroda na Golanskoj visoravni (UNDOF)</t>
  </si>
  <si>
    <t>VI-80/2008</t>
  </si>
  <si>
    <t>http://edoc.sabor.hr/Views/AktView.aspx?type=HTML&amp;id=20196</t>
  </si>
  <si>
    <t>Prijedlog odluke o sudjelovanju pripadnika Oružanih snaga Republike Hrvatske u mirovnoj operaciji Europske unije u Čadu i Srednjoafričkoj Republici(EUFOR TCHAD/RCA)</t>
  </si>
  <si>
    <t>VI-256/2008</t>
  </si>
  <si>
    <t>http://edoc.sabor.hr/Views/AktView.aspx?type=HTML&amp;id=20579</t>
  </si>
  <si>
    <t>VI-262/2008</t>
  </si>
  <si>
    <t>http://edoc.sabor.hr/Views/AktView.aspx?type=HTML&amp;id=20584</t>
  </si>
  <si>
    <t>Prijedlog odluke o sudjelovanju pripadnika Oružanih snaga Republike Hrvatske u mirovnoj operaciji NATO-a na Kosovu (KFOR)</t>
  </si>
  <si>
    <t>VI-263/2008</t>
  </si>
  <si>
    <t>http://edoc.sabor.hr/Views/AktView.aspx?type=HTML&amp;id=20585</t>
  </si>
  <si>
    <t>VI-435/2008</t>
  </si>
  <si>
    <t>http://edoc.sabor.hr/Views/AktView.aspx?type=HTML&amp;id=20942</t>
  </si>
  <si>
    <t>Prijedlog odluke o sudjelovanju pripadnika Oružanih snaga Republike Hrvatske u mirovnoj misiji Ujedinjenih naroda u Srednjoafričkoj Republici i Čadu (MINURCAT)</t>
  </si>
  <si>
    <t>VI-495/2009</t>
  </si>
  <si>
    <t>http://edoc.sabor.hr/Views/AktView.aspx?type=HTML&amp;id=21071</t>
  </si>
  <si>
    <t>Kosor I</t>
  </si>
  <si>
    <t>HDZ; HSS; SDSS; HLSL</t>
  </si>
  <si>
    <t>Prijedlog odluke o sudjelovanju pripadnika Oružanih snaga Republike Hrvatske u mirovnoj operaciji Europske unije "EU NAVFOR Somalija - ATALANTA"</t>
  </si>
  <si>
    <t>VI-544/2009</t>
  </si>
  <si>
    <t>http://edoc.sabor.hr/Views/AktView.aspx?type=HTML&amp;id=21157</t>
  </si>
  <si>
    <t>VI-877/2009</t>
  </si>
  <si>
    <t>http://edoc.sabor.hr/Views/AktView.aspx?type=HTML&amp;id=21811</t>
  </si>
  <si>
    <t>VI-860/2009</t>
  </si>
  <si>
    <t>http://edoc.sabor.hr/Views/AktView.aspx?type=HTML&amp;id=21788</t>
  </si>
  <si>
    <t>Prijedlog odluke o sudjelovanju pripadnika Oružanih snaga Republike Hrvatske u mirovnoj operaciji u Afganistanu (ISAF)</t>
  </si>
  <si>
    <t>VI-876/2009</t>
  </si>
  <si>
    <t>http://edoc.sabor.hr/Views/AktView.aspx?type=HTML&amp;id=21810</t>
  </si>
  <si>
    <t>VI-979/2010</t>
  </si>
  <si>
    <t>http://edoc.sabor.hr/Views/AktView.aspx?type=HTML&amp;id=22061</t>
  </si>
  <si>
    <t>Kosor II</t>
  </si>
  <si>
    <t xml:space="preserve">HDZ; HSS; SDSS </t>
  </si>
  <si>
    <t>VI-1214/2010</t>
  </si>
  <si>
    <t>http://edoc.sabor.hr/Views/AktView.aspx?type=HTML&amp;id=22498</t>
  </si>
  <si>
    <t>VI-1226/2010</t>
  </si>
  <si>
    <t>http://edoc.sabor.hr/Views/AktView.aspx?type=HTML&amp;id=22509</t>
  </si>
  <si>
    <t>Prijedlog odluke o sudjelovanju pripadnika Oružanih snaga Republike Hrvatske na dužnostima u zapovjedništvima, stožerima i drugim tijelima NATO-a u mirovnim misijama i operacijama pod vodstvom NATO-a</t>
  </si>
  <si>
    <t>VI-1473/2011</t>
  </si>
  <si>
    <t>http://edoc.sabor.hr/Views/AktView.aspx?type=HTML&amp;id=22969</t>
  </si>
  <si>
    <t>VI-1471/2011</t>
  </si>
  <si>
    <t>http://edoc.sabor.hr/Views/AktView.aspx?type=HTML&amp;id=22967</t>
  </si>
  <si>
    <t>Prijedlog odluke o sudjelovanju pripadnika Oružanih snaga Republike Hrvatske u mirovnoj operaciji NATO-a "UNIFIED PROTECTOR"</t>
  </si>
  <si>
    <t>VI-1472/2011</t>
  </si>
  <si>
    <t>http://edoc.sabor.hr/Views/AktView.aspx?type=HTML&amp;id=22968</t>
  </si>
  <si>
    <t>VI-1650/2011</t>
  </si>
  <si>
    <t>http://edoc.sabor.hr/Views/AktView.aspx?type=HTML&amp;id=23299</t>
  </si>
  <si>
    <t>Prijedlog odluke o sudjelovanju pripadnika Oružanih snaga Republike Hrvatske u mirovnoj misiji Ujedinjenih naroda u Sirijskoj Arapskoj Republici (UNSMIS)</t>
  </si>
  <si>
    <t>VII-179/2012</t>
  </si>
  <si>
    <t>http://edoc.sabor.hr/Views/AktView.aspx?type=HTML&amp;id=23830</t>
  </si>
  <si>
    <t>VII-303/2012</t>
  </si>
  <si>
    <t>http://edoc.sabor.hr/Views/AktView.aspx?type=HTML&amp;id=24121</t>
  </si>
  <si>
    <t>Prijedlog odluke o sudjelovanju pripadnika Oružanih snaga Republike Hrvatske u mirovnoj operaciji Europske unije "EU NAVFOR Somalija- ATALANTA"</t>
  </si>
  <si>
    <t>VII-438/2012</t>
  </si>
  <si>
    <t>http://edoc.sabor.hr/Views/AktView.aspx?type=HTML&amp;id=24372</t>
  </si>
  <si>
    <t>Prijedlog odluke o sudjelovanju Oružanih snaga Republike Hrvatske u mirovnoj operaciji NATO-a na Kosovu (KFOR)</t>
  </si>
  <si>
    <t>VII-437/2012</t>
  </si>
  <si>
    <t>http://edoc.sabor.hr/Views/AktView.aspx?type=HTML&amp;id=24371</t>
  </si>
  <si>
    <t>Milanovic</t>
  </si>
  <si>
    <t>SPH; HNS; IDS</t>
  </si>
  <si>
    <t>Prijedlog odluke o sudjelovanju pripadnika Oružanih snaga Republike Hrvatske u operaciji potpore miru "EU NAVFOR Somalija - ATALANTA</t>
  </si>
  <si>
    <t>VII-955/2013</t>
  </si>
  <si>
    <t>http://edoc.sabor.hr/Views/AktView.aspx?type=HTML&amp;id=25481</t>
  </si>
  <si>
    <t>Prijedlog odluke o sudjelovanju pripadnika Oružanih snaga Republike Hrvatske u operaciji potpore miru ISAF u Afganistanu</t>
  </si>
  <si>
    <t>VII-953/2013</t>
  </si>
  <si>
    <t>http://edoc.sabor.hr/Views/AktView.aspx?type=HTML&amp;id=25479</t>
  </si>
  <si>
    <t>Prijedlog odluke o sudjelovanju Oružanih snaga Republike Hrvatske u operaciji potpore miru KFOR na Kosovu</t>
  </si>
  <si>
    <t>VII-954/2013</t>
  </si>
  <si>
    <t>http://edoc.sabor.hr/Views/AktView.aspx?type=HTML&amp;id=25480</t>
  </si>
  <si>
    <t>Prijedlog odluke o sudjelovanju pripadnika Oružanih snaga Republike Hrvatske u operacijama potpore miru Ujedinjenih naroda</t>
  </si>
  <si>
    <t>VII-994/2013</t>
  </si>
  <si>
    <t>http://edoc.sabor.hr/Views/AktView.aspx?type=HTML&amp;id=25555</t>
  </si>
  <si>
    <t>Prijedlog odluke o upućivanju pripadnika Oružanih snaga Republike Hrvatske na dužnostima u NATO zapovjednoj strukturi, NATO strukturi snaga i drugim nacionalnim (multinacionalnim) zapovjedništvima u operacije i druge aktivnosti u inozemstvu pod vodstvom NATO-a</t>
  </si>
  <si>
    <t>VII-1006/2013</t>
  </si>
  <si>
    <t>http://edoc.sabor.hr/Views/AktView.aspx?type=HTML&amp;id=25576</t>
  </si>
  <si>
    <t>Prijedlog odluke o sudjelovanju pripadnika Oružanih snaga Republike Hrvatske u operaciji potpore miru "EUFOR ALTHEA" u Bosni i Hercegovini</t>
  </si>
  <si>
    <t>VII-1427/2014</t>
  </si>
  <si>
    <t>http://edoc.sabor.hr/Views/AktView.aspx?type=HTML&amp;id=26425</t>
  </si>
  <si>
    <t>Prijedlog odluke o sudjelovanju pripadnika Oružanih snaga Republike Hrvatske u operaciji potpore miru "EU NAVFOR Somalija - ATALANTA"</t>
  </si>
  <si>
    <t>VII-1429/2014</t>
  </si>
  <si>
    <t>http://edoc.sabor.hr/Views/AktView.aspx?type=HTML&amp;id=26427</t>
  </si>
  <si>
    <t>VII-1430/2014</t>
  </si>
  <si>
    <t>http://edoc.sabor.hr/Views/AktView.aspx?type=HTML&amp;id=26428</t>
  </si>
  <si>
    <t>Prijedlog odluke o sudjelovanju pripadnika Oružanih snaga Republike Hrvatske u misiji potpore miru "RESOLUTE SUPPORT" u Afganistanu</t>
  </si>
  <si>
    <t>VII-1428/2014</t>
  </si>
  <si>
    <t>https://www.sabor.hr/hr/prijedlog-odluke-o-sudjelovanju-pripadnika-oruzanih-snaga-republike-hrvatske-u-misiji-potpore-miru</t>
  </si>
  <si>
    <t>VII-1787/2015</t>
  </si>
  <si>
    <t>http://edoc.sabor.hr/Views/AktView.aspx?type=HTML&amp;id=27103</t>
  </si>
  <si>
    <t>VII-1790/2015</t>
  </si>
  <si>
    <t>http://edoc.sabor.hr/Views/AktView.aspx?type=HTML&amp;id=27106</t>
  </si>
  <si>
    <t>VII-1791/2015</t>
  </si>
  <si>
    <t>http://edoc.sabor.hr/Views/AktView.aspx?type=HTML&amp;id=27111</t>
  </si>
  <si>
    <t>Prijedlog odluke o upućivanju Oružanih snaga Republike Hrvatske na dužnostima u NATO zapovjednoj strukturi, NATO strukturi snaga i drugim nacionalnim (multinacionalnim) zapovjedništvima u operacije i druge aktivnosti u inozemstvu pod vodstvom NATO-a</t>
  </si>
  <si>
    <t>VII-1792/2015</t>
  </si>
  <si>
    <t>http://edoc.sabor.hr/Views/AktView.aspx?type=HTML&amp;id=27112</t>
  </si>
  <si>
    <t>Oreskovic</t>
  </si>
  <si>
    <t xml:space="preserve">HDZ; Most </t>
  </si>
  <si>
    <t>Prijedlog odluke o izmjeni Odluke o sudjelovanju pripadnika Oružanih snaga Republike Hrvatske u misiji potpore miru "RESOLUTE SUPPORT" u Afganistanu</t>
  </si>
  <si>
    <t>VIII-209/2016</t>
  </si>
  <si>
    <t>http://edoc.sabor.hr/Views/AktView.aspx?type=HTML&amp;id=2020671</t>
  </si>
  <si>
    <t>Plenkovic I</t>
  </si>
  <si>
    <t>IX-103/2016</t>
  </si>
  <si>
    <t>http://edoc.sabor.hr/Views/AktView.aspx?type=HTML&amp;id=2021086</t>
  </si>
  <si>
    <t>Prijedlog odluke o sudjelovanju pripadnika Oružanih snaga Republike Hrvatske u operaciji potpore miru KFOR na Kosovu</t>
  </si>
  <si>
    <t>IX-106/2016</t>
  </si>
  <si>
    <t>http://edoc.sabor.hr/Views/AktView.aspx?type=HTML&amp;id=2021089</t>
  </si>
  <si>
    <t>IX-104/2016</t>
  </si>
  <si>
    <t>http://edoc.sabor.hr/Views/AktView.aspx?type=HTML&amp;id=2021087</t>
  </si>
  <si>
    <t>IX-105/2016</t>
  </si>
  <si>
    <t>http://edoc.sabor.hr/Views/AktView.aspx?type=HTML&amp;id=2021088</t>
  </si>
  <si>
    <t>Prijedlog odluke o sudjelovanju pripadnika Oružanih snaga Republike Hrvatske u operaciji Europske unije "EUNAVFOR MED SOPHIA"</t>
  </si>
  <si>
    <t>IX-409/2017</t>
  </si>
  <si>
    <t>http://edoc.sabor.hr/Views/AktView.aspx?type=HTML&amp;id=2021626</t>
  </si>
  <si>
    <t>Plenkovic II</t>
  </si>
  <si>
    <t>HDZ; HNS</t>
  </si>
  <si>
    <t>IX-594/2017</t>
  </si>
  <si>
    <t>http://edoc.sabor.hr/Views/AktView.aspx?type=HTML&amp;id=2022187</t>
  </si>
  <si>
    <t>Prijedlog odluke o sudjelovanju pripadnika Oružanih snaga Republike Hrvatske u operaciji potpore miru "EU NAVFOR - Somalija - ATALANTA"</t>
  </si>
  <si>
    <t>IX-597/2017</t>
  </si>
  <si>
    <t>http://edoc.sabor.hr/Views/AktView.aspx?type=HTML&amp;id=2022190</t>
  </si>
  <si>
    <t>IX-596/2017</t>
  </si>
  <si>
    <t>http://edoc.sabor.hr/Views/AktView.aspx?type=HTML&amp;id=2022189</t>
  </si>
  <si>
    <t>IX-595/2017</t>
  </si>
  <si>
    <t>http://edoc.sabor.hr/Views/AktView.aspx?type=HTML&amp;id=2022188</t>
  </si>
  <si>
    <t>IX-598/2017</t>
  </si>
  <si>
    <t>http://edoc.sabor.hr/Views/AktView.aspx?type=HTML&amp;id=2022191</t>
  </si>
  <si>
    <t>Prijedlog odluke o sudjelovanju Oružanih snaga Republike Hrvatske u operaciji potpore miru "SEA GUARDIAN" u Sredozemlju</t>
  </si>
  <si>
    <t>IX-960/2018</t>
  </si>
  <si>
    <t>http://edoc.sabor.hr/Views/AktView.aspx?type=HTML&amp;id=2022843</t>
  </si>
  <si>
    <t>IX-1092/2018</t>
  </si>
  <si>
    <t>http://edoc.sabor.hr/Views/AktView.aspx?type=HTML&amp;id=2023098</t>
  </si>
  <si>
    <t>IX-1093/2018</t>
  </si>
  <si>
    <t>http://edoc.sabor.hr/Views/AktView.aspx?type=HTML&amp;id=2023099</t>
  </si>
  <si>
    <t>PRIJEDLOG ODLUKE O SUDJELOVANJU ORUŽANIH SNAGA REPUBLIKE HRVATSKE U OPERACIJI POTPORE MIRU KFOR NA KOSOVU</t>
  </si>
  <si>
    <t>IX-1094/2018</t>
  </si>
  <si>
    <t>http://edoc.sabor.hr/Views/AktView.aspx?type=HTML&amp;id=2023100</t>
  </si>
  <si>
    <t>Prijedlog odluke o sudjelovanju pripadnika Oružanih snaga Republike Hrvatske u misiji potpore miru "NATO MISIJI U IRAKU"</t>
  </si>
  <si>
    <t>IX-1095/2018</t>
  </si>
  <si>
    <t>http://edoc.sabor.hr/Views/AktView.aspx?type=HTML&amp;id=2023101</t>
  </si>
  <si>
    <t>IX-1098/2018</t>
  </si>
  <si>
    <t>http://edoc.sabor.hr/Views/AktView.aspx?type=HTML&amp;id=2023104</t>
  </si>
  <si>
    <t>IX-1097/2018</t>
  </si>
  <si>
    <t>http://edoc.sabor.hr/Views/AktView.aspx?type=HTML&amp;id=2023103</t>
  </si>
  <si>
    <t>IX-1509/2019</t>
  </si>
  <si>
    <t>http://edoc.sabor.hr/Views/AktView.aspx?type=HTML&amp;id=2023922</t>
  </si>
  <si>
    <t>PRIJEDLOG ODLUKE O SUDJELOVANJU ORUŽANIH SNAGA REPUBLIKE HRVATSKE U OPERACIJI POTPORE MIRU „SEA GUARDIAN“ U SREDOZEMLJU</t>
  </si>
  <si>
    <t>IX-1506/2019</t>
  </si>
  <si>
    <t>http://edoc.sabor.hr/Views/AktView.aspx?type=HTML&amp;id=2023919</t>
  </si>
  <si>
    <t>IX-1510/2019</t>
  </si>
  <si>
    <t>http://edoc.sabor.hr/Views/AktView.aspx?id=2023923</t>
  </si>
  <si>
    <t>Reynolds II</t>
  </si>
  <si>
    <t>That Dáil Éireann approves the despatch, pursuant to section 2 of the Defence (Amendment) (No. 2) Act, 1960, as applied by the Defence (Amendment) Act, 1993, of a contingent of the Permanent Defence Force for service outside the State to participate in the United Nations Operation in Somalia, known as UNOSOM II, as part of the International United Nations Force established by the United Nations Security Council.</t>
  </si>
  <si>
    <t>Dáil Éireann Debate Vol. 433 No. 5</t>
  </si>
  <si>
    <t>https://www.oireachtas.ie/en/debates/debate/dail/1993-07-06/29/?highlight%5B0%5D=somalia&amp;highlight%5B1%5D=somalia&amp;highlight%5B2%5D=somalia&amp;highlight%5B3%5D=somalia&amp;highlight%5B4%5D=somalia</t>
  </si>
  <si>
    <t>Bruton</t>
  </si>
  <si>
    <t>That Dáil Éireann approves the dispatch, pursuant to section 2 of the Defence (Amendment) (No. 2) Act, 1960, as applied by the Defence (Amendment) Act, 1993, of a contingent of the Permanent Defence Force for service with the UN authorised multinational Stabilisation Force (SFOR) in Bosnia and Herzegovina, in accordance with UN Security Council Resolution 1088 of 12 December 1996, and that it further approves the terms of the exchange of letters on Ireland's financial responsibilities arising from participation in SFOR, a copy of which was laid before Dáil Éireann on 12 May, 1997.</t>
  </si>
  <si>
    <t>Vol. 543, No. 1</t>
  </si>
  <si>
    <t>https://www.oireachtas.ie/en/debates/debate/dail/1997-05-14/5/?highlight%5B0%5D=sfor</t>
  </si>
  <si>
    <t>Ahern I</t>
  </si>
  <si>
    <t>That Dáil Éireann approves the dispatch, pursuant to section 2 of the Defence (Amendment) (No. 2) Act, 1960, as applied by the Defence (Amendment) Act, 1993, of a contingent of the Permanent Defence Force for service with the international security presence in Kosovo, known as KFOR, established under the authority of the UN Security Council Resolution 1244, and that it further approves the terms of the exchanges of letters with the Secretary-General of the North Atlantic Treaty Organisation on Ireland's financial responsibility arising from participation in KFOR, a copy of which was laid before Dáil Éireann on 29th June, 1999."</t>
  </si>
  <si>
    <t>Vol. 574, No. 2</t>
  </si>
  <si>
    <t>https://www.oireachtas.ie/en/debates/debate/dail/1999-07-01/22/?highlight%5B0%5D=vote&amp;highlight%5B1%5D=kfor&amp;highlight%5B2%5D=kfor&amp;highlight%5B3%5D=kfor&amp;highlight%5B4%5D=kfor&amp;highlight%5B5%5D=kfor</t>
  </si>
  <si>
    <t>That Dáil Éireann approves the dispatch, pursuant to section 2 of the Defence (Amendment) (No. 2) Act, 1960, as amended by section 3 of the Defence (Amendment) Act, 1993, of a contingent of the Permanent Defence Force for service with the multinational force in East Timor, known as INTERFET, established under the authority of UN Security Council Resolution 1264 of 15 September 1999 and that it further approves the terms of the Agreement on Participation in the International Force East Timor (INTERFET), a copy of which was laid before Dáil Éireann on 6 October 1999.</t>
  </si>
  <si>
    <t>Dáíl Éireann Debate Vol. 509 No. 1</t>
  </si>
  <si>
    <t>https://www.oireachtas.ie/en/debates/debate/dail/1999-10-12/13/?highlight%5B0%5D=unamet&amp;highlight%5B1%5D=unamet</t>
  </si>
  <si>
    <t>No. 24, motion re Dispatch of a contingent of the Permanent Defence Force for service with the United Nations Mission in Ethiopia and Eritrea (UNMEE)</t>
  </si>
  <si>
    <t>Vol. 638, No. 1</t>
  </si>
  <si>
    <t>https://www.oireachtas.ie/en/debates/debate/dail/2001-10-25/6/</t>
  </si>
  <si>
    <t>Ahern II</t>
  </si>
  <si>
    <t>That Dáil Éireann approves the despatch, pursuant to section 2 of the Defence (Amendment) (No. 2) Act 1960, as amended by the Defence (Amendment) Act 1993, of a contingent of the Permanent Defence Force for service with the United Nations Mission in Liberia, UNMIL, established on 19 September 2003 under UN Security Council Resolution 1509 (2003).</t>
  </si>
  <si>
    <t>Vol. 642, No. 4</t>
  </si>
  <si>
    <t>https://www.oireachtas.ie/en/debates/debate/dail/2003-11-12/15/?highlight%5B0%5D=liberia&amp;highlight%5B1%5D=unmil</t>
  </si>
  <si>
    <t>That Dáil Éireann approves the despatch, pursuant to section 2 of the Defence (Amendment) (No. 2) Act 1960, as applied by Defence (Amendment) Act 1993, of a contingent of the Permanent Defence Force for service with EUFOR, established under the authority of UN Security Council Resolution 1575 of 22 November 2004.</t>
  </si>
  <si>
    <t>Vol. 677, No.2</t>
  </si>
  <si>
    <t>https://www.oireachtas.ie/en/debates/debate/dail/2004-11-25/17/?highlight%5B0%5D=althea&amp;highlight%5B1%5D=althea</t>
  </si>
  <si>
    <t>Ahern III</t>
  </si>
  <si>
    <t>That Dáil Éireann approves the dispatch of Major General Pat Nash to the position of Operations Commander for the proposed EU military operation in the Republic of Chad and the Central African Republic with up to four support staff pursuant to section 2 of the Defence (Amendment) (No. 2) Act, 1960, for service with the EU mission in support of MINURCAT, established on 25 September, 2007 under UN Security Council Resolution 1778 (2007) .</t>
  </si>
  <si>
    <t>EUFOR Chad/RCA</t>
  </si>
  <si>
    <t>Vol. 958, No. 2</t>
  </si>
  <si>
    <t>https://www.oireachtas.ie/en/debates/debate/dail/2007-10-09/22/?highlight%5B0%5D=chad</t>
  </si>
  <si>
    <t>That Dáil Éireann approves the despatch, pursuant to section 2 of the Defence (Amendment) (No. 2) Act 1960, as applied by the Defence (Amendment) Act 2006, of a contingent of the Permanent Defence Force for service with the EU military operation named "EUFOR TCHAD/RCA", established under the authority of United Nations Security Council Resolution 1778 (2007), including headquarter elements to be located as may be determined from time to time.</t>
  </si>
  <si>
    <t>Vol. 479 No.3</t>
  </si>
  <si>
    <t>https://www.oireachtas.ie/en/debates/debate/dail/2007-11-28/26/</t>
  </si>
  <si>
    <t>Cowen</t>
  </si>
  <si>
    <t>That Dáil Éireann approves: (i) the placing of the contingent of the Permanent Defence Force serving in Chad with the UN-authorised EU-led force, known as EUFOR TCHAD/RCA, under the authority of the United Nations Mission in the Central African Republic and Chad (MINURCAT), established under the authority of United Nations Security Council Resolution 1861 (2009) of 14 January, 2009; (ii) the despatch, pursuant to section 2 of the Defence (Amendment) (No. 2) Act 1960, as applied by the Defence (Amendment) Act 2006, of a contingent of the Permanent Defence Force for service with the United Nations Mission in the Central African Republic and Chad (MINURCAT), established under the authority of United Nations Security Council Resolution 1861 (2009) of 14 January, 2009; and (iii) the continued deployment of personnel with EUFOR TCHAD/RCA during the handover period and pending the completion of the withdrawal of EUFOR TCHAD/RCA.</t>
  </si>
  <si>
    <t>Vol. 593, No. 3</t>
  </si>
  <si>
    <t>https://www.oireachtas.ie/en/debates/debate/dail/2009-03-05/5/?highlight%5B0%5D=minurcat&amp;highlight%5B1%5D=minurcat&amp;highlight%5B2%5D=minurcat&amp;highlight%5B3%5D=minurcat&amp;highlight%5B4%5D=minurcat</t>
  </si>
  <si>
    <t>Kenny I</t>
  </si>
  <si>
    <t>That Dáil Éireann approves the despatch, pursuant to section 2 of the Defence (Amendment) (No. 2) Act 1960, as applied by the Defence (Amendment) Act 2006, of a further contingent of the Permanent Defence Force for service with the United Nations Interim Force in Lebanon (UNIFIL), established on 19th March, 1978 under UN Security Council Resolutions 425 (1978) and 426 (1978) and in accordance with its additional enhanced mandate as set out in UN Security Council Resolution 1701 (2006) of 11th August, 2006 as renewed under UN Security Council Resolutions 1773 (2007), 1832 (2008), 1884 (2009) and 1937 (2010) and subject to renewal of the UN authority for the mission thereafter.</t>
  </si>
  <si>
    <t>Vol. 507, No. 4</t>
  </si>
  <si>
    <t>https://www.oireachtas.ie/en/debates/debate/dail/2011-04-21/4/?highlight%5B0%5D=unifil&amp;highlight%5B1%5D=unifil&amp;highlight%5B2%5D=2011&amp;highlight%5B3%5D=unifil&amp;highlight%5B4%5D=unifil</t>
  </si>
  <si>
    <t>That Dáil Éireann approves, pursuant to section 2 of the Defence (Amendment) (No. 2) Act 1960, as applied by section 2 of the Defence (Amendment) Act 2006, the deployment of a contingent of the Permanent Defence Force to serve as part of EUNAVFOR MED - Operation Sophia, and in accordance with United Nations Security Council Resolution 2312 (2016) and UN Security Council Resolution 2357 (2017), and subject to renewal of the UN mandate/authority thereafter.</t>
  </si>
  <si>
    <t>Vol. 812, No. 2</t>
  </si>
  <si>
    <t>https://www.oireachtas.ie/en/debates/vote/dail/32/2017-07-13/120/?highlight%5B0%5D=defence</t>
  </si>
  <si>
    <t>That Dáil Éireann approves the despatch, pursuant to section 2 of the Defence (Amendment) (No. 2) Act 1960, as applied by section 2 of the Defence (Amendment) Act 2006, of a contingent of the Permanent Defence Force for service as part of the United Nations Disengagement Observer Force (UNDOF) in Syria, established under United Nations Security Council Resolution 350 (1974) of 31st May, 1974 and extended in subsequent Resolutions, most recently through Resolution 2108 (2013) and subject to renewal of the UN mandate/authority for UNDOF thereafter."</t>
  </si>
  <si>
    <t>Vol. 730, No. 5</t>
  </si>
  <si>
    <t>https://www.oireachtas.ie/en/debates/vote/dail/31/2013-07-18/3/?highlight%5B0%5D=defence</t>
  </si>
  <si>
    <t>Varadkar</t>
  </si>
  <si>
    <t>That Dáil Éireann approves, pursuant to section 2 of the Defence (Amendment) (No. 2) Act 1960, as applied by section 2 of the Defence (Amendment) Act 2006, the deployment of a contingent of the Permanent Defence Force to MINUSMA, established under United Nations Security Council Resolution 2100 (2013) and extended in subsequent Resolutions and subject to renewal of the UN mandate/authority for the mission thereafter.</t>
  </si>
  <si>
    <t>Vol. 984, No. 1</t>
  </si>
  <si>
    <t>https://www.oireachtas.ie/en/debates/vote/dail/32/2019-06-20/101/?highlight%5B0%5D=defence</t>
  </si>
  <si>
    <t>ITA</t>
  </si>
  <si>
    <t>Andreotti VI</t>
  </si>
  <si>
    <t>DC/PSI/PRI/PSDI/PLI</t>
  </si>
  <si>
    <t>Camera(ITA)</t>
  </si>
  <si>
    <t>6-00143</t>
  </si>
  <si>
    <t>https://www.camera.it/_dati/leg10/lavori/stenografici/sed0514/sed0514.pdf</t>
  </si>
  <si>
    <t>6-00151</t>
  </si>
  <si>
    <t>https://www.camera.it/_dati/leg10/lavori/stenografici/sed0574/sed0574.pdf</t>
  </si>
  <si>
    <t>Senato(ITA)</t>
  </si>
  <si>
    <t>http://www.senato.it/service/PDF/PDFServer/BGT/318069.pdf</t>
  </si>
  <si>
    <t>Andreotti VII</t>
  </si>
  <si>
    <t>DC/PSI/PSDI/PLI</t>
  </si>
  <si>
    <t>C5473</t>
  </si>
  <si>
    <t>https://www.camera.it/_dati/leg10/lavori/stenografici/sed0609/sed0609.pdf</t>
  </si>
  <si>
    <t>Amato I</t>
  </si>
  <si>
    <t>UNOSOM (Somalia)</t>
  </si>
  <si>
    <t>6-00013</t>
  </si>
  <si>
    <t>https://www.camera.it/_dati/leg11/lavori/stenografici/stenografico/33726.pdf</t>
  </si>
  <si>
    <t>C2156</t>
  </si>
  <si>
    <t>http://legislature.camera.it/chiosco.asp?source=/altre_sezionism/10221/10233/10234/documentotesto.asp&amp;content=/_dati/leg11/lavori/schedela/trovaschedacamera.asp?pdl=2156</t>
  </si>
  <si>
    <t>Ciampi</t>
  </si>
  <si>
    <t>UNOSOM (Somalia), UNOMOZ  (Mozambico)</t>
  </si>
  <si>
    <t>C3690</t>
  </si>
  <si>
    <t>http://legislature.camera.it/chiosco.asp?source=/altre_sezionism/10221/10233/10234/documentotesto.asp&amp;content=/_dati/leg11/lavori/schedela/trovaschedacamera.asp?pdl=3690</t>
  </si>
  <si>
    <t>Berlusconi I</t>
  </si>
  <si>
    <t>FI/AN/LN/CCD/UdCE</t>
  </si>
  <si>
    <t>C1184</t>
  </si>
  <si>
    <t>https://www.normattiva.it/atto/caricaDettaglioAtto?atto.dataPubblicazioneGazzetta=1994-08-31&amp;atto.codiceRedazionale=094G0563</t>
  </si>
  <si>
    <t>Dini I</t>
  </si>
  <si>
    <t>Technical Government</t>
  </si>
  <si>
    <t>C2394</t>
  </si>
  <si>
    <t>https://www.normattiva.it/do/atto/vediLavoriPreparatori?atto.dataPubblicazioneGazzetta=1995-06-09&amp;atto.codiceRedazionale=095G0258</t>
  </si>
  <si>
    <t>C2736</t>
  </si>
  <si>
    <t>https://www.camera.it/uri-res/N2Ls?urn:camera-it:parlamento:scheda.progetto.legge:camera;12.legislatura;2736</t>
  </si>
  <si>
    <t>Prodi I</t>
  </si>
  <si>
    <t>PDS/PPI/RI/FdV</t>
  </si>
  <si>
    <t>UNMIBH (Bosnia)</t>
  </si>
  <si>
    <t>C2064</t>
  </si>
  <si>
    <t>http://leg13.camera.it/docesta/313/15804/documentotesto.asp?pdl=2064&amp;tab=1&amp;leg=13</t>
  </si>
  <si>
    <t xml:space="preserve">Prodi I </t>
  </si>
  <si>
    <t>TIPH (Hebron), UNMIBH (Bosnia)</t>
  </si>
  <si>
    <t>C3363</t>
  </si>
  <si>
    <t>https://www.normattiva.it/do/atto/vediLavoriPreparatori?atto.dataPubblicazioneGazzetta=1997-03-28&amp;atto.codiceRedazionale=097G0104</t>
  </si>
  <si>
    <t>http://www.senato.it/service/PDF/PDFServer/BGT/4817.pdf</t>
  </si>
  <si>
    <t>6-00017</t>
  </si>
  <si>
    <t>http://documenti.camera.it/_dati/leg13/lavori/stenografici/sed177/pdfel.htm</t>
  </si>
  <si>
    <t>S2387</t>
  </si>
  <si>
    <t>http://www.senato.it/leg/13/BGT/Schede/Ddliter/9290.htm</t>
  </si>
  <si>
    <t>C3788</t>
  </si>
  <si>
    <t>http://leg13.camera.it/docesta/313/15804/documentotesto.asp?pdl=3788&amp;tab=1&amp;leg=13</t>
  </si>
  <si>
    <t>C3833</t>
  </si>
  <si>
    <t>http://leg13.camera.it/docesta/313/15804/documentotesto.asp?pdl=3833&amp;tab=1&amp;leg=13</t>
  </si>
  <si>
    <t>C4041</t>
  </si>
  <si>
    <t>http://leg13.camera.it/docesta/313/15804/documentotesto.asp?pdl=4041&amp;tab=1&amp;leg=13</t>
  </si>
  <si>
    <t>C4273</t>
  </si>
  <si>
    <t>http://leg13.camera.it/docesta/313/15804/documentotesto.asp?pdl=4273&amp;tab=1&amp;leg=13</t>
  </si>
  <si>
    <t>Joint Forge (Bosnia), IPTF (Bosnia), TIPH (Hebron)</t>
  </si>
  <si>
    <t>S2997</t>
  </si>
  <si>
    <t>http://www.senato.it/leg/13/BGT/Schede/Ddliter/9934.htm</t>
  </si>
  <si>
    <t>C4570</t>
  </si>
  <si>
    <t>http://leg13.camera.it/docesta/313/15804/documentotesto.asp?pdl=4570&amp;tab=1&amp;leg=13</t>
  </si>
  <si>
    <t>SFOR , IPTF, MAPE, TIPH</t>
  </si>
  <si>
    <t>C5117</t>
  </si>
  <si>
    <t>http://www.senato.it/leg/13/BGT/Schede/Ddliter/10364.htm</t>
  </si>
  <si>
    <t>D'Alema I</t>
  </si>
  <si>
    <t>PDS/PPI/UDR/Ril/PdCI/FdV/SDI</t>
  </si>
  <si>
    <t>MSU,  IPTF, TIPH</t>
  </si>
  <si>
    <t>C5618</t>
  </si>
  <si>
    <t>http://leg13.camera.it/docesta/313/15804/documentotesto.asp?pdl=5117&amp;tab=1&amp;leg=13</t>
  </si>
  <si>
    <t>6-00078</t>
  </si>
  <si>
    <t>http://documenti.camera.it/_dati/leg13/lavori/stenografici/sed513/pdfel.htm</t>
  </si>
  <si>
    <t>6-00083</t>
  </si>
  <si>
    <t>http://documenti.camera.it/_dati/leg13/lavori/stenografici/sed518/pdfel.htm</t>
  </si>
  <si>
    <t>6-00091</t>
  </si>
  <si>
    <t>http://documenti.camera.it/_dati/leg13/lavori/stenografici/sed537/pdfel.htm</t>
  </si>
  <si>
    <t>C6079</t>
  </si>
  <si>
    <t>http://leg13.camera.it/docesta/313/15804/documentotesto.asp?pdl=6079&amp;tab=1&amp;leg=13</t>
  </si>
  <si>
    <t>UNMIK (Kosovo), Allied Harbour (Macedonia, Albania), TIPH (Hebron)</t>
  </si>
  <si>
    <t>C6149</t>
  </si>
  <si>
    <t>https://www.camera.it/uri-res/N2Ls?urn:camera-it:parlamento:scheda.progetto.legge:camera;13.legislatura;6149</t>
  </si>
  <si>
    <t>DS/PPI/UDR/Ril/PdCI/FdV/SDI</t>
  </si>
  <si>
    <t>UNMIK (Kosovo), Allied Harbour (Macedonia, Albania), TIPH (Hebron), INTERFET (Timor Est)</t>
  </si>
  <si>
    <t>C6497</t>
  </si>
  <si>
    <t>https://www.camera.it/uri-res/N2Ls?urn:camera-it:parlamento:scheda.progetto.legge:camera;13.legislatura;6497</t>
  </si>
  <si>
    <t>D'Alema II</t>
  </si>
  <si>
    <t>DS/PPI/Ril/PdCI/UDEUR/ID/FdV</t>
  </si>
  <si>
    <t>UNMIK (Kosovo), MSU (Kosovo), Allied Harbour (Macedonia, Albania), TIPH (Hebron), Joint Forge (Bosnia),</t>
  </si>
  <si>
    <t>C6774</t>
  </si>
  <si>
    <t>https://www.normattiva.it/do/atto/vediLavoriPreparatori?atto.dataPubblicazioneGazzetta=2000-03-07&amp;atto.codiceRedazionale=000G0088</t>
  </si>
  <si>
    <t>Amato II</t>
  </si>
  <si>
    <t>DS/PPI/Ril/PdCI/UDEUR/ID/SDI/FdV</t>
  </si>
  <si>
    <t>C7194</t>
  </si>
  <si>
    <t>https://www.normattiva.it/do/atto/vediLavoriPreparatori?atto.dataPubblicazioneGazzetta=2000-08-19&amp;atto.codiceRedazionale=000G0280</t>
  </si>
  <si>
    <t>UNMIK (Kosovo), MSU (Kosovo), Allied Harbour (Macedonia, Albania), TIPH (Hebron), Joint Forge (Bosnia), ALBIT (Albania)</t>
  </si>
  <si>
    <t>C7521</t>
  </si>
  <si>
    <t>http://leg13.camera.it/docesta/313/15804/documentotesto.asp?pdl=7521&amp;tab=1&amp;leg=13</t>
  </si>
  <si>
    <t>Berlusconi II</t>
  </si>
  <si>
    <t>FI/AN/LN/CCD+CDU</t>
  </si>
  <si>
    <t>S4984</t>
  </si>
  <si>
    <t>http://www.senato.it/leg/13/BGT/Schede/Ddliter/13131.htm</t>
  </si>
  <si>
    <t>Enduring Freedom (Afghanistan)</t>
  </si>
  <si>
    <t>6-000004</t>
  </si>
  <si>
    <t>http://documenti.camera.it/_dati/leg14/lavori/stenografici/sed041/pdfel.htm</t>
  </si>
  <si>
    <t>6-000008</t>
  </si>
  <si>
    <t>http://www.senato.it/service/PDF/PDFServer/BGT/8505.pdf</t>
  </si>
  <si>
    <t>C1596</t>
  </si>
  <si>
    <t>http://legislature.camera.it/chiosco.asp?source=/altre_sezionism/9499/10031/10032/documentotesto.asp&amp;content=/_dati/leg03/lavori/schedela/trovaschedacamera.asp?pdl=553</t>
  </si>
  <si>
    <t>6-000009</t>
  </si>
  <si>
    <t>http://leg14.camera.it/chiosco.asp?source=&amp;position=Organi%20Parlamentari\Assemblea\Resoconti&amp;content=/_dati/leg14/lavori/stenografici/framedinam.asp?sedpag=sed057/s000r.htm</t>
  </si>
  <si>
    <t>6-00011</t>
  </si>
  <si>
    <t>http://www.senato.it/japp/bgt/showdoc/frame.jsp?tipodoc=Resaula&amp;leg=14&amp;id=8995</t>
  </si>
  <si>
    <t>S914</t>
  </si>
  <si>
    <t>http://www.senato.it/leg/14/BGT/Schede/Ddliter/16324.htm</t>
  </si>
  <si>
    <t>C2215</t>
  </si>
  <si>
    <t>http://leg14.camera.it/_dati/leg14/lavori/schedela/trovaschedacamera_wai.asp?PDL=2215</t>
  </si>
  <si>
    <t>UNMIK (Kosovo),  ALBIT (Albania), Allied Harmony (Macedonia), MSU (Kosovo)</t>
  </si>
  <si>
    <t>S1001</t>
  </si>
  <si>
    <t>http://www.senato.it/leg/14/BGT/Schede/Ddliter/16490.htm</t>
  </si>
  <si>
    <t>C2254</t>
  </si>
  <si>
    <t>http://leg14.camera.it/_dati/leg14/lavori/schedela/trovaschedacamera_wai.asp?PDL=2254</t>
  </si>
  <si>
    <t>UNMIK (Kosovo),  ALBIT (Albania), Allied Harmony (Macedonia), MSU (Kosovo), ISAF (Afghanistan), Enduring Freedom (Afghanistan) EUMM (Bosnia)</t>
  </si>
  <si>
    <t>C2666</t>
  </si>
  <si>
    <t>http://leg14.camera.it/_dati/leg14/lavori/schedela/trovaschedacamera_wai.asp?PDL=2666</t>
  </si>
  <si>
    <t>S1466</t>
  </si>
  <si>
    <t>http://www.senato.it/leg/14/BGT/Schede/Ddliter/17671.htm</t>
  </si>
  <si>
    <t>6-00033</t>
  </si>
  <si>
    <t>http://leg14.camera.it/chiosco.asp?source=&amp;position=Organi%20Parlamentari\Assemblea\Resoconti&amp;content=/_dati/leg14/lavori/stenografici/framedinam.asp?sedpag=sed197/s000r.htm</t>
  </si>
  <si>
    <t>http://www.senato.it/japp/bgt/showdoc/frame.jsp?tipodoc=Resaula&amp;leg=14&amp;id=29024&amp;part=doc_dc-ressomm_rs</t>
  </si>
  <si>
    <t>EUPM (Bosnia),  ISAF (Afghanistan),  ALBIT (Albania)</t>
  </si>
  <si>
    <t>C3564</t>
  </si>
  <si>
    <t>http://leg14.camera.it/_dati/leg14/lavori/schedela/trovaschedacamera_wai.asp?PDL=3564</t>
  </si>
  <si>
    <t>6-00057</t>
  </si>
  <si>
    <t>http://documenti.camera.it/_dati/leg14/lavori/stenografici/sed283/pdfel.htm</t>
  </si>
  <si>
    <t>http://www.senato.it/japp/bgt/showdoc/frame.jsp?tipodoc=Resaula&amp;leg=14&amp;id=114249</t>
  </si>
  <si>
    <t>6-00065</t>
  </si>
  <si>
    <t>http://documenti.camera.it/_dati/leg14/lavori/stenografici/sed298/pdfel.htm</t>
  </si>
  <si>
    <t>http://www.senato.it/japp/bgt/showdoc/frame.jsp?tipodoc=Resaula&amp;leg=14&amp;id=114257</t>
  </si>
  <si>
    <t>C4154</t>
  </si>
  <si>
    <t>https://www.camera.it/uri-res/N2Ls?urn:camera-it:parlamento:scheda.progetto.legge:camera;14.legislatura;4154</t>
  </si>
  <si>
    <t>S2437</t>
  </si>
  <si>
    <t>http://www.senato.it/leg/14/BGT/Schede/Ddliter/20131.htm</t>
  </si>
  <si>
    <t>Iraqi Freedom, Joint Forge, Joint Gurdian, NATO Headquarters Skopje, UNMIK, Albit, NATO Headquarter Tirana, UNMEE, Active Endeavour, Enduring Freedom, ISAF, EUMM Bosnia, Somalia and Sudan</t>
  </si>
  <si>
    <t>S2700</t>
  </si>
  <si>
    <t>http://www.senato.it/leg/14/BGT/Schede/Ddliter/20860.htm</t>
  </si>
  <si>
    <t>C4725</t>
  </si>
  <si>
    <t>http://leg14.camera.it/_dati/leg14/lavori/schedela/trovaschedacamera_wai.asp?PDL=4725</t>
  </si>
  <si>
    <t>6-00095</t>
  </si>
  <si>
    <t>http://leg14.camera.it/chiosco.asp?source=&amp;position=Organi%20Parlamentari\Assemblea\Resoconti&amp;content=/_dati/leg14/lavori/stenografici/framedinam.asp?sedpag=sed311/s000r.htm</t>
  </si>
  <si>
    <t>http://www.senato.it/japp/bgt/showdoc/frame.jsp?tipodoc=Resaula&amp;leg=14&amp;id=111931</t>
  </si>
  <si>
    <t xml:space="preserve">Iraqi Freedom,  Active Endeavour, Enduring Freedom, ISAF, Joint Forge, MSU, Joint Guardian, Fyrom, NATO Headquarters, UNMIK, CIU, ALBIT, Albania, NATO HQ Tirana, </t>
  </si>
  <si>
    <t>C5008</t>
  </si>
  <si>
    <t>https://www.camera.it/uri-res/N2Ls?urn:camera-it:parlamento:scheda.progetto.legge:camera;14.legislatura;5088</t>
  </si>
  <si>
    <t>C5126</t>
  </si>
  <si>
    <t>http://leg14.camera.it/_dati/leg14/lavori/schedela/trovaschedacamera_wai.asp?PDL=5126</t>
  </si>
  <si>
    <t>S3262</t>
  </si>
  <si>
    <t>http://www.senato.it/leg/14/BGT/Schede/Ddliter/22413.htm</t>
  </si>
  <si>
    <t>C5594</t>
  </si>
  <si>
    <t>https://www.camera.it/uri-res/N2Ls?urn:camera-it:parlamento:scheda.progetto.legge:camera;14.legislatura;5594</t>
  </si>
  <si>
    <t>C5637</t>
  </si>
  <si>
    <t>http://leg14.camera.it/_dati/leg14/lavori/schedela/trovaschedacamera_wai.asp?PDL=5637</t>
  </si>
  <si>
    <t>Berlusconi III</t>
  </si>
  <si>
    <t>FI/AN/LN/UDC/NPSI/PRI</t>
  </si>
  <si>
    <t>C5948</t>
  </si>
  <si>
    <t>http://leg14.camera.it/_dati/leg14/lavori/schedela/trovaschedacamera_wai.asp?PDL=5948</t>
  </si>
  <si>
    <t>C5949</t>
  </si>
  <si>
    <t>http://leg14.camera.it/_dati/leg14/lavori/schedela/trovaschedacamera_wai.asp?PDL=5949</t>
  </si>
  <si>
    <t>S3562</t>
  </si>
  <si>
    <t>http://www.senato.it/leg/14/BGT/Schede/Ddliter/23216.htm</t>
  </si>
  <si>
    <t>Prodi II</t>
  </si>
  <si>
    <t>PD(DS/Mar)/PRC/RI/IdV/PdCI/FdV/PoUD</t>
  </si>
  <si>
    <t>UNFICYP, EUBAM Rafah, Enduring Freedom, Avtive Endeavour, Resolute Behaviour, ISAF, Malta, MSU, Joint Enterprise, NATO Headquarter in Macedonia, Albit, NATO Headquarter Tirana, EUMM Bosnia, TIPH2, UNMIS, EUPOL Kinshasa, UNMOGIP</t>
  </si>
  <si>
    <t>C1288</t>
  </si>
  <si>
    <t>https://www.camera.it/uri-res/N2Ls?urn:camera-it:parlamento:scheda.progetto.legge:camera;15.legislatura;1288</t>
  </si>
  <si>
    <t>S845</t>
  </si>
  <si>
    <t>http://www.senato.it/uri-res/N2Ls?urn:senato-it:parl:ddl:senato;15.legislatura;845</t>
  </si>
  <si>
    <t>C1608</t>
  </si>
  <si>
    <t>http://leg15.camera.it/_dati/leg15/lavori/schedela/trovaschedacamera_wai.asp?PDL=1608</t>
  </si>
  <si>
    <t>S1026</t>
  </si>
  <si>
    <t>http://www.senato.it/leg/15/BGT/Schede/Ddliter/26767.htm</t>
  </si>
  <si>
    <t>http://www.senato.it/service/PDF/PDFServer/BGT/253523.pdf</t>
  </si>
  <si>
    <t>UNIFIL, ISAF, Enduring Freedom, MSU Kosovo, Joint Enterprise, Albit 2, Althea, EUBAM Rafah, AMIS II, EUPOL Kinshasa, UNFICYP, UNMIK, EUPM Bosnia, EUPOL COPPS, Training for Iraqi Forces</t>
  </si>
  <si>
    <t>C2193</t>
  </si>
  <si>
    <t>http://leg15.camera.it/_dati/leg15/lavori/schedela/trovaschedacamera_wai.asp?PDL=2193</t>
  </si>
  <si>
    <t>S1381</t>
  </si>
  <si>
    <t>http://www.senato.it/leg/15/BGT/Schede/Ddliter/27796.htm</t>
  </si>
  <si>
    <t xml:space="preserve">UNIFIL, ISAF, EUPOL Afghanistan, Active Endeavour, Malta, MSU, CIU, EUPT, Joint Enterprise, Albit 2, Althea, TIPH 2, EUBAM Rafah, AMIS II, UNAMID, EUFOR Chad, EUPOL Kinshasa, UNFICYP, EUPOL COPPS, EUPM Bosnia, UNMIK, EUBAM Rafah, MINUSTAH, </t>
  </si>
  <si>
    <t>C3395</t>
  </si>
  <si>
    <t>S2011</t>
  </si>
  <si>
    <t>http://www.senato.it/leg/15/BGT/Schede/Ddliter/29601.htm</t>
  </si>
  <si>
    <t>Berlusconi IV</t>
  </si>
  <si>
    <t>PdL/LN</t>
  </si>
  <si>
    <t>EUMM Georgia (Georgia)</t>
  </si>
  <si>
    <t>S1038</t>
  </si>
  <si>
    <t>http://www.senato.it/leg/16/BGT/Schede/Ddliter/32341.htm</t>
  </si>
  <si>
    <t>C1802</t>
  </si>
  <si>
    <t>https://www.camera.it/uri-res/N2Ls?urn:camera-it:parlamento:scheda.progetto.legge:camera;16.legislatura;1803</t>
  </si>
  <si>
    <t xml:space="preserve">ISAF, Active Endeavour, Enduring Freedom, UNFIL, Malta, MSU, CIU, Eulex Kosovo, Joint Enterprise, Albania 2, Althea, TIPH 2, EUBAM Rafah, UNAMID, EUFOR Chad, EUPOL Kinshasa, UNFICYP, EUMM Georgia, Atalanta,  EULEX Kosovo, UNMIK, EUPOL COPPS, EUPM,  ISAF, EUPOL Afghanistan, MINUSTAH, Operation in EAU, </t>
  </si>
  <si>
    <t>http://leg15.camera.it/_dati/leg15/lavori/schedela/trovaschedacamera_wai.asp?PDL=3395</t>
  </si>
  <si>
    <t xml:space="preserve">Missions in EAU, Saudi Arabia and Oman, Training of Iraqi forces, ISAF, EUPOL Afghanistan, UNIFIL, Active Endeavour, MSU, CIU, EULEX Kosovo, Joint Enterprise, ALTHEA, TIPH-2, EUBAM Rafah, UNAMID, EUPOL Kinshasa, UNFICYP, Atalanta, EUMM Georgia, UNMIK, EUPM Kosovo, </t>
  </si>
  <si>
    <t>C2602</t>
  </si>
  <si>
    <t>http://legislature.camera.it/chiosco.asp?source=/altre_sezionism/9801/9821/9822/documentotesto.asp&amp;content=/_dati/leg05/lavori/schedela/trovaschedacamera.asp?pdl=1410</t>
  </si>
  <si>
    <t>S1715</t>
  </si>
  <si>
    <t>http://www.senato.it/leg/16/BGT/Schede/Ddliter/34047.htm</t>
  </si>
  <si>
    <t xml:space="preserve">ISAF, EUPOL Afghanistan, UNIFIL, Active Endeavour, MSU, EULEX Kosovo, Joint Enterprise, ALTHEA, TIPH2, EUBAM Rafah, UNAMID, EUPOL Kinshasa, UNFICYP, EUMM Georgia, Atalanta, missions in EAU, Bahrein, EUPOL COPPS, EUPM Bosnia, </t>
  </si>
  <si>
    <t>S1850</t>
  </si>
  <si>
    <t>http://www.senato.it/leg/16/BGT/Schede/Ddliter/34425.htm</t>
  </si>
  <si>
    <t>C3016</t>
  </si>
  <si>
    <t>https://www.camera.it/uri-res/N2Ls?urn:camera-it:parlamento:scheda.progetto.legge:camera;16.legislatura;3016</t>
  </si>
  <si>
    <t xml:space="preserve">ISAF, EUPOl Afghanistan, UNIFIL, MSU, EULEX Kosovo, ALTHEA, Active Endeavour, TIPH2, EUBAM Rafah, UNAMID, EUPOL Kinshasa, UNFICYP, UNMIK, EUPOL COPPS, EUPM Bosnia, Missions in EAU and Bahrien, </t>
  </si>
  <si>
    <t>C3097</t>
  </si>
  <si>
    <t>https://www.camera.it/uri-res/N2Ls?urn:camera-it:parlamento:scheda.progetto.legge:camera;16.legislatura;3097</t>
  </si>
  <si>
    <t>ISAF, EUPOL Afghanistan, UNIFIL., Bilateral mission with Malta, MSU, EULEX Kosovo, Joint Enterprise, ALTHEA, Active Endeavour, TIPH2, EUBAM Rafah, UNAMID, EUPOL Kinshasa, UNFICYP, EUMM Georgia, Atalanta, MINUSTAH, EUTM Somalia, UNMIK, EUPOL COPPS, EUPM Bosnia, EUPM Bosnia</t>
  </si>
  <si>
    <t>C3610</t>
  </si>
  <si>
    <t>https://www.camera.it/uri-res/N2Ls?urn:camera-it:parlamento:scheda.progetto.legge:camera;16.legislatura;3610</t>
  </si>
  <si>
    <t xml:space="preserve">ISAF, EUPOL Afghanistan, UNIFIL, MSU, EULEX Kosovo, Joint Enterprise, ALTHEA, Active Endeavour, TIPH2, EUBAM Rafah, UNAMID, EUPOL Kinshasa, UNFICYP, Atalanta, EUTM Somalia, UNMIK, EUPOL COPPS, EUPM Bosnia, </t>
  </si>
  <si>
    <t>C3996</t>
  </si>
  <si>
    <t>https://www.camera.it/uri-res/N2Ls?urn:camera-it:parlamento:scheda.progetto.legge:camera;16.legislatura;3996</t>
  </si>
  <si>
    <t>S2537</t>
  </si>
  <si>
    <t>http://www.senato.it/leg/16/BGT/Schede/Ddliter/35695.htm</t>
  </si>
  <si>
    <t>Unified Protector (Libya)</t>
  </si>
  <si>
    <t>http://www.senato.it/service/PDF/PDFServer/BGT/527183.pdf</t>
  </si>
  <si>
    <t>6-71</t>
  </si>
  <si>
    <t>https://leg16.camera.it/410?idSeduta=0452&amp;tipo=alfabetico_stenografico</t>
  </si>
  <si>
    <t>Unified Protector, ISAF, EUPOL Afghanistan, UNIFIL, MSU, EULEX Kosovo, Joint Enterprise, ALTHEA, Active Endeavour, TIPH2, EUBAM Rafah, UNAMID, EUPOL  Kinshasa, UNFICYP, EUMM Georgia, Atalanta, Training of Iraqi police forces, EUTM Somalia, EUPOL COPPS, EUPM Bosnia</t>
  </si>
  <si>
    <t>S2824</t>
  </si>
  <si>
    <t>http://www.senato.it/leg/16/BGT/Schede/Ddliter/37144.htm</t>
  </si>
  <si>
    <t>C4551</t>
  </si>
  <si>
    <t>https://www.camera.it/uri-res/N2Ls?urn:camera-it:parlamento:scheda.progetto.legge:camera;16.legislatura;4551</t>
  </si>
  <si>
    <t>Monti</t>
  </si>
  <si>
    <t xml:space="preserve">ISAF, EUPOL Afghanistan, UNIFIL, MSU, EULEX Kosovo, Joint Enterprise, ALTHEA, Active Endeavour, TIPH2, EUBAM Rafah, UNAMID, EUPOL Kinshasa, UNFICYP, Atalanta, EUTM Somalia, EUCAP Nestor, UNMISS, EUCAP Sahel Niger, UNMIK, EUPOL COPPS, EUPM Bosnia, </t>
  </si>
  <si>
    <t>C4864</t>
  </si>
  <si>
    <t>https://www.camera.it/uri-res/N2Ls?urn:camera-it:parlamento:scheda.progetto.legge:camera;16.legislatura;4864</t>
  </si>
  <si>
    <t>S3128</t>
  </si>
  <si>
    <t>http://www.senato.it/leg/16/BGT/Schede/Ddliter/37900.htm</t>
  </si>
  <si>
    <t>S3304</t>
  </si>
  <si>
    <t>http://www.senato.it/leg/16/BGT/Schede/Ddliter/38368.htm</t>
  </si>
  <si>
    <t>C5287</t>
  </si>
  <si>
    <t>https://www.camera.it/uri-res/N2Ls?urn:camera-it:parlamento:scheda.progetto.legge:camera;16.legislatura;5287</t>
  </si>
  <si>
    <t>ISAF, EUPOL Afghanistan, UNIFIL, MSU, EULEX Kosovo, Joint Enterprise, ALTHEA, Active Endeavour, TIPH2, EUBAM Rafah, UNAMID, UNFICYP, Atalanta, Ocean Shield, EUTM Somalia, EUCAP Nestor, EUMM Georgia, UNMISS, EUCAP Sahel Niger, UNMIK,EUPOL COPPS</t>
  </si>
  <si>
    <t>C5713</t>
  </si>
  <si>
    <t>https://www.camera.it/uri-res/N2Ls?urn:camera-it:parlamento:scheda.progetto.legge:camera;16.legislatura;5713</t>
  </si>
  <si>
    <t>Letta II</t>
  </si>
  <si>
    <t>PD/SC/UdC/RI</t>
  </si>
  <si>
    <t>ISAF, EUPOL Afghanistan, UNIFIL, MSU, EULEX Kosovo, Joint Enterprise, TIPH2, EUBAM Rafah, UNAMID, UNFICYP, Atalanta, Ocean Shield, EUTM Somalia, EUCAP Nestor, EUBAM Libya, EUMM Georgia, UNMISS, MINUSMA, EUCAP Sahel, EUTM Mali, EULEX Kosovo, UNMIK, EUPOL COPPS</t>
  </si>
  <si>
    <t>C1670</t>
  </si>
  <si>
    <t>https://www.camera.it/uri-res/N2Ls?urn:camera-it:parlamento:scheda.progetto.legge:camera;17.legislatura;1670</t>
  </si>
  <si>
    <t>S1190</t>
  </si>
  <si>
    <t>http://www.senato.it/leg/17/BGT/Schede/Ddliter/43378.htm</t>
  </si>
  <si>
    <t>Renzi</t>
  </si>
  <si>
    <t>PD/SC/NCD/UdC/RI</t>
  </si>
  <si>
    <t xml:space="preserve">MSU, EULEX Kosovo, Joint Enterprise, ALTHEA, UNMIK, UNFICYP, Active Endeavour, ISAF, EUPOL Afghanistan, UNIFIL, TIPH2, EUBAM Rafah, EUPOL COPPS, EUMM Georgia, EUBAM Libya, Atalanta, Ocean Shield, EUTM Somalia, EUCAP Nestor, MINUSMA, EUCAP Sahel Niger, EUTM Mali, </t>
  </si>
  <si>
    <t>S1248</t>
  </si>
  <si>
    <t>http://www.senato.it/leg/17/BGT/Schede/Ddliter/43751.htm</t>
  </si>
  <si>
    <t>C2149</t>
  </si>
  <si>
    <t>https://www.camera.it/uri-res/N2Ls?urn:camera-it:parlamento:scheda.progetto.legge:camera;17.legislatura;2149</t>
  </si>
  <si>
    <t>MSU, EULEX Kosovo, Joint Enterprise, ALTHEA, UNMIK, UNFICYP, Active Endeavour, ISAF, EUPOL Afghanistan, UNIFIL, TIPH2, EUBAM Rafah, EUPOL COPPS, EUMM Georgia, EUBAM Libya, Atalanta, Ocean Shield, EUTM Somalia, EUCAP Nestor, MINUSMA, EUCAP Sahel Niger, EUTM Mali, EUFOR RCA</t>
  </si>
  <si>
    <t>C2598</t>
  </si>
  <si>
    <t>https://www.camera.it/uri-res/N2Ls?urn:camera-it:parlamento:scheda.progetto.legge:camera;17.legislatura;2598</t>
  </si>
  <si>
    <t>S1613</t>
  </si>
  <si>
    <t>http://www.senato.it/leg/17/BGT/Schede/Ddliter/44826.htm</t>
  </si>
  <si>
    <t xml:space="preserve">MSU, EULEX Kosovo, Joint Enterprise, ALTHEA, UNMIK, UNFICYP, Active Endeavour, ISAF, EUPOL Afghanistan, UNIFIL, TIPH2, EUBAM Rafah, EUPOL COPPS, EUMM Georgia, EUBAM Libya, Atalanta,  EUTM Somalia, EUCAP Nestor, MINUSMA, EUCAP Sahel Niger, EUTM Mali, EUFOR RCA, Baltic Air Policing, Resolute Support, Coalition against Daesh, EUCAP Sahel Mali, EMOHCM, </t>
  </si>
  <si>
    <t>C2893</t>
  </si>
  <si>
    <t>https://www.camera.it/uri-res/N2Ls?urn:camera-it:parlamento:scheda.progetto.legge:camera;17.legislatura;2893</t>
  </si>
  <si>
    <t>S1854</t>
  </si>
  <si>
    <t>http://www.senato.it/leg/17/BGT/Schede/Ddliter/45465.htm</t>
  </si>
  <si>
    <t>S1997</t>
  </si>
  <si>
    <t>http://www.senato.it/leg/17/BGT/Schede/Ddliter/45833.htm</t>
  </si>
  <si>
    <t>C3249</t>
  </si>
  <si>
    <t>https://www.camera.it/uri-res/N2Ls?urn:camera-it:parlamento:scheda.progetto.legge:camera;17.legislatura;3249</t>
  </si>
  <si>
    <t xml:space="preserve">MSU, EULEX Kosovo, Joint Enterprise, ALTHEA, UNMIK, UNFICYP, Active Endeavour, EUPOL Afghanistan, UNIFIL, TIPH2, EUBAM Rafah, EUPOL COPPS, Atalanta,  EUTM Somalia, EUCAP Nestor, MINUSMA, EUCAP Sahel Niger, EUTM Mali, EUFOR RCA, Baltic Air Policing, Resolute Support, Coalition against Daesh, EUCAP Sahel Mali, EMOHCM, EUNAVFOR Med, </t>
  </si>
  <si>
    <t>C3393</t>
  </si>
  <si>
    <t>https://www.camera.it/uri-res/N2Ls?urn:camera-it:parlamento:scheda.progetto.legge:camera;17.legislatura;3393</t>
  </si>
  <si>
    <t>S2138</t>
  </si>
  <si>
    <t>http://www.senato.it/leg/17/BGT/Schede/Ddliter/46217.htm</t>
  </si>
  <si>
    <t xml:space="preserve">MSU, EULEX Kosovo, Joint Enterprise, Althea, UNMIK, UNFICYP, EUNAVFIR Med, Resolute Support, UNIFIL, TIPH2, EUBAM Rafah, EUPOL COPPS, Coalition Against Daesh, Atalanta, EUTM Somalia, EUCAP Nestor, MINUSMA, EUCAP Niger, EUTM Mali, EUCAP Sahel Mali, </t>
  </si>
  <si>
    <t>S2389</t>
  </si>
  <si>
    <t>http://www.senato.it/leg/17/BGT/Schede/Ddliter/46890.htm</t>
  </si>
  <si>
    <t>C3953</t>
  </si>
  <si>
    <t>https://www.camera.it/uri-res/N2Ls?urn:camera-it:parlamento:scheda.progetto.legge:camera;17.legislatura;3953</t>
  </si>
  <si>
    <t>Gentiloni</t>
  </si>
  <si>
    <t>PD-SC-AP/NCD-CI-PSI-CD</t>
  </si>
  <si>
    <t>EULEX, UNMIK, EUFOR, UNIFIL, EUPOL COPPS, EUCAP NIGER, Interventions for the Promotion of Peace, Operative Support</t>
  </si>
  <si>
    <t>Risoluzione Garofani e altri 6290 Parte I</t>
  </si>
  <si>
    <t>https://www.camera.it/leg17/410?idSeduta=0755&amp;tipo=votazioni</t>
  </si>
  <si>
    <t>NATO Joint Enterprise, Prima Parthica (Coallition against IS), UNSMIL, ATALANTA, Training for Somalian and Gibutian Forces, Personnel in the Gibuti Base, EUTM Mali, EUTM Somalia, EUCAP Somalia, EUBAM Libya, Mare Sicuro</t>
  </si>
  <si>
    <t>Risoluzione Garofani e altri 6290 Parte II</t>
  </si>
  <si>
    <t>NATO Iceland, UNFICYP</t>
  </si>
  <si>
    <t>Risoluzione Garofani e altri 6290 Parte III</t>
  </si>
  <si>
    <t>https://www.camera.it/leg17/410?idSeduta=0755&amp;tipo=alfabetico_stenografico</t>
  </si>
  <si>
    <t xml:space="preserve">NATO Sea Guardian </t>
  </si>
  <si>
    <t>Risoluzione Garofani e altri 6290 Parte IV</t>
  </si>
  <si>
    <t>EUNAVFOR Med</t>
  </si>
  <si>
    <t>Risoluzione Garofani e altri 6290 Parte V</t>
  </si>
  <si>
    <t xml:space="preserve">NATO Resolute Support </t>
  </si>
  <si>
    <t>Risoluzione Garofani e altri 6290 Parte VI</t>
  </si>
  <si>
    <t xml:space="preserve">NATO Active Fence, NATO Baltic Guardian </t>
  </si>
  <si>
    <t>Risoluzione Garofani e altri 6290 Parte VII</t>
  </si>
  <si>
    <t>TIPH2, Eubam Rafah, EUPOL COPS</t>
  </si>
  <si>
    <t>Risoluzione Garofani e altri 6290 Parte VIII</t>
  </si>
  <si>
    <t>Gulf States, Training of Afghan forces</t>
  </si>
  <si>
    <t>Risoluzione Garofani e altri 6290 Parte IX</t>
  </si>
  <si>
    <t xml:space="preserve">Support to Libyan Coast Guard, MINUSMA </t>
  </si>
  <si>
    <t>Risoluzione Garofani e altri 6290 Parte X</t>
  </si>
  <si>
    <t>NATO Enhanced Forward Presence</t>
  </si>
  <si>
    <t>Risoluzione Garofani e altri 6290 Parte XI</t>
  </si>
  <si>
    <t>NATO Enhaced Air Policing Bulgaria</t>
  </si>
  <si>
    <t>Risoluzione Garofani e altri 6290 Parte XII</t>
  </si>
  <si>
    <t>NATO Interming Air Policing Islanda</t>
  </si>
  <si>
    <t>Risoluzione Garofani e altri 6290 Parte XIII</t>
  </si>
  <si>
    <t>NATO Joint Enterprise, UNFICYP, Personnel in the Gulf States, UNSMIL, Atalanta, EUTM Somalia, EUCAP Somalia, Training for Somalian and Gibutian Forces, Personnel in Gibuti, Mare Sicuro</t>
  </si>
  <si>
    <t>Risoluzione Garofani e altri 6382 parte I</t>
  </si>
  <si>
    <t>https://www.camera.it/leg17/410?idSeduta=0905&amp;tipo=alfabetico_stenografico</t>
  </si>
  <si>
    <t>EULEX Kosovo, UNMIK, EUFOR Althea, EUNAVFOR Med, UNIFIL, Training for Lebanon Forces, TIPH 2, Training of Palestinian Forces, EUBAM Rafah, EUPOL COPPS, Prima Parthica (Against IS), UNMOGIP, MINUSMA, EUTM Mali, MFO Egypt, Operational Support, Interventions for the Promotion of Peace</t>
  </si>
  <si>
    <t>Risoluzione Garofani e altri 6382 parte II</t>
  </si>
  <si>
    <t>NATO Sea Guardian, Assitence to the Libyan Military Guard, EUCAP Sahel Mali, EUBAM Libya</t>
  </si>
  <si>
    <t>Risoluzione Garofani e altri 6382 parte III</t>
  </si>
  <si>
    <t>NATO Resolute Support, NATO Active Fence, NATO South-East Border Air Surveillance</t>
  </si>
  <si>
    <t>Risoluzione Garofani e altri 6382 parte IV</t>
  </si>
  <si>
    <t>EUCAP Sahel Niger, NATO South Border, NATO Enhaced Force Presence (Latvia)</t>
  </si>
  <si>
    <t>Risoluzione Garofani e altri 6382 parte V</t>
  </si>
  <si>
    <t>Support for Afghan Police Forces</t>
  </si>
  <si>
    <t>Risoluzione Garofani e altri 6382 parte VI</t>
  </si>
  <si>
    <t>Conte I</t>
  </si>
  <si>
    <t>M5S/ LN/ PC</t>
  </si>
  <si>
    <t xml:space="preserve">Joint Enterprise, EULEX Kosovo, UNMIK, EUFOR Althea, Bilateral mission in Albania, UNFICYP, UNIFIL, Bilateral mission in Lebanon, TIPH2, Bilateral Mission in Palestine, EUBAM Rafah, EUPOL COPPs, Coalition Against Daesh, NATO Mission in Iraq, UNMOGIP, Militaries deployed for missions in middle east, UNSMIL, MINUSMA Mali, EUTM Mali, MINURSO, MFO Egypt, EUTM RCA, Atalanta, EUTM Somalia, EUCAP Somalia, Bilateral mission training forces in Somalia and Gibuti, Troops deployed in the Gibuti Base, NATO Air policing, Support to Afghan forces, bilateral mission in Tunisia </t>
  </si>
  <si>
    <t>Risoluzione Iovino Parte I</t>
  </si>
  <si>
    <t>https://www.camera.it/leg18/410?idSeduta=0202&amp;tipo=alfabetico_stenografico#</t>
  </si>
  <si>
    <t>NATO Sea Guardian, EUNAVFOR Med, NATO Resolute Support, bilateral mission in Libya, EUBAM Libya, EUCAP Sahel Mali, EUCAP Sahel Niger, Bilateral mission in Niger, Mare Sicuro, NATO Support Turkey, NATO South East Border, NATO southern borderm NATO Enhanced Forward Presence</t>
  </si>
  <si>
    <t>Risoluzione Iovino Parte II</t>
  </si>
  <si>
    <t>Assistance to Libyan coast guards</t>
  </si>
  <si>
    <t>Risoluzione Iovino Parte III</t>
  </si>
  <si>
    <t>Joint Enterprise, EULEX Kosovo, UNMIK, EUFOR Althea, Bilateral mission in Albania, UNFICYP, UNIFIL, Bilateral mission in Lebanon, TIPH2, Bilateral Mission in Palestine, EUBAM Rafah, EUPOL COPPs, Coalition Against Daesh, NATO Mission in Iraq, UNMOGIP, Militaries deployed for missions in middle east, UNSMIL, MINUSMA Mali, EUTM Mali, MINURSO, MFO Egypt, EUTM RCA, Atalanta, EUTM Somalia, EUCAP Somalia, Bilateral mission training forces in Somalia and Gibuti, Troops deployed in the Gibuti Base, NATO Air policing, Support to Afghan forces, bilateral mission in Tunisia, NATO Sea Guardian, EUNAVFOR Med, NATO Resolute Support, bilateral mission in Libya, EUBAM Libya, EUCAP Sahel Mali, EUCAP Sahel Niger, Bilateral mission in Niger, Mare Sicuro, NATO Support Turkey, NATO South East Border, NATO southern borderm NATO Enhanced Forward Presence, Assistance to Libyan coast guards</t>
  </si>
  <si>
    <t>Risoluzioni III/IV</t>
  </si>
  <si>
    <t>http://www.senato.it/japp/bgt/showdoc/frame.jsp?tipodoc=Resaula&amp;leg=18&amp;id=1118000</t>
  </si>
  <si>
    <t>JPN</t>
  </si>
  <si>
    <t>Koizumi I</t>
  </si>
  <si>
    <t>Lower House(JPN)</t>
  </si>
  <si>
    <t>平成十三年九月十一日のアメリカ合衆国において発生したテロリストによる攻撃等に対応して行われる国際連合憲章の目的達成のための諸外国の活動に対して我が国が実施する措置及び関連する国際連合決議等に基づく人道的措置に関する特別措置法(Anti-Terrorism Special Measures Law)</t>
  </si>
  <si>
    <t>第153回国会　衆議院　本会議　第7号　平成13年10月18日</t>
  </si>
  <si>
    <t>Upper House(JPN)</t>
  </si>
  <si>
    <t>第153回国会概観 - 参議院</t>
  </si>
  <si>
    <t xml:space="preserve">https://www.sangiin.go.jp/japanese/gianjoho/old_gaiyo/153/1530000.pdf
https://www.sangiin.go.jp/japanese/joho1/kousei/vote/153/153-1130-v006.htm
</t>
  </si>
  <si>
    <t>イラクにおける人道復興支援活動及び安全確保支援活動の実施に関する特別措置法(Act on Special Measures concerning Humanitarian Relief and Reconstruction Work and Security Assistance in Iraq)</t>
  </si>
  <si>
    <t>官報　平成１５年７月４日</t>
  </si>
  <si>
    <t>https://投票行動.com/cgi-bin/cmp.cgi?house=衆議院&amp;names=政党</t>
  </si>
  <si>
    <t>官報　平成１５年７月２６日</t>
  </si>
  <si>
    <t>https://www.sangiin.go.jp/japanese/joho1/kousei/vote/156/156-0726-v002.htm</t>
  </si>
  <si>
    <t>第168回国会　テロ対策特別措置法に関する資料　p.6</t>
  </si>
  <si>
    <t>https://www.sangiin.go.jp/japanese/gianjoho/old_gaiyo/157/1570000.pdf
https://www.sangiin.go.jp/japanese/joho1/kousei/vote/157/157-1010-v010.htm</t>
  </si>
  <si>
    <t>Koizumi II</t>
  </si>
  <si>
    <t>官報　平成１６年１月３１日</t>
  </si>
  <si>
    <t>官報　平成１６年２月９日</t>
  </si>
  <si>
    <t>https://www.sangiin.go.jp/japanese/joho1/kousei/vote/159/159-0209-v008.htm</t>
  </si>
  <si>
    <t>https://www.sangiin.go.jp/japanese/gianjoho/old_gaiyo/163/1630000.pdf
https://www.sangiin.go.jp/japanese/joho1/kousei/vote/163/163-1026-v009.htm</t>
  </si>
  <si>
    <t>Abe I</t>
  </si>
  <si>
    <t>https://www.sangiin.go.jp/japanese/gianjoho/old_gaiyo/165/1650000.pdf
https://www.sangiin.go.jp/japanese/joho1/kousei/vote/165/165-1027-v001.htm</t>
  </si>
  <si>
    <t>官報　平成１９年５月１５日</t>
  </si>
  <si>
    <t>官報　平成１９年６月２０日</t>
  </si>
  <si>
    <t>https://www.sangiin.go.jp/japanese/joho1/kousei/gian/166/pdf/k031660891660.pdf
https://www.sangiin.go.jp/japanese/joho1/kousei/vote/166/166-0620-v016.htm</t>
  </si>
  <si>
    <t>Aso</t>
  </si>
  <si>
    <t>テロ対策海上阻止活動に対する補給支援活動の実施に関する特別措置法(New Anti-Terrorism Special Measures Law)</t>
  </si>
  <si>
    <t>第170回国会　テロ対策海上阻止活動に対する補給支援活動の実施に関する特別措置法の一部を改正する法律案</t>
  </si>
  <si>
    <t>https://www.sangiin.go.jp/japanese/joho1/kousei/gian/170/meisai/m17003170004.htm</t>
  </si>
  <si>
    <t>海賊行為の処罰及び海賊行為への対処に関する法律案(Law on Punishment of and Measures against Acts of Piracy)</t>
  </si>
  <si>
    <t>第171回国会 海賊行為の処罰及び海賊行為への対処に関する法律</t>
  </si>
  <si>
    <t>https://www.sangiin.go.jp/japanese/joho1/kousei/gian/171/meisai/m17103171061.htm
https://www.sangiin.go.jp/japanese/joho1/kousei/vote/171/171-0619-v003.htm</t>
  </si>
  <si>
    <t>https://www.sangiin.go.jp/japanese/joho1/kousei/gian/171/meisai/m17103171061.htm
https://投票行動.com/cgi-bin/cmp.cgi?house=衆議院&amp;names=政党</t>
  </si>
  <si>
    <t>Slezevicius</t>
  </si>
  <si>
    <t>LDDP</t>
  </si>
  <si>
    <t>Nutarimas "Dėl  Lietuvos kariuomenės taikos  palaikymo  būrio  dalyvavimo  Danijos  taikos palaikymo  bataliono   sudėtyje  tarptautinėse  taikos  palaikymo operacijose Kroatijoje" [LITPLA-1]</t>
  </si>
  <si>
    <t xml:space="preserve"> I-556</t>
  </si>
  <si>
    <t>https://e-seimas.lrs.lt/rs/legalact/TAK/TAIS.238862/#zyma_4s73potaik</t>
  </si>
  <si>
    <t>Nutarimas "Dėl Lietuvos kariuomenės taikos palaikymo būrio LITPLA-2 dalyvavimo tarptautinėse taikos palaikimo operacijose Kroatijoje" [LITPLA-2]</t>
  </si>
  <si>
    <t>I-741</t>
  </si>
  <si>
    <t>https://e-seimas.lrs.lt/rs/legalact/TAK/TAIS.239039/#zyma_5s56pokartaikpal</t>
  </si>
  <si>
    <t>Nutarimas “Dėl Lietuvos kariuomenės taikos palaikymo būrio LITPLA-3 dalyvavimo tarptautinėse taikos palaikymo operacijose Kroatijoje” [LITPLA-3]</t>
  </si>
  <si>
    <t>https://e-seimas.lrs.lt/rs/legalact/TAK/TAIS.239970/#zyma_6s43poNutdelLkardalopKroaprojsvarst</t>
  </si>
  <si>
    <t xml:space="preserve">Nutarimas "Dėl Lietuvos kariuomenės būrio dalyvavimo NATO vadovaujamoje taikos įgyvendinimo operacijoje buvusioje Jugoslavijoje" </t>
  </si>
  <si>
    <t>I-1140</t>
  </si>
  <si>
    <t>https://e-seimas.lrs.lt/rs/legalact/TAK/TAIS.240213/#zyma_7s49pokarburdalNATO</t>
  </si>
  <si>
    <t>Stankevicius</t>
  </si>
  <si>
    <t>Nutarimas dėl Lietuvos kariuomenės kuopos dalyvavimo NATO vadovaujamoje taikos įgyvendinimo operacijoje buvusioje Jugoslavijoje</t>
  </si>
  <si>
    <t xml:space="preserve"> I-1363</t>
  </si>
  <si>
    <t>https://e-seimas.lrs.lt/portal/legalAct/lt/TAK/TAIS.240305</t>
  </si>
  <si>
    <t>Vagnorius II</t>
  </si>
  <si>
    <t>TS(-LK); LKDP; LCS</t>
  </si>
  <si>
    <t>Nutarimas "Dėl Lietuvos kariuomenės kuopos dalyvavimo NATO vadovaujamoje taikos stabilizavimo operacijoje Bosnijoje ir Hercegovinoje" [LITCOY-1]</t>
  </si>
  <si>
    <t xml:space="preserve">VIII-73 </t>
  </si>
  <si>
    <t>https://e-seimas.lrs.lt/portal/legalAct/lt/TAD/TAIS.34600</t>
  </si>
  <si>
    <t>Nutarimas "Dėl Lietuvos kariuomenės būrio dalyvavimo NATO vadovaujamoje taikos stabilizavimo operacijoje Bosnijoje ir Hercegovinoje"</t>
  </si>
  <si>
    <t>VIII-109</t>
  </si>
  <si>
    <t>https://e-seimas.lrs.lt/portal/legalAct/lt/TAD/TAIS.36093</t>
  </si>
  <si>
    <t>Nutarimas "Dėl Lietuvos kariuomenės būrio LITPLA-6 dalyvavimo NATO vadovaujamoje taikos stabilizavimo operacijoje Bosnijoje ir Hercegovinoje" [LITPLA-6]</t>
  </si>
  <si>
    <t>VIII-418</t>
  </si>
  <si>
    <t>Nutarimas "Dėl Lietuvos kariuomenės būrio LITPLA-7 dalyvavimo NATO vadovaujamose taikos stabilizavimo operacijose Bosnijoje ir Hercegovinoje" [LITPLA-7]</t>
  </si>
  <si>
    <t>VIII-637</t>
  </si>
  <si>
    <t>https://e-seimas.lrs.lt/portal/legalAct/lt/TAD/TAIS.50707</t>
  </si>
  <si>
    <t>Vagnorius III</t>
  </si>
  <si>
    <t>Nutarimas "Dėl Baltijos bataliono Lietuvos karių dalyvavimo NATO vadovaujamoje taikos stabilizavimo operacijoje Bosnijoje ir Hercegovinoje"</t>
  </si>
  <si>
    <t>VIII-885</t>
  </si>
  <si>
    <t>https://e-seimas.lrs.lt/portal/legalAct/lt/TAD/TAIS.64927</t>
  </si>
  <si>
    <t>Nutarimas "Dėl Lietuvos karių dalyvavimo SFOR operacijoje Bosnijoje ir Hercegovinoje pratęsimo"</t>
  </si>
  <si>
    <t>VIII-1124</t>
  </si>
  <si>
    <t>https://e-seimas.lrs.lt/portal/legalAct/lt/TAD/TAIS.77564</t>
  </si>
  <si>
    <t>Nutarimas "Dėl Lietuvos karių dalyvavimo NATO vadovaujamoje humanitarinėje operacijoje Albanijos Respublikoje"</t>
  </si>
  <si>
    <t xml:space="preserve"> VIII-1157</t>
  </si>
  <si>
    <t>https://e-seimas.lrs.lt/portal/legalAct/lt/TAD/TAIS.78966</t>
  </si>
  <si>
    <t>Paksas I</t>
  </si>
  <si>
    <t xml:space="preserve">TS(-LK); LKDP; LCS </t>
  </si>
  <si>
    <t>Nutarimas "Dėl Lietuvos karių dalyvavimo tarptautinėje taikos operacijoje Kosovo provincijoje, Jugoslavijos Federacinėje Respublikoje"</t>
  </si>
  <si>
    <t>1. Mission to Kosovo; 2. re-deployment of soldiers from Albania (decision of 22/04/1999) to Kosovo</t>
  </si>
  <si>
    <t>VIII-1270</t>
  </si>
  <si>
    <t>https://e-seimas.lrs.lt/portal/legalAct/lt/TAD/TAIS.83484</t>
  </si>
  <si>
    <t>Nutarimas "Dėl Lietuvos karių dalyvavimo tarptautinėje taikos operacijoje Kosovo provincijoje, Jugoslavijos Federacinėje Respublikoje, pratęsimo"</t>
  </si>
  <si>
    <t>VIII-1357</t>
  </si>
  <si>
    <t>https://e-seimas.lrs.lt/portal/legalAct/lt/TAD/TAIS.88322</t>
  </si>
  <si>
    <t>VIII-1373</t>
  </si>
  <si>
    <t>https://e-seimas.lrs.lt/portal/legalAct/lt/TAD/TAIS.89107</t>
  </si>
  <si>
    <t>Kubilius I</t>
  </si>
  <si>
    <t>Nutarimas "Dėl Lietuvos karių dalyvavimo NATO vadovaujamoje taikos stabilizavimo operacijoje Bosnijoje ir Hercegovinoje"</t>
  </si>
  <si>
    <t>VIII-1599</t>
  </si>
  <si>
    <t>https://e-seimas.lrs.lt/portal/legalAct/lt/TAD/TAIS.98060</t>
  </si>
  <si>
    <t>VIII-1600</t>
  </si>
  <si>
    <t>https://e-seimas.lrs.lt/portal/legalAct/lt/TAD/TAIS.98062</t>
  </si>
  <si>
    <t>Paksas II</t>
  </si>
  <si>
    <t>LLiS/LLS; NS-SL</t>
  </si>
  <si>
    <t xml:space="preserve">	Nutarimas "Dėl Lietuvos karių dalyvavimo NATO vadovaujamoje taikos stabilizavimo operacijoje Bosnijoje ir Hercegovinoje pratęsimo"</t>
  </si>
  <si>
    <t xml:space="preserve"> IX-36</t>
  </si>
  <si>
    <t>https://e-seimas.lrs.lt/portal/legalAct/lt/TAD/TAIS.114051?jfwid=-4syu6m28s</t>
  </si>
  <si>
    <t>IX-41</t>
  </si>
  <si>
    <t>https://e-seimas.lrs.lt/portal/legalAct/lt/TAD/TAIS.114170</t>
  </si>
  <si>
    <t>Nutarimas "Dėl Lietuvos karinių oro pajėgų lėktuvo An-26 dalyvavimo tarptautinėse taikos operacijose"</t>
  </si>
  <si>
    <t>Multiple</t>
  </si>
  <si>
    <t>Kosovo, Bosnia and Herzegovina</t>
  </si>
  <si>
    <t>IX-232</t>
  </si>
  <si>
    <t>https://e-seimas.lrs.lt/portal/legalAct/lt/TAD/TAIS.128959?jfwid=-4syu6lvdg</t>
  </si>
  <si>
    <t>IX-249</t>
  </si>
  <si>
    <t>https://e-seimas.lrs.lt/portal/legalAct/lt/TAD/TAIS.130164?jfwid=-1890mozpz8</t>
  </si>
  <si>
    <t>IX-250</t>
  </si>
  <si>
    <t>https://e-seimas.lrs.lt/portal/legalAct/lt/TAD/TAIS.130166?jfwid=-4syu6lv4t</t>
  </si>
  <si>
    <t>Brazauskas I</t>
  </si>
  <si>
    <t>Nutarimas "Dėl Lietuvos karinių oro pajėgų lėktuvo An-26 dalyvavimo tarptautinėse taikos operacijose pratęsimo"</t>
  </si>
  <si>
    <t>IX-506</t>
  </si>
  <si>
    <t>https://e-seimas.lrs.lt/portal/legalAct/lt/TAD/TAIS.150030?jfwid=-4syu6luvc</t>
  </si>
  <si>
    <t xml:space="preserve"> IX-701</t>
  </si>
  <si>
    <t>https://e-seimas.lrs.lt/portal/legalAct/lt/TAD/TAIS.158706?jfwid=-4syu6lupq</t>
  </si>
  <si>
    <t xml:space="preserve">	Nutarimas "Dėl Seimo nutarimo "Dėl Lietuvos karių dalyvavimo NATO vadovaujamoje taikos stabilizavimo operacijoje Bosnijoje ir Hercegovinoje pratęsimo" pakeitimo ir papildymo"</t>
  </si>
  <si>
    <t>IX-713</t>
  </si>
  <si>
    <t>https://e-seimas.lrs.lt/portal/legalAct/lt/TAD/TAIS.158866?jfwid=-4syu6lujk</t>
  </si>
  <si>
    <t>IX-727</t>
  </si>
  <si>
    <t>https://e-seimas.lrs.lt/portal/legalAct/lt/TAD/TAIS.158886?jfwid=-4syu6luc8</t>
  </si>
  <si>
    <t>Nutarimas "Dėl Lietuvos Respublikos karinio vieneto dalyvavimo tarptautinėje operacijoje "Tvirta taika" Kirgizijos Respublikoje"</t>
  </si>
  <si>
    <t xml:space="preserve"> IX-796</t>
  </si>
  <si>
    <t>https://e-seimas.lrs.lt/portal/legalAct/lt/TAD/TAIS.162897?jfwid=-4syu6lu8u</t>
  </si>
  <si>
    <t xml:space="preserve"> IX-1062</t>
  </si>
  <si>
    <t>https://e-seimas.lrs.lt/portal/legalAct/lt/TAD/TAIS.181582?jfwid=-4syu6lu0a</t>
  </si>
  <si>
    <t>Nutarimas "Dėl Lietuvos karių dalyvavimo NATO vadovaujamoje tarptautinėje taikos operacijoje Kosovo provincijoje, Jugoslavijos Federacinėje Respublikoje"</t>
  </si>
  <si>
    <t>XI-1063</t>
  </si>
  <si>
    <t>https://e-seimas.lrs.lt/portal/legalAct/lt/TAD/TAIS.181583?jfwid=-4syu6ltx4</t>
  </si>
  <si>
    <t>Nutarimas "Dėl Lietuvos karių dalyvavimo Jungtinių Tautų taikos palaikymo misijoje Afganistane Tarptautinių saugumo paramos pajėgų sudėtyje"</t>
  </si>
  <si>
    <t xml:space="preserve"> IX-1086</t>
  </si>
  <si>
    <t>https://e-seimas.lrs.lt/portal/legalAct/lt/TAD/TAIS.185389?jfwid=-4syu6ltu6</t>
  </si>
  <si>
    <t>Nutarimas "Dėl Lietuvos karių dalyvavimo tarptautinėje operacijoje "Tvirta taika" Centrinės ir Pietų Azijos regione"</t>
  </si>
  <si>
    <t>IX- 1109</t>
  </si>
  <si>
    <t>https://e-seimas.lrs.lt/portal/legalAct/lt/TAD/TAIS.187936?jfwid=-4syu6ltpu</t>
  </si>
  <si>
    <t>IX-1277</t>
  </si>
  <si>
    <t>https://e-seimas.lrs.lt/portal/legalAct/lt/TAD/TAIS.197438?jfwid=-4syu6ltb9</t>
  </si>
  <si>
    <t xml:space="preserve"> IX-1278</t>
  </si>
  <si>
    <t>https://e-seimas.lrs.lt/portal/legalAct/lt/TAD/TAIS.197439?jfwid=-4syu6lt7u</t>
  </si>
  <si>
    <t>Nutarimas "Dėl Lietuvos karių dalyvavimo NATO vadovaujamoje tarptautinėje taikos stabilizavimo operacijoje Bosnijoje ir Hercegovinoje"</t>
  </si>
  <si>
    <t xml:space="preserve"> IX-1279</t>
  </si>
  <si>
    <t>https://e-seimas.lrs.lt/portal/legalAct/lt/TAD/TAIS.197440?jfwid=-4syu6lt58</t>
  </si>
  <si>
    <t>Brazauskas II</t>
  </si>
  <si>
    <t>Nutarimas "Dėl Lietuvos karių dalyvavimo Jungtinių Tautų vadovaujamoje tarptautinėje taikos operacijoje Afganistane tarptautinių saugumo paramos pajėgų sudėtyje pratęsimo"</t>
  </si>
  <si>
    <t xml:space="preserve"> IX-1393</t>
  </si>
  <si>
    <t>https://e-seimas.lrs.lt/portal/legalAct/lt/TAD/TAIS.207745?jfwid=-4syu6lt3a</t>
  </si>
  <si>
    <t>Nutarimas "Dėl Lietuvos karių dalyvavimo Europos Sąjungos vadovaujamoje tarptautinėje operacijoje buvusios Jugoslavijos Respublikoje Makedonijoje"</t>
  </si>
  <si>
    <t>IX-1394</t>
  </si>
  <si>
    <t>https://e-seimas.lrs.lt/portal/legalAct/lt/TAD/TAIS.207746?jfwid=-4syu6lt18</t>
  </si>
  <si>
    <t>Nutarimas "Dėl Lietuvos karių dalyvavimo Jungtinių Amerikos Valstijų vadovaujamoje tarptautinėje operacijoje Persijos įlankos regione"</t>
  </si>
  <si>
    <t>IX-1400</t>
  </si>
  <si>
    <t>https://e-seimas.lrs.lt/portal/legalAct/lt/TAD/TAIS.207566?jfwid=-4syu6lsuf</t>
  </si>
  <si>
    <t>Nutarimas "Dėl Lietuvos karių dalyvavimo NATO vadovaujamoje tarptautinėje taikos stabilizavimo operacijoje Bosnijoje ir Hercegovinoje pratęsimo"</t>
  </si>
  <si>
    <t xml:space="preserve"> IX-1491</t>
  </si>
  <si>
    <t>https://e-seimas.lrs.lt/portal/legalAct/lt/TAD/TAIS.209030</t>
  </si>
  <si>
    <t>Nutarimas "Dėl Lietuvos karių dalyvavimo NATO vadovaujamoje tarptautinėje taikos operacijoje Serbijos ir Juodkalnijos Kosovo provincijoje"</t>
  </si>
  <si>
    <t xml:space="preserve"> IX-1492</t>
  </si>
  <si>
    <t>https://e-seimas.lrs.lt/portal/legalAct/lt/TAD/TAIS.209031</t>
  </si>
  <si>
    <t>Nutarimas "Dėl Lietuvos karių dalyvavimo JAV vadovaujamoje tarptautinėje operacijoje "Tvirta taika" Centrinės ir Pietų Azijos regione pratęsimo"</t>
  </si>
  <si>
    <t xml:space="preserve"> IX-1509</t>
  </si>
  <si>
    <t>https://e-seimas.lrs.lt/portal/legalAct/lt/TAD/TAIS.209716</t>
  </si>
  <si>
    <t>Nutarimas "Dėl Lietuvos karių dalyvavimo tarptautinėje operacijoje Persijos įlankos regione"</t>
  </si>
  <si>
    <t>IX-1590</t>
  </si>
  <si>
    <t>https://e-seimas.lrs.lt/portal/legalAct/lt/TAD/TAIS.212028?jfwid=7nbkjfem3</t>
  </si>
  <si>
    <t>Nutarimas "Dėl Lietuvos karinių vienetų dalyvavimo tarptautinėse operacijose Balkanų regione pratęsimo"</t>
  </si>
  <si>
    <t>NATO missions to Bosnia and Herzegovina, and Kosovo, EU mission to FYROM</t>
  </si>
  <si>
    <t xml:space="preserve"> IX-1787</t>
  </si>
  <si>
    <t>https://e-seimas.lrs.lt/portal/legalAct/lt/TAD/TAIS.219815</t>
  </si>
  <si>
    <t xml:space="preserve">Nutarimas "Dėl Lietuvos karinių vienetų dalyvavimo tarptautinėse operacijose Centrinės ir Pietų Azijos regione pratęsimo" </t>
  </si>
  <si>
    <t xml:space="preserve"> IX-1788</t>
  </si>
  <si>
    <t>https://e-seimas.lrs.lt/portal/legalAct/lt/TAD/TAIS.219816</t>
  </si>
  <si>
    <t>Nutarimas "Dėl Seimo nutarimo "Dėl Lietuvos karinių vienetų dalyvavimo tarptautinėse operacijose Centrinės ir Pietų Azijos regione pratęsimo" 1 straipsnio pakeitimo"</t>
  </si>
  <si>
    <t>IX-2124</t>
  </si>
  <si>
    <t>https://e-seimas.lrs.lt/portal/legalAct/lt/TAD/TAIS.230913</t>
  </si>
  <si>
    <t>Brazauskas IV</t>
  </si>
  <si>
    <t>DP; LSDP; NS-SL; VNDS</t>
  </si>
  <si>
    <t>Nutarimas "Dėl NATO reagavimo pajėgoms priskirtų Lietuvos karinių vienetų ir NATO karinėse vadavietėse tarnybą atliekančių Lietuvos karių dalyvavimo Šiaurės Atlanto Tarybos patvirtintose tarptautinėse operacijose"</t>
  </si>
  <si>
    <t xml:space="preserve"> X-93</t>
  </si>
  <si>
    <t>https://e-seimas.lrs.lt/portal/legalAct/lt/TAD/TAIS.249439</t>
  </si>
  <si>
    <t>Nutarimas "Dėl Lietuvos Respublikos karinio vieneto dalyvavimo tarptautinėje operacijoje Šiaurės ir Rytų Afrikoje"</t>
  </si>
  <si>
    <t>X-173</t>
  </si>
  <si>
    <t>https://e-seimas.lrs.lt/portal/legalAct/lt/TAD/TAIS.254724</t>
  </si>
  <si>
    <t>Nutarimas "Dėl Seimo nutarimo „Dėl Lietuvos karinių vienetų dalyvavimo tarptautinėse operacijose Balkanų, Centrinės ir Pietų Azijos bei Persijos įlankos regionuose pratęsimo ir dėl Lietuvos Respublikos Seimo nutarimų pripažinimo netekusiais galios" 1 straipsnio pakeitimo"</t>
  </si>
  <si>
    <t>International missions in the Balkans, Central and South Asia, Persian Gulf</t>
  </si>
  <si>
    <t>X-240</t>
  </si>
  <si>
    <t>https://e-seimas.lrs.lt/portal/legalAct/lt/TAD/TAIS.257268</t>
  </si>
  <si>
    <t>Kirkilas I</t>
  </si>
  <si>
    <t>LSDP; LiCS; LVLS; PDP</t>
  </si>
  <si>
    <t>Nutarimas "Dėl Lietuvos Respublikos karinių vienetų dalyvavimo tarptautinėse operacijose Balkanų, Centrinės ir Pietų Azijos, Pietų Kaukazo bei Persijos įlankos regionuose"</t>
  </si>
  <si>
    <t>International missions in the Balkans, Central and South Asia, South Caucasus, and Persian Gulf</t>
  </si>
  <si>
    <t>X-1184</t>
  </si>
  <si>
    <t>https://e-seimas.lrs.lt/portal/legalAct/lt/TAD/TAIS.300012</t>
  </si>
  <si>
    <t>Nutarimas "Dėl NATO greitojo reagavimo pajėgoms ir Europos Sąjungos kovinei grupei priskirtų Lietuvos karinių vienetų bei NATO ir Europos Sąjungos karinėse vadavietėse tarnybą atliekančių Lietuvos karių dalyvavimo Šiaurės Atlanto Tarybos arba Europos Sąjungos Tarybos patvirtintose tarptautinėse operacijose"</t>
  </si>
  <si>
    <t>NATO or EU lead missions</t>
  </si>
  <si>
    <t>X-1647</t>
  </si>
  <si>
    <t>https://e-seimas.lrs.lt/portal/legalAct/lt/TAD/TAIS.323572</t>
  </si>
  <si>
    <t>Kubilius III</t>
  </si>
  <si>
    <t>TS-LKD; TPP LRLS; LiCS</t>
  </si>
  <si>
    <t>Nutarimas "Dėl NATO greitojo reagavimo pajėgoms ir Europos Sąjungos kovinei grupei priskirtų Lietuvos karinių vienetų ir NATO ir Europos Sąjungos karinėse vadavietėse tarnybą atliekančių Lietuvos karių dalyvavimo Šiaurės Atlanto Tarybos arba Europos Sąjungos Tarybos patvirtintose tarptautinėse operacijos"</t>
  </si>
  <si>
    <t>XI-905</t>
  </si>
  <si>
    <t>https://e-seimas.lrs.lt/portal/legalAct/lt/TAD/TAIS.375713?jfwid=7nbkjfkjf</t>
  </si>
  <si>
    <t>Kubilius IV</t>
  </si>
  <si>
    <t>TS-LKD; LiCS; LVLS/LVZS; PDP</t>
  </si>
  <si>
    <t>Nutarimas "Dėl NATO greitojo reagavimo pajėgoms ir Europos Sąjungos kovinei grupei priskirtų Lietuvos karinių vienetų ir NATO ir Europos Sąjungos karinėse vadavietėse tarnybą atliekančių Lietuvos karių dalyvavimo Šiaurės Atlanto Tarybos arba Europos Sąjungos Tarybos patvirtintose tarptautinėse operacijose"</t>
  </si>
  <si>
    <t>XI-2028</t>
  </si>
  <si>
    <t>https://e-seimas.lrs.lt/portal/legalAct/lt/TAD/TAIS.425397</t>
  </si>
  <si>
    <t>Butkevicius I</t>
  </si>
  <si>
    <t>LSDP; DP; PTT; LLRA</t>
  </si>
  <si>
    <t>Nutarimas "Dėl Lietuvos Respublikos karinių vienetų dalyvavimo tarptautinėse operacijose"</t>
  </si>
  <si>
    <t>XII-249</t>
  </si>
  <si>
    <t>https://e-seimas.lrs.lt/portal/legalAct/lt/TAD/TAIS.447165</t>
  </si>
  <si>
    <t>Nutarimas "Dėl Lietuvos Respublikos Seimo 2013 m. balandžio 23 d. nutarimo Nr. XII-249 „Dėl Lietuvos Respublikos karinių vienetų dalyvavimo tarptautinėse operacijose“ pakeitimo"</t>
  </si>
  <si>
    <t>XII-788</t>
  </si>
  <si>
    <t>https://e-seimas.lrs.lt/portal/legalAct/lt/TAD/352ab340b02b11e3bf53dc70cf7669d9</t>
  </si>
  <si>
    <t>Butkevicius II</t>
  </si>
  <si>
    <t>Nutarimas "Dėl NATO greitojo reagavimo pajėgoms, Europos Sąjungos kovinei grupei priskirtų Lietuvos Respublikos karinių vienetų ir NATO ir Europos Sąjungos karinėse vadavietėse tarnybą atliekančių Lietuvos karių dalyvavimo Šiaurės Atlanto Tarybos arba Europos Sąjungos Tarybos patvirtintose tarptautinėse operacijose"</t>
  </si>
  <si>
    <t xml:space="preserve"> XII-1414</t>
  </si>
  <si>
    <t>https://e-seimas.lrs.lt/portal/legalAct/lt/TAD/6e3af8c085b911e495dc9901227533ee</t>
  </si>
  <si>
    <t>ISAF, KFOR, Atalanta, MINUSMA, EUNAVFOR MED operation SOPHIA</t>
  </si>
  <si>
    <t>XII-2232</t>
  </si>
  <si>
    <t>https://e-seimas.lrs.lt/portal/legalAct/lt/TAD/e996a2e0ad3a11e59010bea026bdb259</t>
  </si>
  <si>
    <t>Nutarimas "Dėl Lietuvos Respublikos Seimo 2015 m. gruodžio 22 d. nutarimo Nr. XII-2232 „Dėl Lietuvos Respublikos karinių vienetų dalyvavimo tarptautinėse operacijose“ pakeitimo"</t>
  </si>
  <si>
    <t>XII-2541</t>
  </si>
  <si>
    <t>https://e-seimas.lrs.lt/portal/legalAct/lt/TAD/580a3140440f11e68f45bcf65e0a17ee</t>
  </si>
  <si>
    <t>Nutarimas "Dėl NATO greitojo reagavimo pajėgoms, Jungtinėms ekspedicinėms pajėgoms priskirtų Lietuvos Respublikos karinių vienetų ir karių dalyvavimo tarptautinėse operacijose"</t>
  </si>
  <si>
    <t>NATO, EU or UN lead missions</t>
  </si>
  <si>
    <t>XII-2542</t>
  </si>
  <si>
    <t>https://e-seimas.lrs.lt/portal/legalAct/lt/TAD/880c1432440f11e68f45bcf65e0a17ee</t>
  </si>
  <si>
    <t>Skvernelis I</t>
  </si>
  <si>
    <t>LVLS/LVZS; LSDP</t>
  </si>
  <si>
    <t>XIII-525</t>
  </si>
  <si>
    <t>https://e-seimas.lrs.lt/portal/legalAct/lt/TAD/7a5026005d9611e7a53b83ca0142260e</t>
  </si>
  <si>
    <t>Resolute Support, KFOR, Atalanta, MINUSMA, EUNAVFOR MED operation Sophia,  Inherent Resolve and Spartan Shield, NATO programs in Iraq and Jordan, military training operation in Ukraine</t>
  </si>
  <si>
    <t>XIII-678</t>
  </si>
  <si>
    <t>https://e-seimas.lrs.lt/portal/legalAct/lt/TAD/112217e1b23411e7a80ef1cff7d455dd</t>
  </si>
  <si>
    <t>Skvernelis II</t>
  </si>
  <si>
    <t>LVLS/LVZS; LSDDP</t>
  </si>
  <si>
    <t>Nutarimas "Dėl Lietuvos Respublikos Seimo 2016 m. birželio 29 d. nutarimo Nr. XII-2542 „Dėl NATO greitojo reagavimo pajėgoms, Jungtinėms ekspedicinėms pajėgoms priskirtų Lietuvos Respublikos karinių vienetų ir karių dalyvavimo tarptautinėse operacijose“ pakeitimo"</t>
  </si>
  <si>
    <t>XIII-919</t>
  </si>
  <si>
    <t>https://e-seimas.lrs.lt/portal/legalAct/lt/TAD/cec0ae11e6e611e7b4d1bdd5f1a9ff0e</t>
  </si>
  <si>
    <t>Nutarimas "Dėl NATO greitojo reagavimo pajėgoms, Jungtinėms ekspedicinėms pajėgoms priskirtų Lietuvos Respublikos karinių vienetų ir NATO ir Europos Sąjungos karinėse vadavietėse tarnybą atliekančių Lietuvos karių ir civilių krašto apsaugos sistemos tarnautojų dalyvavimo tarptautinėse operacijose"</t>
  </si>
  <si>
    <t xml:space="preserve"> XIII-1598</t>
  </si>
  <si>
    <t>https://e-seimas.lrs.lt/portal/legalAct/lt/TAD/9efa3eb3e32711e8bcacfff937113a43</t>
  </si>
  <si>
    <t>Skvernelis III</t>
  </si>
  <si>
    <t>LVLS/LVZS; LSDDP; LLRA; PTT</t>
  </si>
  <si>
    <t>Resolute Support, KFOR, NATO mission Iraq, EUNAVFOR MED operation SOPHIA, Atalanta, EU Training Mission in Mali [EUTM MALI], EU Training Mission in the Central African Republic [EUTM RCA], MINUSMA, Inherent Resolve, International mission in Hormuz Strait, training mission in Ukraine</t>
  </si>
  <si>
    <t xml:space="preserve"> XIII-2170</t>
  </si>
  <si>
    <t>https://e-seimas.lrs.lt/portal/legalAct/lt/TAD/123b5451226911eab86ff95170e24944</t>
  </si>
  <si>
    <t>KOK_II</t>
  </si>
  <si>
    <t>Motie-M.B. Vos over afzien van verdere bombardementen op Servische media</t>
  </si>
  <si>
    <t>22181-0265</t>
  </si>
  <si>
    <t>https://zoek.officielebekendmakingen.nl/kst-22181-265.html</t>
  </si>
  <si>
    <t>Motie-Van Bommel over beëindiging van de bombardementen</t>
  </si>
  <si>
    <t>22181-0268</t>
  </si>
  <si>
    <t>https://zoek.officielebekendmakingen.nl/kst-22181-268.html</t>
  </si>
  <si>
    <t>BAL_I</t>
  </si>
  <si>
    <t>Motie-Karimi &amp; Van Bommel over het afwijzen van een oorlog tegen Irak</t>
  </si>
  <si>
    <t>23432-0060</t>
  </si>
  <si>
    <t>https://zoek.officielebekendmakingen.nl/kst-23432-60.html</t>
  </si>
  <si>
    <t>Motie-Karimi &amp; Van Velzen over afstand nemen van een militaire actie tegen Irak</t>
  </si>
  <si>
    <t>28600-V-0030</t>
  </si>
  <si>
    <t>https://zoek.officielebekendmakingen.nl/kst-28600-V-30.html</t>
  </si>
  <si>
    <t>Motie-Halsema &amp; Van Bommel over unilateraal militair optreden op initiatief van de Verenigde Staten</t>
  </si>
  <si>
    <t>23432-0070</t>
  </si>
  <si>
    <t>https://zoek.officielebekendmakingen.nl/kst-23432-70.html</t>
  </si>
  <si>
    <t>Motie-Koenders over opschorting van het besluit inzake Patriotraketten</t>
  </si>
  <si>
    <t>23432-0081</t>
  </si>
  <si>
    <t>https://zoek.officielebekendmakingen.nl/kst-23432-81.html</t>
  </si>
  <si>
    <t>Motie-Van Bommel &amp; Karimi over een preventieve oorlog tegen Irak</t>
  </si>
  <si>
    <t>23432-0080</t>
  </si>
  <si>
    <t>https://zoek.officielebekendmakingen.nl/kst-23432-80.html</t>
  </si>
  <si>
    <t>Motie-Van Bommel &amp; Karimi over de stationering van Patriots in Turkije</t>
  </si>
  <si>
    <t>23432-0078</t>
  </si>
  <si>
    <t>https://zoek.officielebekendmakingen.nl/kst-23432-78.html</t>
  </si>
  <si>
    <t>Motie-Marijnissen &amp; Halsema over veroordeling van het militair ingrijpen in Irak</t>
  </si>
  <si>
    <t>23432-0097</t>
  </si>
  <si>
    <t>https://zoek.officielebekendmakingen.nl/kst-23432-97.html</t>
  </si>
  <si>
    <t>Motie-Bos over actieve steun aan een militaire interventie en het herstellen van de Europese eenheid</t>
  </si>
  <si>
    <t>23432-0095</t>
  </si>
  <si>
    <t>https://zoek.officielebekendmakingen.nl/kst-23432-95.html</t>
  </si>
  <si>
    <t>BAL_II</t>
  </si>
  <si>
    <t>Motie-Timmermans &amp; Koenders over versterkt en robuust optreden van de internationale gemeenschap en directe EU-betrokkenheid bij de oplossing van conflicten in de Democratische Republiek Congo</t>
  </si>
  <si>
    <t>21501-0222</t>
  </si>
  <si>
    <t>https://zoek.officielebekendmakingen.nl/kst-21501-20-222.html</t>
  </si>
  <si>
    <t>Motie-Karimi &amp; Duivesteijn over het niet beschikbaar stellen van troepen</t>
  </si>
  <si>
    <t>23432-0118</t>
  </si>
  <si>
    <t>https://zoek.officielebekendmakingen.nl/kst-23432-118.html</t>
  </si>
  <si>
    <t>Motie-Duivesteijn over de verlenging van de Nederlandse militaire bijdrage</t>
  </si>
  <si>
    <t>23432-0137</t>
  </si>
  <si>
    <t>https://zoek.officielebekendmakingen.nl/kst-23432-137.html</t>
  </si>
  <si>
    <t>Motie-Karimi c.s. over een uitspraak tegen deelname van Nederlandse militairen en special forces aan de operatie Enduring Freedom</t>
  </si>
  <si>
    <t>27925-0164</t>
  </si>
  <si>
    <t>https://zoek.officielebekendmakingen.nl/kst-27925-164.html</t>
  </si>
  <si>
    <t>Motie-Marijnissen c.s. over het niet uitzenden van Nederlandse militairen naar de provincie Uruzgan</t>
  </si>
  <si>
    <t>27925-0204</t>
  </si>
  <si>
    <t>https://zoek.officielebekendmakingen.nl/kst-27925-204.html</t>
  </si>
  <si>
    <t>BAL_III</t>
  </si>
  <si>
    <t>Motie-Halsema c.s. over het onder VN-vlag brengen van de vredesmissie van de Afrikaanse Unie in Darfur</t>
  </si>
  <si>
    <t>30800-0027</t>
  </si>
  <si>
    <t>https://zoek.officielebekendmakingen.nl/kst-30800-27.html</t>
  </si>
  <si>
    <t>Motie-Koenders c.s. over verlenging van de Nederlandse bijdrage aan EURFOR Congo</t>
  </si>
  <si>
    <t>30800-0018</t>
  </si>
  <si>
    <t>https://zoek.officielebekendmakingen.nl/kst-30800-V-18.html</t>
  </si>
  <si>
    <t>Motie-Karimi &amp; Van Bommel over heroverweging van de deelname aan ISAF III</t>
  </si>
  <si>
    <t>27925-0238</t>
  </si>
  <si>
    <t>https://zoek.officielebekendmakingen.nl/kst-27925-238.html</t>
  </si>
  <si>
    <t>BAL_IV</t>
  </si>
  <si>
    <t>Motie-Marijnissen over beëindiging van deelname aan de Task Force Uruzgan per 1 augustus 2008</t>
  </si>
  <si>
    <t>27925-0282</t>
  </si>
  <si>
    <t>https://zoek.officielebekendmakingen.nl/kst-27925-282.html</t>
  </si>
  <si>
    <t>Motie-De Roon het niet uitzenden van militairen naar Tsjaad</t>
  </si>
  <si>
    <t>29521-0060</t>
  </si>
  <si>
    <t>https://zoek.officielebekendmakingen.nl/kst-29521-60.html</t>
  </si>
  <si>
    <t>Motie-Irrgang over afzien van een bijdrage aan deze missie</t>
  </si>
  <si>
    <t>29521-0059</t>
  </si>
  <si>
    <t>https://zoek.officielebekendmakingen.nl/kst-29521-59.html</t>
  </si>
  <si>
    <t>Motie-Van Bommel &amp; Boekestijn over geen grote Nederlandse missie in Afghanistan</t>
  </si>
  <si>
    <t>31700-X-0082</t>
  </si>
  <si>
    <t>https://zoek.officielebekendmakingen.nl/kst-31700-X-82.html</t>
  </si>
  <si>
    <t>Motie-Verdonk over de garantie dat de missie in Uruzgan in augustus 2010 definitief beëindigd zal worden</t>
  </si>
  <si>
    <t>32123-0023</t>
  </si>
  <si>
    <t>https://zoek.officielebekendmakingen.nl/kst-32123-23.html</t>
  </si>
  <si>
    <t>Motie-Peters over niet overgaan tot een militaire missie in Uruzgan na december 2010</t>
  </si>
  <si>
    <t>27925-0358</t>
  </si>
  <si>
    <t>https://zoek.officielebekendmakingen.nl/kst-27925-358.html</t>
  </si>
  <si>
    <t>Motie-De Roon over het zo spoedig mogelijk beëindigen van de militaire missie in Afghanistan</t>
  </si>
  <si>
    <t>27925-0359</t>
  </si>
  <si>
    <t>https://zoek.officielebekendmakingen.nl/kst-27925-359.html</t>
  </si>
  <si>
    <t>Motie-Kant over negatief antwoorden op het verzoek van de NAVO omtrent een nieuwe missie in Uruzgan</t>
  </si>
  <si>
    <t>27925-0385</t>
  </si>
  <si>
    <t>https://zoek.officielebekendmakingen.nl/kst-27925-385.html</t>
  </si>
  <si>
    <t>Motie-Peters c.s. over een Nederlandse bijdrage aan civiele politietraining en -opleiding in Afghanistan</t>
  </si>
  <si>
    <t>27925-0392</t>
  </si>
  <si>
    <t>https://zoek.officielebekendmakingen.nl/kst-27925-392.html</t>
  </si>
  <si>
    <t>Motie-Brinkman over beëindiging van de Redeployment Task Force vóór 1 december 2010</t>
  </si>
  <si>
    <t>27925-0393</t>
  </si>
  <si>
    <t>https://zoek.officielebekendmakingen.nl/kst-27925-393.html</t>
  </si>
  <si>
    <t>RUT_I</t>
  </si>
  <si>
    <t>Motie-Cohen &amp; Roemer over niet akkoord gaan met de geïntegreerde politietrainingsmissie</t>
  </si>
  <si>
    <t>27925-0421</t>
  </si>
  <si>
    <t>https://zoek.officielebekendmakingen.nl/kst-27925-421.html</t>
  </si>
  <si>
    <t>Motie-Van Bommel over niet instemmen met uitzending van Nederlandse militairen</t>
  </si>
  <si>
    <t>32623-0008</t>
  </si>
  <si>
    <t>https://zoek.officielebekendmakingen.nl/kst-32623-8.html</t>
  </si>
  <si>
    <t>Motie-Brinkman over geen bijdrage leveren aan de uitvoering van de resolutie</t>
  </si>
  <si>
    <t>32623-0007</t>
  </si>
  <si>
    <t>https://zoek.officielebekendmakingen.nl/kst-32623-7.html</t>
  </si>
  <si>
    <t>Motie-Brinkman over geen uitvoering geven aan de Nederlandse bijdrage aan VN resolutie 1973</t>
  </si>
  <si>
    <t>32623-0013</t>
  </si>
  <si>
    <t>https://zoek.officielebekendmakingen.nl/kst-32623-13.html</t>
  </si>
  <si>
    <t>Motie-Brinkman &amp; Van Dijk over verlenging missie Unified Protector</t>
  </si>
  <si>
    <t>28676-0131</t>
  </si>
  <si>
    <t>https://zoek.officielebekendmakingen.nl/kst-28676-131.html</t>
  </si>
  <si>
    <t>Motie-Brinkman over een verlenging met drie maanden</t>
  </si>
  <si>
    <t>28676-0132</t>
  </si>
  <si>
    <t>https://zoek.officielebekendmakingen.nl/kst-28676-132.html</t>
  </si>
  <si>
    <t>Motie-Brinkman over stoppen met de missie USSC-R en USSC Dayton</t>
  </si>
  <si>
    <t>29521-0174</t>
  </si>
  <si>
    <t>https://zoek.officielebekendmakingen.nl/kst-29521-174.html</t>
  </si>
  <si>
    <t>Motie-Brinkman over stoppen met bijdrage aan EUBAM</t>
  </si>
  <si>
    <t>29521-0175</t>
  </si>
  <si>
    <t>https://zoek.officielebekendmakingen.nl/kst-29521-175.html</t>
  </si>
  <si>
    <t>Motie-Van Dijk over beëindiging van de missie in Kunduz</t>
  </si>
  <si>
    <t>33000-X-0040</t>
  </si>
  <si>
    <t>https://zoek.officielebekendmakingen.nl/kst-33000-X-40.html</t>
  </si>
  <si>
    <t>RUT_II</t>
  </si>
  <si>
    <t>Motie-De Roon over terugdraaien van het besluit om Patriotraketten en troepen naar Turkije uit te zenden</t>
  </si>
  <si>
    <t>32623-0077</t>
  </si>
  <si>
    <t>https://zoek.officielebekendmakingen.nl/kst-32623-77.html</t>
  </si>
  <si>
    <t>Motie-De Roon over het afzien van een nieuwe bijdrage aan ISAF en EUPOL</t>
  </si>
  <si>
    <t>27925-0478</t>
  </si>
  <si>
    <t>https://zoek.officielebekendmakingen.nl/kst-27925-478.html</t>
  </si>
  <si>
    <t>Motie-Van Bommel over de inzet van F-16's tegelijkertijd met de trainingsmissie beëindigen</t>
  </si>
  <si>
    <t>27925-0474</t>
  </si>
  <si>
    <t>https://zoek.officielebekendmakingen.nl/kst-27925-474.html</t>
  </si>
  <si>
    <t>Motie-De Roon over niet deelnemen aan de MINUSMA-missie</t>
  </si>
  <si>
    <t>29521-0220</t>
  </si>
  <si>
    <t>https://zoek.officielebekendmakingen.nl/kst-29521-220.html</t>
  </si>
  <si>
    <t>Motie-Van Bommel over afwijzen van de voorgestelde deelname van Nederlandse militairen</t>
  </si>
  <si>
    <t>29521-0219</t>
  </si>
  <si>
    <t>https://zoek.officielebekendmakingen.nl/kst-29521-219.html</t>
  </si>
  <si>
    <t>Motie-Bontes over hardere militaire actie bij het bestrijden van IS(IS)</t>
  </si>
  <si>
    <t>21501-20-0906</t>
  </si>
  <si>
    <t>https://zoek.officielebekendmakingen.nl/kst-21501-20-906.html</t>
  </si>
  <si>
    <t>Motie-Van Haersma-Buma over uitspreken van politieke steun aan de bestrijding van IS in Syrië</t>
  </si>
  <si>
    <t>27925-0509</t>
  </si>
  <si>
    <t>https://zoek.officielebekendmakingen.nl/kst-27925-509.html</t>
  </si>
  <si>
    <t>Motie-Bontes over uitbreiden van de Nederlandse militaire inzet tegen ISIS naar Syrië</t>
  </si>
  <si>
    <t>27925-0516</t>
  </si>
  <si>
    <t>https://zoek.officielebekendmakingen.nl/kst-27925-516.html</t>
  </si>
  <si>
    <t>Motie-De Roon over inzet van het Nederlands luchtwapen tegen ISIS in Syrië</t>
  </si>
  <si>
    <t>27925-0546</t>
  </si>
  <si>
    <t>https://zoek.officielebekendmakingen.nl/kst-27925-546.html</t>
  </si>
  <si>
    <t>Motie-Bontes over uitbreiding van de militaire inzet naar Syrië</t>
  </si>
  <si>
    <t>34300-V-0039</t>
  </si>
  <si>
    <t>https://zoek.officielebekendmakingen.nl/kst-34300-V-39.html</t>
  </si>
  <si>
    <t>Motie-Teeven &amp; Knops over inzetten van de Nederlandse krijgsmacht bij grensbewaking en bestrijding van mensensmokkel</t>
  </si>
  <si>
    <t>34300-X-0062</t>
  </si>
  <si>
    <t>https://zoek.officielebekendmakingen.nl/kst-34300-X-62.html</t>
  </si>
  <si>
    <t>Motie-Klein over het besluit om luchtaanvallen uit te voeren boven Syrisch grondgebied</t>
  </si>
  <si>
    <t>27925-0579</t>
  </si>
  <si>
    <t>https://zoek.officielebekendmakingen.nl/kst-27925-579.html</t>
  </si>
  <si>
    <t>Motie-Kuzu over geen militaire missie uitvoeren in Syrië</t>
  </si>
  <si>
    <t>27925-0580</t>
  </si>
  <si>
    <t>https://zoek.officielebekendmakingen.nl/kst-27925-580.html</t>
  </si>
  <si>
    <t>Motie-Van Dijk over het beëindigen van de Nederlandse bijdrage aan MINUSMA</t>
  </si>
  <si>
    <t>34550-X-0029</t>
  </si>
  <si>
    <t>https://zoek.officielebekendmakingen.nl/kst-34550-X-29.html</t>
  </si>
  <si>
    <t>RUT_III</t>
  </si>
  <si>
    <t>Motie-Karabulut over NAVO-betrokkenheid in Afghanistan niet voortzetten</t>
  </si>
  <si>
    <t>28676-0270</t>
  </si>
  <si>
    <t>https://zoek.officielebekendmakingen.nl/kst-28676-270.html</t>
  </si>
  <si>
    <t>Motie-Karabulut over geen Nederlandse militairen naar Mali sturen</t>
  </si>
  <si>
    <t>29521-0356</t>
  </si>
  <si>
    <t>https://zoek.officielebekendmakingen.nl/kst-29521-356.html</t>
  </si>
  <si>
    <t>Motie-Karabulut over de militaire bijdrage aan Resolute Support niet verlengen</t>
  </si>
  <si>
    <t>27925-0618</t>
  </si>
  <si>
    <t>https://zoek.officielebekendmakingen.nl/kst-27925-618.html</t>
  </si>
  <si>
    <t>Motie-Karabulut over intrekken van het besluit inzake een militaire missie tot en met 2021 in Afghanistan</t>
  </si>
  <si>
    <t>27925-0634</t>
  </si>
  <si>
    <t>https://zoek.officielebekendmakingen.nl/kst-27925-634.html</t>
  </si>
  <si>
    <t>Motie-Karabulut over intrekken van het besluit om een marineschip naar de Golfregio te sturen</t>
  </si>
  <si>
    <t>29521-0390</t>
  </si>
  <si>
    <t>https://zoek.officielebekendmakingen.nl/kst-29521-390.html</t>
  </si>
  <si>
    <t>Motie-De Roon over niet verlengen van de Nederlandse bijdrage aan de anti-ISIS coalitie en de bijdragen aan de brede veiligheidsinzet in Irak</t>
  </si>
  <si>
    <t>27925-0687</t>
  </si>
  <si>
    <t>https://zoek.officielebekendmakingen.nl/kst-27925-687.html</t>
  </si>
  <si>
    <t xml:space="preserve">Noh Jae Bong </t>
    <phoneticPr fontId="0" type="noConversion"/>
  </si>
  <si>
    <t>DLP</t>
    <phoneticPr fontId="0" type="noConversion"/>
  </si>
  <si>
    <t>한국공군수송단 걸프지역 파견동의안(정부 제출)</t>
    <phoneticPr fontId="0" type="noConversion"/>
  </si>
  <si>
    <t>13-152-10</t>
    <phoneticPr fontId="0" type="noConversion"/>
  </si>
  <si>
    <t>http://likms.assembly.go.kr/record/mhs-60-010.do</t>
    <phoneticPr fontId="0" type="noConversion"/>
  </si>
  <si>
    <t>사우디아라비아왕국에 대한 국군의료지원단파견 동의안</t>
    <phoneticPr fontId="0" type="noConversion"/>
  </si>
  <si>
    <t>13-152-1</t>
    <phoneticPr fontId="0" type="noConversion"/>
  </si>
  <si>
    <t>http://likms.assembly.go.kr/record/mhs-60-011.do</t>
  </si>
  <si>
    <t>Lee Young Duk</t>
    <phoneticPr fontId="0" type="noConversion"/>
  </si>
  <si>
    <t>한국의료부대의 「서부사하라유엔평화유지단」 파견동의안</t>
  </si>
  <si>
    <t>14-169-15</t>
    <phoneticPr fontId="0" type="noConversion"/>
  </si>
  <si>
    <t>http://likms.assembly.go.kr/record/mhs-60-012.do</t>
  </si>
  <si>
    <t xml:space="preserve">Lee Hong-gu </t>
    <phoneticPr fontId="0" type="noConversion"/>
  </si>
  <si>
    <t xml:space="preserve">국군의료부대의 「서부사하라유엔평화유지단」 파견연장 동의안 </t>
  </si>
  <si>
    <t>14-176-8</t>
    <phoneticPr fontId="0" type="noConversion"/>
  </si>
  <si>
    <t>http://likms.assembly.go.kr/record/mhs-60-013.do</t>
  </si>
  <si>
    <t xml:space="preserve">Lee Soo Sung </t>
    <phoneticPr fontId="0" type="noConversion"/>
  </si>
  <si>
    <t>국군공병부대의 「앙골라유엔평화유지단」 참여 동의안</t>
    <phoneticPr fontId="0" type="noConversion"/>
  </si>
  <si>
    <t>http://likms.assembly.go.kr/record/mhs-60-014.do</t>
  </si>
  <si>
    <t>국군 의료부대의 ｢서부 사하라 유엔평화유지단｣ 파견 연장 동의안</t>
  </si>
  <si>
    <t>15-180-11</t>
    <phoneticPr fontId="0" type="noConversion"/>
  </si>
  <si>
    <t>http://likms.assembly.go.kr/record/mhs-60-015.do</t>
  </si>
  <si>
    <t>국군 공병부대의 ｢앙골라 유엔평화유지단｣ 파견 연장 동의안</t>
  </si>
  <si>
    <t>http://likms.assembly.go.kr/record/mhs-60-016.do</t>
  </si>
  <si>
    <t xml:space="preserve">Goh Kun </t>
    <phoneticPr fontId="0" type="noConversion"/>
  </si>
  <si>
    <t>국회본회의_국군 의료부대의 ｢서부사하라유엔평화유지단｣ 파견 연장 동의안 심사보고서</t>
  </si>
  <si>
    <t>15-184-11</t>
    <phoneticPr fontId="0" type="noConversion"/>
  </si>
  <si>
    <t>http://likms.assembly.go.kr/record/mhs-60-017.do</t>
  </si>
  <si>
    <t xml:space="preserve">Kim Jong Pil </t>
    <phoneticPr fontId="0" type="noConversion"/>
  </si>
  <si>
    <t>NCNP</t>
  </si>
  <si>
    <t>국군의료부대의 ｢서부 사하라 유엔평화유지단｣ 파견연장 동의안</t>
  </si>
  <si>
    <t>15-195-11</t>
    <phoneticPr fontId="0" type="noConversion"/>
  </si>
  <si>
    <t>http://likms.assembly.go.kr/record/mhs-60-018.do</t>
  </si>
  <si>
    <t>국군부대의 동티모르 다국적군 파견 동의안</t>
    <phoneticPr fontId="0" type="noConversion"/>
  </si>
  <si>
    <t>15-208-3</t>
    <phoneticPr fontId="0" type="noConversion"/>
  </si>
  <si>
    <t>http://likms.assembly.go.kr/record/mhs-60-019.do</t>
  </si>
  <si>
    <t xml:space="preserve">Lee Han Dong </t>
    <phoneticPr fontId="0" type="noConversion"/>
  </si>
  <si>
    <t>국군부대의유엔동티모르과도행정기구파견연장동의안</t>
  </si>
  <si>
    <t>16-215-2</t>
    <phoneticPr fontId="0" type="noConversion"/>
  </si>
  <si>
    <t>http://likms.assembly.go.kr/record/mhs-60-020.do</t>
  </si>
  <si>
    <t>국군의료부대의｢서부사하라유엔평화유지단｣파견연장동의안</t>
  </si>
  <si>
    <t>16-215-16</t>
    <phoneticPr fontId="0" type="noConversion"/>
  </si>
  <si>
    <t>http://likms.assembly.go.kr/record/mhs-60-021.do</t>
  </si>
  <si>
    <t>MDP</t>
    <phoneticPr fontId="0" type="noConversion"/>
  </si>
  <si>
    <t>국군의료부대의｢서부사하라유엔평화유지단(MINURSO)｣파견연장동의안</t>
  </si>
  <si>
    <t>16-225-20</t>
    <phoneticPr fontId="0" type="noConversion"/>
  </si>
  <si>
    <t>http://likms.assembly.go.kr/record/mhs-60-022.do</t>
  </si>
  <si>
    <t>국군부대의대테러전쟁파견동의안</t>
    <phoneticPr fontId="0" type="noConversion"/>
  </si>
  <si>
    <t>http://likms.assembly.go.kr/record/mhs-60-023.do</t>
  </si>
  <si>
    <t>국군부대의｢유엔동티모르과도행정기구(UNTAET)｣파견연장동의안</t>
  </si>
  <si>
    <t>16-226-1</t>
    <phoneticPr fontId="0" type="noConversion"/>
  </si>
  <si>
    <t>http://likms.assembly.go.kr/record/mhs-60-024.do</t>
  </si>
  <si>
    <t xml:space="preserve">Kim Suk Soo  </t>
    <phoneticPr fontId="0" type="noConversion"/>
  </si>
  <si>
    <t>국군부대의「유엔동티모르지원단(UNMISET)」파견연장동의안</t>
  </si>
  <si>
    <t>16-226-14</t>
    <phoneticPr fontId="0" type="noConversion"/>
  </si>
  <si>
    <t>http://likms.assembly.go.kr/record/mhs-60-025.do</t>
  </si>
  <si>
    <t>국군의료부대의「유엔서부사하라평화유지단(MINURSO)」파견연장동의안</t>
    <phoneticPr fontId="0" type="noConversion"/>
  </si>
  <si>
    <t>http://likms.assembly.go.kr/record/mhs-60-026.do</t>
  </si>
  <si>
    <t>국군부대의대테러전쟁파견연장동의안</t>
    <phoneticPr fontId="0" type="noConversion"/>
  </si>
  <si>
    <t>http://likms.assembly.go.kr/record/mhs-60-027.do</t>
  </si>
  <si>
    <t>국군건설공병부대의대테러전쟁파견동의안</t>
    <phoneticPr fontId="0" type="noConversion"/>
  </si>
  <si>
    <t>16-235-2</t>
    <phoneticPr fontId="0" type="noConversion"/>
  </si>
  <si>
    <t>http://likms.assembly.go.kr/record/mhs-60-028.do</t>
  </si>
  <si>
    <t>Uri</t>
    <phoneticPr fontId="0" type="noConversion"/>
  </si>
  <si>
    <t>국군부대의이라크전쟁파견동의안</t>
    <phoneticPr fontId="0" type="noConversion"/>
  </si>
  <si>
    <t>16-238-1</t>
    <phoneticPr fontId="0" type="noConversion"/>
  </si>
  <si>
    <t>http://likms.assembly.go.kr/record/mhs-60-029.do</t>
  </si>
  <si>
    <t>국군의료부대의｢유엔서부사하라평화유지단(MINURSO)｣파견연장동의안</t>
  </si>
  <si>
    <t>16-243-18</t>
    <phoneticPr fontId="0" type="noConversion"/>
  </si>
  <si>
    <t>http://likms.assembly.go.kr/record/mhs-60-030.do</t>
  </si>
  <si>
    <t>16-243-19</t>
    <phoneticPr fontId="0" type="noConversion"/>
  </si>
  <si>
    <t>http://likms.assembly.go.kr/record/mhs-60-031.do</t>
  </si>
  <si>
    <t>국군건설공병부대의대테러전쟁파견연장동의안</t>
    <phoneticPr fontId="0" type="noConversion"/>
  </si>
  <si>
    <t>http://likms.assembly.go.kr/record/mhs-60-032.do</t>
  </si>
  <si>
    <t>국군부대의이라크전쟁파견연장동의안</t>
    <phoneticPr fontId="0" type="noConversion"/>
  </si>
  <si>
    <t>http://likms.assembly.go.kr/record/mhs-60-033.do</t>
  </si>
  <si>
    <t>국군부대의이라크추가파견동의안</t>
    <phoneticPr fontId="0" type="noConversion"/>
  </si>
  <si>
    <t>16-245-5</t>
    <phoneticPr fontId="0" type="noConversion"/>
  </si>
  <si>
    <t>http://likms.assembly.go.kr/record/mhs-60-034.do</t>
  </si>
  <si>
    <t>Lee Hae-chan</t>
    <phoneticPr fontId="0" type="noConversion"/>
  </si>
  <si>
    <t>17-250-14</t>
    <phoneticPr fontId="0" type="noConversion"/>
  </si>
  <si>
    <t>http://likms.assembly.go.kr/record/mhs-60-035.do</t>
  </si>
  <si>
    <t>http://likms.assembly.go.kr/record/mhs-60-036.do</t>
  </si>
  <si>
    <t>군건설공병부대의대테러전쟁파견연장동의안</t>
    <phoneticPr fontId="0" type="noConversion"/>
  </si>
  <si>
    <t>http://likms.assembly.go.kr/record/mhs-60-037.do</t>
  </si>
  <si>
    <t>국군부대의이라크파견연장동의안</t>
    <phoneticPr fontId="0" type="noConversion"/>
  </si>
  <si>
    <t>17-251-3</t>
    <phoneticPr fontId="0" type="noConversion"/>
  </si>
  <si>
    <t>http://likms.assembly.go.kr/record/mhs-60-038.do</t>
  </si>
  <si>
    <t>17-256-14</t>
    <phoneticPr fontId="0" type="noConversion"/>
  </si>
  <si>
    <t>http://likms.assembly.go.kr/record/mhs-60-039.do</t>
  </si>
  <si>
    <t>국군부대의 이라크 파견연장 동의안</t>
  </si>
  <si>
    <t>17-257-1</t>
    <phoneticPr fontId="0" type="noConversion"/>
  </si>
  <si>
    <t>http://likms.assembly.go.kr/record/mhs-60-040.do</t>
  </si>
  <si>
    <t>국군부대의 대테러전쟁 파견연장 동의안</t>
    <phoneticPr fontId="0" type="noConversion"/>
  </si>
  <si>
    <t>http://likms.assembly.go.kr/record/mhs-60-041.do</t>
  </si>
  <si>
    <t>국군건설공병부대의 대테러전쟁 파견연장 동의안</t>
    <phoneticPr fontId="0" type="noConversion"/>
  </si>
  <si>
    <t>http://likms.assembly.go.kr/record/mhs-60-042.do</t>
  </si>
  <si>
    <t xml:space="preserve">Han Myung Sook </t>
    <phoneticPr fontId="0" type="noConversion"/>
  </si>
  <si>
    <t>국군부대의 ｢유엔 레바논 평화유지군(UNIFIL)｣ 파견 동의안</t>
  </si>
  <si>
    <t>17-263-1</t>
    <phoneticPr fontId="0" type="noConversion"/>
  </si>
  <si>
    <t>http://likms.assembly.go.kr/record/mhs-60-043.do</t>
  </si>
  <si>
    <t>국군부대의 이라크 파견연장 및 감축계획 동의안</t>
    <phoneticPr fontId="0" type="noConversion"/>
  </si>
  <si>
    <t>http://likms.assembly.go.kr/record/mhs-60-044.do</t>
  </si>
  <si>
    <t>http://likms.assembly.go.kr/record/mhs-60-045.do</t>
  </si>
  <si>
    <t>http://likms.assembly.go.kr/record/mhs-60-046.do</t>
  </si>
  <si>
    <t xml:space="preserve">Han Duk Soo  </t>
    <phoneticPr fontId="0" type="noConversion"/>
  </si>
  <si>
    <t>국군부대의 이라크 파견연장 및 임무종결계획 동의안</t>
    <phoneticPr fontId="0" type="noConversion"/>
  </si>
  <si>
    <t>17-270-3</t>
    <phoneticPr fontId="0" type="noConversion"/>
  </si>
  <si>
    <t>http://likms.assembly.go.kr/record/mhs-60-047.do</t>
  </si>
  <si>
    <t>Han Seung Soo</t>
    <phoneticPr fontId="0" type="noConversion"/>
  </si>
  <si>
    <t>SP</t>
    <phoneticPr fontId="0" type="noConversion"/>
  </si>
  <si>
    <t>18-276-5</t>
    <phoneticPr fontId="0" type="noConversion"/>
  </si>
  <si>
    <t>http://likms.assembly.go.kr/record/mhs-60-049.do</t>
  </si>
  <si>
    <t>국군부대의 소말리아 해역 파견 동의안</t>
    <phoneticPr fontId="0" type="noConversion"/>
  </si>
  <si>
    <t>18-281-11</t>
    <phoneticPr fontId="0" type="noConversion"/>
  </si>
  <si>
    <t>http://likms.assembly.go.kr/record/mhs-60-050.do</t>
  </si>
  <si>
    <t>국군부대의 유엔 레바논 평화유지군(UNIFIL) 파견연장 동의안</t>
  </si>
  <si>
    <t>18-283-1</t>
    <phoneticPr fontId="0" type="noConversion"/>
  </si>
  <si>
    <t>http://likms.assembly.go.kr/record/mhs-60-051.do</t>
  </si>
  <si>
    <t xml:space="preserve">Jung Woon Chan </t>
    <phoneticPr fontId="0" type="noConversion"/>
  </si>
  <si>
    <t>국군부대의 소말리아 해역 파견연장 동의안</t>
  </si>
  <si>
    <t>18-285-1</t>
    <phoneticPr fontId="0" type="noConversion"/>
  </si>
  <si>
    <t>http://likms.assembly.go.kr/record/mhs-60-052.do</t>
  </si>
  <si>
    <t>국군부대의 ｢국제연합 아이티 안정화 임무단(MINUSTAH)｣ 파견 동의안</t>
  </si>
  <si>
    <t>18-287-7</t>
    <phoneticPr fontId="0" type="noConversion"/>
  </si>
  <si>
    <t>http://likms.assembly.go.kr/record/mhs-60-053.do</t>
  </si>
  <si>
    <t>국군부대의 아프가니스탄 파견 동의안</t>
    <phoneticPr fontId="0" type="noConversion"/>
  </si>
  <si>
    <t>18-287-10</t>
    <phoneticPr fontId="0" type="noConversion"/>
  </si>
  <si>
    <t>http://likms.assembly.go.kr/record/mhs-60-054.do</t>
  </si>
  <si>
    <t xml:space="preserve">Kim Hwang Sik </t>
    <phoneticPr fontId="0" type="noConversion"/>
  </si>
  <si>
    <t>국군부대의 아랍에미리트(UAE)군 교육훈련 지원 등에 관한 파견 동의안</t>
  </si>
  <si>
    <t>18-294-15</t>
    <phoneticPr fontId="0" type="noConversion"/>
  </si>
  <si>
    <t>http://likms.assembly.go.kr/record/mhs-60-055.do</t>
  </si>
  <si>
    <t>국군부대의 소말리아 해역 파견연장 동의안</t>
    <phoneticPr fontId="0" type="noConversion"/>
  </si>
  <si>
    <t>http://likms.assembly.go.kr/record/mhs-60-056.do</t>
  </si>
  <si>
    <t>국군부대의 ｢유엔 아이티 안정화임무단(MINUSTAH)｣ 파견연장 동의안</t>
  </si>
  <si>
    <t>http://likms.assembly.go.kr/record/mhs-60-057.do</t>
  </si>
  <si>
    <t>국군부대의 ｢유엔 레바논 평화유지군(UNIFIL)｣ 파견연장 동의안</t>
  </si>
  <si>
    <t>http://likms.assembly.go.kr/record/mhs-60-058.do</t>
  </si>
  <si>
    <t>국군부대의 ｢국제연합 아이티 안정화임무단(MINUSTAH)｣ 파견연장 동의안</t>
  </si>
  <si>
    <t>18-304-2</t>
    <phoneticPr fontId="0" type="noConversion"/>
  </si>
  <si>
    <t>http://likms.assembly.go.kr/record/mhs-60-060.do</t>
  </si>
  <si>
    <t>국군부대의 ｢국제연합 레바논 평화유지군(UNIFIL)｣ 파견연장 동의안</t>
  </si>
  <si>
    <t>http://likms.assembly.go.kr/record/mhs-60-061.do</t>
  </si>
  <si>
    <t>18-304-1</t>
    <phoneticPr fontId="0" type="noConversion"/>
  </si>
  <si>
    <t>http://likms.assembly.go.kr/record/mhs-60-059.do</t>
  </si>
  <si>
    <t>국군부대의 ｢국제연합 남수단 임무단(UNMISS)｣ 파견 동의안</t>
  </si>
  <si>
    <t>19-311-9</t>
    <phoneticPr fontId="0" type="noConversion"/>
  </si>
  <si>
    <t>http://likms.assembly.go.kr/record/mhs-60-062.do</t>
  </si>
  <si>
    <t>국군부대의 아프가니스탄 파견 연장 및 단계별 철수계획 동의안</t>
    <phoneticPr fontId="0" type="noConversion"/>
  </si>
  <si>
    <t>19-311-12</t>
    <phoneticPr fontId="0" type="noConversion"/>
  </si>
  <si>
    <t>http://likms.assembly.go.kr/record/mhs-60-063.do</t>
  </si>
  <si>
    <t>국군부대의 소말리아 해역 파견 연장 동의안</t>
    <phoneticPr fontId="0" type="noConversion"/>
  </si>
  <si>
    <t>http://likms.assembly.go.kr/record/mhs-60-064.do</t>
  </si>
  <si>
    <t>국군부대의 아랍에미리트(UAE)군 교육훈련 지원 등에 관한 파견 연장 동의안</t>
  </si>
  <si>
    <t>http://likms.assembly.go.kr/record/mhs-60-065.do</t>
  </si>
  <si>
    <t>http://likms.assembly.go.kr/record/mhs-60-066.do</t>
  </si>
  <si>
    <t>Jung Heung Won</t>
    <phoneticPr fontId="0" type="noConversion"/>
  </si>
  <si>
    <t>국군부대의 필리핀 재해 복구 지원을 위한 파견 동의안</t>
    <phoneticPr fontId="0" type="noConversion"/>
  </si>
  <si>
    <t>19-320-16</t>
    <phoneticPr fontId="0" type="noConversion"/>
  </si>
  <si>
    <t>http://likms.assembly.go.kr/record/mhs-60-067.do</t>
  </si>
  <si>
    <t>19-321-1</t>
    <phoneticPr fontId="0" type="noConversion"/>
  </si>
  <si>
    <t>http://likms.assembly.go.kr/record/mhs-60-068.do</t>
  </si>
  <si>
    <t>국군부대의 ｢국제연합 남수단 임무단(UNMISS)｣ 파견연장 동의안</t>
  </si>
  <si>
    <t>http://likms.assembly.go.kr/record/mhs-60-069.do</t>
  </si>
  <si>
    <t>국군부대의 소말리아 해역 파견 연장 동의안</t>
  </si>
  <si>
    <t>19-321-2</t>
    <phoneticPr fontId="0" type="noConversion"/>
  </si>
  <si>
    <t>http://likms.assembly.go.kr/record/mhs-60-070.do</t>
  </si>
  <si>
    <t>국군부대의 아랍에미리트(UAE)군 교육훈련 지원 등에 관한 파견연장 동의안</t>
  </si>
  <si>
    <t>http://likms.assembly.go.kr/record/mhs-60-071.do</t>
  </si>
  <si>
    <t>국군부대의 아프가니스탄 파견연장 및 임무종결계획 동의안</t>
    <phoneticPr fontId="0" type="noConversion"/>
  </si>
  <si>
    <t>http://likms.assembly.go.kr/record/mhs-60-072.do</t>
  </si>
  <si>
    <t>19-329-13</t>
    <phoneticPr fontId="0" type="noConversion"/>
  </si>
  <si>
    <t>http://likms.assembly.go.kr/record/mhs-60-073.do</t>
  </si>
  <si>
    <t>http://likms.assembly.go.kr/record/mhs-60-074.do</t>
  </si>
  <si>
    <t>http://likms.assembly.go.kr/record/mhs-60-075.do</t>
  </si>
  <si>
    <t>http://likms.assembly.go.kr/record/mhs-60-076.do</t>
  </si>
  <si>
    <t>Hwang Kyo-ahn</t>
    <phoneticPr fontId="0" type="noConversion"/>
  </si>
  <si>
    <t>19-337-12</t>
    <phoneticPr fontId="0" type="noConversion"/>
  </si>
  <si>
    <t>http://likms.assembly.go.kr/record/mhs-60-077.do</t>
  </si>
  <si>
    <t>http://likms.assembly.go.kr/record/mhs-60-078.do</t>
  </si>
  <si>
    <t>http://likms.assembly.go.kr/record/mhs-60-079.do</t>
  </si>
  <si>
    <t>http://likms.assembly.go.kr/record/mhs-60-080.do</t>
  </si>
  <si>
    <t>20-346-13</t>
    <phoneticPr fontId="0" type="noConversion"/>
  </si>
  <si>
    <t>http://likms.assembly.go.kr/record/mhs-60-081.do</t>
  </si>
  <si>
    <t>http://likms.assembly.go.kr/record/mhs-60-082.do</t>
  </si>
  <si>
    <t>20-346-14</t>
    <phoneticPr fontId="0" type="noConversion"/>
  </si>
  <si>
    <t>http://likms.assembly.go.kr/record/mhs-60-083.do</t>
  </si>
  <si>
    <t>국군부대의 소말리아 아덴만 해역 파견연장 동의안</t>
  </si>
  <si>
    <t>http://likms.assembly.go.kr/record/mhs-60-084.do</t>
  </si>
  <si>
    <t>20-354-14</t>
    <phoneticPr fontId="0" type="noConversion"/>
  </si>
  <si>
    <t>http://likms.assembly.go.kr/record/mhs-60-085.do</t>
  </si>
  <si>
    <t>http://likms.assembly.go.kr/record/mhs-60-086.do</t>
  </si>
  <si>
    <t>http://likms.assembly.go.kr/record/mhs-60-087.do</t>
  </si>
  <si>
    <t>http://likms.assembly.go.kr/record/mhs-60-088.do</t>
  </si>
  <si>
    <t>Lee Nak-yeon</t>
    <phoneticPr fontId="0" type="noConversion"/>
  </si>
  <si>
    <t>DPK</t>
    <phoneticPr fontId="0" type="noConversion"/>
  </si>
  <si>
    <t>20-364-15</t>
    <phoneticPr fontId="0" type="noConversion"/>
  </si>
  <si>
    <t>http://likms.assembly.go.kr/record/mhs-60-089.do</t>
  </si>
  <si>
    <t>http://likms.assembly.go.kr/record/mhs-60-090.do</t>
  </si>
  <si>
    <t>http://likms.assembly.go.kr/record/mhs-60-091.do</t>
  </si>
  <si>
    <t>http://likms.assembly.go.kr/record/mhs-60-092.do</t>
  </si>
  <si>
    <t>국군부대의 소말리아 아덴만 해역 파견연장 동의</t>
  </si>
  <si>
    <t>20-371-12</t>
    <phoneticPr fontId="0" type="noConversion"/>
  </si>
  <si>
    <t>http://likms.assembly.go.kr/record/mhs-60-093.do</t>
  </si>
  <si>
    <t>http://likms.assembly.go.kr/record/mhs-60-094.do</t>
  </si>
  <si>
    <t>http://likms.assembly.go.kr/record/mhs-60-095.do</t>
  </si>
  <si>
    <t>http://likms.assembly.go.kr/record/mhs-60-096.do</t>
  </si>
  <si>
    <t>Akbulut</t>
  </si>
  <si>
    <t>ANAP</t>
  </si>
  <si>
    <t>Irak'ın Kuveyt'i işgal ve ilhak etmesi sonucu ortaya çıkan Körfez krizi sebebiyle, hudut şümulü Hükümetçe takdir ve tayin olunacak şekilde, Türk Silahlı Kuvvetlerinin yabancı ülkelere ve yabancı silahlı kuvvetlerinin Türkiye'de bulunmasına izin verilmesi istemine ilişkin Başbakanlık
tezkeresi (3/1332)</t>
  </si>
  <si>
    <t>Başbakanlık tezkeresi (3/1332)</t>
  </si>
  <si>
    <t>https://www.tbmm.gov.tr/develop/owa/td_v2.goruntule?sayfa_no_ilk=115&amp;sayfa_no_son=115&amp;sayfa_no=115&amp;v_meclis=1&amp;v_donem=18&amp;v_yasama_yili=&amp;v_cilt=47&amp;v_birlesim=003</t>
  </si>
  <si>
    <t>Irak'ın Kuveyt'i işgal ve ilhak etmesi sonucu ortaya çıkan Körfez krizine ilişkin Başbakanlık tezkeresi (3/1514)</t>
  </si>
  <si>
    <t>Başbakanlık tezkeresi (3/1514)</t>
  </si>
  <si>
    <t>https://www.tbmm.gov.tr/tutanaklar/TUTANAK/TBMM/d18/c055/tbmm18055066.pdf</t>
  </si>
  <si>
    <t>Demirel</t>
  </si>
  <si>
    <t>DYP; SHP</t>
  </si>
  <si>
    <t>Ülkemizde konuşlandırılan çokuluslu gücün görev süresinin 30 Haziran 1992 tarihinden itibaren 6 ay süreyle uzatılmasına; çokuluslu gücün yapısı, güce bağlı yabana ülke silahlı kuvvetleri personelinin ülkemizde tabi olacakları statünün tayini, Türkiye'nin güce katkısı ve bu gücün amaçlanna uygun biçimde kullanılmasıyla ilgili bütün kararlan almaya Bakanlar Kurulunun yetkili kılınmasına izin verilmesine, ilişkin Başbakanlık Tezkeresi</t>
  </si>
  <si>
    <t>Başbakanlık tezkeresi (3/520)</t>
  </si>
  <si>
    <t>https://www.tbmm.gov.tr/tutanaklar/TUTANAK/TBMM/d19/c014/tbmm19014089.pdf</t>
  </si>
  <si>
    <t xml:space="preserve">Ülkemizde konuşlandırılan çokuluslu gücün görev süresinin uzatılmasına, izin verilmesine dair Başbakanlık Tezkeresi (3/740) </t>
  </si>
  <si>
    <t>Başbakanlık Tezkeresi (3/740)</t>
  </si>
  <si>
    <t>https://www.tbmm.gov.tr/develop/owa/td_v2.goruntule?sayfa_no_ilk=383&amp;sayfa_no_son=439&amp;sayfa_no=385&amp;v_meclis=1&amp;v_donem=19&amp;v_yasama_yili=&amp;v_cilt=26&amp;v_birlesim=051</t>
  </si>
  <si>
    <t>Somali'de güvenli bir ortamın tesisini Öngören 794 sayılı Birleşmiş Milletler Güvenlik
Konseyi kararını desteklemek; Bosna-Hersek'te süregelen insanlık trajedisine çözüm getirmek
ve insancıl yardım ulaştırmak için Birleşmiş Milletler Güvenlik Konseyince alınabilecek
güç kullanma kararlarına katılmak üzere; lüzum, hudut, şümul ve zamanı Hükümetçe takdir
ve tespit edilmek kaydıyla, Türk Silahlı Kuvvetlerinin yabancı ülkelere gönderilmesine izin verilmesine
ilişkin Başbakanlık tezkeresi (3/730)</t>
  </si>
  <si>
    <t>Başbakanlık tezkeresi (3/730)</t>
  </si>
  <si>
    <t xml:space="preserve">https://www.tbmm.gov.tr/develop/owa/td_v2.sayfa_getir?sayfa=221:273&amp;v_meclis=1&amp;v_donem=19&amp;v_yasama_yili=&amp;v_cilt=22&amp;v_birlesim=036 </t>
  </si>
  <si>
    <t>Inonu (Demirel)</t>
  </si>
  <si>
    <t>Ülkemizde konuşlandırılan çokuluslu gücün görev süresinin uzatılmasına ve bu konuyla ilgili bütün kararları almada ve gerektiğinde harekâtı sona erdirmeğe Bakanlar Kurulunun yetkili kılınmasına izin verilmesine ilişkin Başbakanlık tezkeresi (3/991)</t>
  </si>
  <si>
    <t>Başbakanlık tezkeresi (3/991)</t>
  </si>
  <si>
    <t>https://www.tbmm.gov.tr/tutanaklar/TUTANAK/TBMM/d19/c037/tbmm19037117.pdf</t>
  </si>
  <si>
    <t>Çiller I</t>
  </si>
  <si>
    <t>Ülkemizde Konuşlandırılan Çokuluslu Gttç'ün görev süresinin 31 Aralık 1993 tarihinden itibaren altı ay süre ile uzatılmasına ilişkin Başbakanlık tezkeres</t>
  </si>
  <si>
    <t>Başbakanlık tezkeresi (3/1228)</t>
  </si>
  <si>
    <t>https://www.tbmm.gov.tr/tutanaklar/TUTANAK/TBMM/d19/c050/tbmm19050058.pdf</t>
  </si>
  <si>
    <t>Ülkemizde konuşlandırılan Çokuluslu Güç'ün görev süresinin 30 Haziran 1994 tarihinden itibaren 6 ay süreyle uzatılmasına ilişkin Başbakanlık tezkeresi</t>
  </si>
  <si>
    <t>Başbakanlık tezkeresi (3/1457)</t>
  </si>
  <si>
    <t>https://www.tbmm.gov.tr/tutanaklar/TUTANAK/TBMM/d19/c062/tbmm19062116.pdf</t>
  </si>
  <si>
    <t>Ülkemizde Konuşlandırılan Çok Uluslu Güç'ün Görev Süresinin, 31 Aralık 1994 Tarihinden İtibaren Altı Ay Süre İle Uzatılmasına, Anayasanın 92 nci Maddesi Uyarınca, İzin Verilmesine Dair Başbakanlık Tezkeresi</t>
  </si>
  <si>
    <t>Başbakanlık tezkeresi (3/1697)</t>
  </si>
  <si>
    <t>https://www.tbmm.gov.tr/tutanaklar/TUTANAK/TBMM/d19/c077/tbmm19077063.pdf</t>
  </si>
  <si>
    <t>Ülkemizde Konuşlandırılan Çokuluslu Gücün Görev Süresinin 30 Haziran 1995 Tarihinden İtibaren Altı Ay Süreyle Uzatılmasına Dair Başbakanlık Tezkeresi</t>
  </si>
  <si>
    <t>Başbakanlık tezkeresi (3/1886)</t>
  </si>
  <si>
    <t>https://www.tbmm.gov.tr/tutanaklar/TUTANAK/TBMM/d19/c090/tbmm19090130.pdf</t>
  </si>
  <si>
    <t>Çiller II</t>
  </si>
  <si>
    <t>DYP</t>
  </si>
  <si>
    <t>Ülkemizde Konuşlandırılan Çok Uluslu Güç'ün Görev Süresinin, 31 Aralık 1995 Tarihinden itibaren Üç Ay Süre ile Uzatılmasına, Anayasanın 92 nci Maddesi Uyarınca, İzin Verilmesine Dair Başbakanlık Tezkeresi</t>
  </si>
  <si>
    <t>Başbakanlık tezkeresi (3/2008)</t>
  </si>
  <si>
    <t>https://www.tbmm.gov.tr/tutanaklar/TUTANAK/TBMM/d19/c095/tbmm19095017.pdf</t>
  </si>
  <si>
    <t>Yılmaz II</t>
  </si>
  <si>
    <t>Ülkemizde konuşlandırılan Çokuluslu Güç'Un görev süresinin 31 Mart 1996 tarihinden itibaren üç ay süreyle uzatılmasına ilişkin Başbakanlık tezkeresi</t>
  </si>
  <si>
    <t>Başbakanlık tezkeresi (3/137)</t>
  </si>
  <si>
    <t>https://www.tbmm.gov.tr/tutanaklar/TUTANAK/TBMM/d20/c002/tbmm20002030.pdf</t>
  </si>
  <si>
    <t>Ülkemizde konuşlandırılan Çokuluslu Güç'ün görev süresinin, TBMM karar tarihinden başlamak üzere 31.7.1996 tarihine kadar uzatılmasına ye Bakanlar Kurulunun bu konuda yetkili kılınmasına ilişkin Başbakanlık tezkeresi</t>
  </si>
  <si>
    <t>Başbakanlık tezkeresi (3/346)</t>
  </si>
  <si>
    <t>https://www.tbmm.gov.tr/tutanaklar/TUTANAK/TBMM/d20/c007/tbmm20007063.pdf</t>
  </si>
  <si>
    <t>Erbakan</t>
  </si>
  <si>
    <t>DYP; RP</t>
  </si>
  <si>
    <t>lkemizde konuşlandırılan Çokuluslu Güç'ün görev süresinin 31.7.1996 tarihinden itibaren beş ay süre ile uzatılmasına ilişkin Başbakanlık tezkeresi (3/421)</t>
  </si>
  <si>
    <t>Başbakanlık tezkeresi (3/421)</t>
  </si>
  <si>
    <t>https://www.tbmm.gov.tr/tutanaklar/TUTANAK/TBMM/d20/c009/tbmm20009084.pdf</t>
  </si>
  <si>
    <t>Amerika Birleşik Devletleri, İngiltere ve Fransa hava unsurlarının katılımıyla, Türkiye tarafından belirlenecek ilke ve kurallara bağlı olarak, sadece keşif ve gerektiğinde önleme uçuşlarıyla sınırlı hava harekâtında bulunulmasına ilişkin Başbakanlık tezkeresi</t>
  </si>
  <si>
    <t>Başbakanlık tezkeresi (3/627)</t>
  </si>
  <si>
    <t xml:space="preserve">https://www.tbmm.gov.tr/tutanaklar/TUTANAK/TBMM/d20/c018/tbmm20018040.pdf </t>
  </si>
  <si>
    <t>Türkiye tarafından Hebron'a (El-Halil'e) askerî personel gönderilmesi hususunda Hükümetin yetkili kılınması için, Anayasanın 92 nci maddesine göre izin verilmesine ilişkin Başbakanlık tezkere</t>
  </si>
  <si>
    <t>Başbakanlık tezkeresi (3/690)</t>
  </si>
  <si>
    <t>https://www.tbmm.gov.tr/tutanaklar/TUTANAK/TBMM/d20/c021/tbmm20021059.pdf</t>
  </si>
  <si>
    <t>Türk Silahlı Kuvvetlerinin Arnavutluk'a gönderilmesi hususunda Hükümetin yetkili kılınması için, Anayasanın 92 nci maddesine göre izin verilmesine dair Başkanlık tezkeresi (3/749)</t>
  </si>
  <si>
    <t>Başkanlık tezkeresi (3/749)</t>
  </si>
  <si>
    <t>https://www.tbmm.gov.tr/develop/owa/td_v2.goruntule?sayfa_no_ilk=116&amp;sayfa_no_son=137&amp;sayfa_no=122&amp;v_meclis=1&amp;v_donem=20&amp;v_yasama_yili=&amp;v_cilt=25&amp;v_birlesim=081</t>
  </si>
  <si>
    <t>Kuzeyden Keşif Harekâtının görev süresinin 30.6.1997 tarihinden itibaren altı ay süre ile uzatılmasına ilişkin Başbakanlık tezkeresi (3/899)</t>
  </si>
  <si>
    <t>Başbakanlık tezkeresi (3/899)</t>
  </si>
  <si>
    <t>https://www.tbmm.gov.tr/tutanaklar/TUTANAK/TBMM/d20/c030/tbmm20030112.pdf</t>
  </si>
  <si>
    <t>Yılmaz III</t>
  </si>
  <si>
    <t>ANAP; DSP; DTP</t>
  </si>
  <si>
    <t>Kuzeyden Keşif Harekâtının görev süresinin 31.12.1997 tarihinden itibaren altı ay süreyle uzatılmasına ilişkin Başbakanlık tezekeresi (3/1238)</t>
  </si>
  <si>
    <t>Başbakanlık tezkeresi (3/1238)</t>
  </si>
  <si>
    <t>https://www.tbmm.gov.tr/tutanaklar/TUTANAK/TBMM/d20/c041/tbmm20041037.pdf</t>
  </si>
  <si>
    <t>Kuzeyden Keşif Harekatının görev süresinin 30.6.1998 tarihinden iti- s \ , baren altı ay süre ile uzatılmasına ilişkin Başbakanlık tezkeresi (3/1583)</t>
  </si>
  <si>
    <t>Başbakanlık tezkeresi (3/1583)</t>
  </si>
  <si>
    <t>https://www.tbmm.gov.tr/tutanaklar/TUTANAK/TBMM/d20/c057/tbmm20057112.pdf</t>
  </si>
  <si>
    <t>Kosova kriziyle ilgili olarak oluşturulabilecek Çokuluslu Müşterek Güç’e katılmak üzere Türk Silahlı Kuvvetlerinin yurtdışına gönderilmesine izin verilmesine
ilişkin Başbakanlık tezkeresi (3/1772)</t>
  </si>
  <si>
    <t>Başbakanlık tezkeresi (3/1772)</t>
  </si>
  <si>
    <t>https://www.tbmm.gov.tr/tutanak/donem20/yil4/bas/b004m.htm</t>
  </si>
  <si>
    <t>Kuzeyden Keşif Harekâtının görev süresinin 31.12.1998 tarihinden itibaren altı ay süre ile uzatılmasına ilişkin Başbakanlık tezkeresi (3/1858)</t>
  </si>
  <si>
    <t>Başbakanlık tezkeresi (3/1858)</t>
  </si>
  <si>
    <t>https://www.tbmm.gov.tr/tutanaklar/TUTANAK/TBMM/d20/c068/tbmm20068037.pdf</t>
  </si>
  <si>
    <t>Ecevit II</t>
  </si>
  <si>
    <t>ANAP; DSP; MHP</t>
  </si>
  <si>
    <t>Kuzeyden Keşif Harekâtının görev süresinin 30.6.1999 tarihinden itibaren altı ay süre ile uzatılmasına ilişkin Başbakanlık tezkeresi (3/237)</t>
  </si>
  <si>
    <t>Başbakanlık tezkeresi (3/237)</t>
  </si>
  <si>
    <t>https://www.tbmm.gov.tr/tutanaklar/TUTANAK/TBMM/d21/c003/tbmm21003020.pdf</t>
  </si>
  <si>
    <t>Kuzeyden Keşif Harekâtının görev süresinin 31.12.1999 tarihinden itibaren altı ay süreyle uzatılmasına ilişkin Başbakanlık tezkeresi (3/418)</t>
  </si>
  <si>
    <t>Başbakanlık tezkeresi (3/418)</t>
  </si>
  <si>
    <t>https://www.tbmm.gov.tr/tutanaklar/TUTANAK/TBMM/d21/c022/tbmm21022043.pdf</t>
  </si>
  <si>
    <t>Kuzeyden Keşif Harekâtının görev süresinin 30.6.2000 tarihinden itibaren altı ay süreyle uzatılmasına ilişkin Başbakanlık tezkeresi (3/612)</t>
  </si>
  <si>
    <t>Başbakanlık tezkeresi (3/612)</t>
  </si>
  <si>
    <t>https://www.tbmm.gov.tr/tutanaklar/TUTANAK/TBMM/d21/c038/tbmm21038121.pdf</t>
  </si>
  <si>
    <t>Kuzeyden Keşif Harekâtının görev süresinin 31.12.2000 tarihinden itibaren altı ay süreyle uzatılmasına ilişkin Başbakanlık tezkeresi (3/723)</t>
  </si>
  <si>
    <t>Başbakanlık tezkeresi (3/723)</t>
  </si>
  <si>
    <t>https://www.tbmm.gov.tr/tutanaklar/TUTANAK/TBMM/d21/c050/tbmm21050034.pdf</t>
  </si>
  <si>
    <t>Kuzeyden Keşif Harekâtının görev süresinin 30 Haziran 2001 tarihinden itibaren altı ay süreyle uzatılmasına ilişkin Başbakanlık tezkeresi (3/852)</t>
  </si>
  <si>
    <t>Başbakanlık tezkeresi (3/852)</t>
  </si>
  <si>
    <t>https://www.tbmm.gov.tr/tutanaklar/TUTANAK/TBMM/d21/c068/tbmm21068124.pdf</t>
  </si>
  <si>
    <t>Anayasanın 92 nci ve 117 nci maddeleri uyarınca, gereği, kapsamı, sınırı, zamanı ve süresi hükümetçe belirlenmek üzere,
terörizme karşı başlatılan Sürekli Özgürlük Harekâtı ve devamının icrası kapsamında Türk Silahlı Kuvvetlerinin yabancı ülkelere
gönderilmesi, yabancı silahlı kuvvetler unsurlarının Türkiye'de bulunması ve hükümetçe verilecek izin ve belirlenecek esaslar
çerçevesinde bu kuvvetlerin kullanılması için hükümete izin verilmesine ilişkin Başbakanlık tezkeresi (3/892)</t>
  </si>
  <si>
    <t>Başbakanlık tezkeresi (3/892)</t>
  </si>
  <si>
    <t>https://www.tbmm.gov.tr/tutanak/donem21/yil4/bas/b005m.htm</t>
  </si>
  <si>
    <t>Kuzeyden Keşif Harekâtının görev süresinin 31.12.2001 tarihinden itibaren altı ay süreyle uzatılmasına ilişkin Başbakanlık tezkeresi (3/944)</t>
  </si>
  <si>
    <t>Başbakanlık tezkeresi (3/944)</t>
  </si>
  <si>
    <t>https://www.tbmm.gov.tr/tutanaklar/TUTANAK/TBMM/d21/c080/tbmm21080041.pdf</t>
  </si>
  <si>
    <t>Kuzeyden Keşif Harekâtının görev süresinin 30 Haziran 2002 tarihinden itibaren altı ay süre ile uzatılmasına.ilişkin Başbakanlık tezkeresi (3/1114)</t>
  </si>
  <si>
    <t>Başbakanlık tezkeresi (3/1114)</t>
  </si>
  <si>
    <t>https://www.tbmm.gov.tr/tutanaklar/TUTANAK/TBMM/d21/c098/tbmm21098114.pdf</t>
  </si>
  <si>
    <t>Gül</t>
  </si>
  <si>
    <t>AKP</t>
  </si>
  <si>
    <t>Kuzeyden Keşif Harekâtının görev süresinin 31.12.2002 tarihinden itibaren altı ay süreyle uzatılmasına ilişkin Başbakanlık tezkeresi (3/134)</t>
  </si>
  <si>
    <t>Başbakanlık tezkeresi (3/134)</t>
  </si>
  <si>
    <t>https://www.tbmm.gov.tr/tutanaklar/TUTANAK/TBMM/d22/c002/tbmm22002015.pdf</t>
  </si>
  <si>
    <t>Türk Silahlı Kuvvetlerinin yabancı ülkelere gönderilmesine, yabancı slahı kuvveletr unsurlarının altı ay süreyle Türkiye'de bulunmasına ve muharip unsurların Türkiye dışına intikalleri için gerekli düzenlemelerin yapılmasına Anayasanın 92 nci maddesi uyarınca izin verilmesine ilişkin Başbakanlık tezkeresi (3/189)</t>
  </si>
  <si>
    <t>Başbakanlık tezkeresi (3/189) 01.03.2003</t>
  </si>
  <si>
    <t>https://www.tbmm.gov.tr/tutanak/donem22/yil1/bas/b039m.htm</t>
  </si>
  <si>
    <t>Erdoğan I</t>
  </si>
  <si>
    <t xml:space="preserve"> Gereği kapsamı, sınırı ve zamanı Anayasanın 117 nci maddesine göre millî güvenliğin sağlanmasından ve silahlı kuvvetlerin yurt savunmasına hazırlanmasından Yüce Meclise karşı sorumlu bulunan hükümet tarafından belirlenecek şekilde, Türk Silahlı Kuvvetlerinin Kuzey Irak'a gönderilmesine; etkili bir caydırıcılığın sürdürülmesi amacıyla Kuzey Irak'ta bulunacak bu kuvvetlerin, gerektiğinde, belirlenecek esaslar dairesinde kullanılmasına ve muhtemel bir askerî harekât çerçevesinde yabancı silahlı kuvvetlere mensup hava unsurlarının Türk hava sahasını Türk makamları tarafından belirlenecek esaslara ve kurallara göre kullanmaları için gerekli düzenlemelerin hükümet tarafından yapılmasına Anayasanın 92 nci maddesi uyarınca 6 ay süreyle izin verilmesine ilişkin Başbakanlık tezkeresi (3/221) </t>
  </si>
  <si>
    <t xml:space="preserve">Başbakanlık tezkeresi (3/221) </t>
  </si>
  <si>
    <t xml:space="preserve">https://www.tbmm.gov.tr/develop/owa/td_v2.sayfa_getir?sayfa=302:305&amp;v_meclis=1&amp;v_donem=22&amp;v_yasama_yili=&amp;v_cilt=8&amp;v_birlesim=051 </t>
  </si>
  <si>
    <t xml:space="preserve">Gereği, kapsamı, sınırı ve zamanı hükümet tarafından belirlenecek şekilde Türk Silahlı Kuvvetleri unsurlarının Irak'ta güvenlik ve istikrara katkı yapmak amacıyla Irak'a gönderilmesine ve bu kuvvetlerin görev ve kullanılmasına ilişkin gerekli düzenlemelerin hükümet tarafından yapılmasına Anayasanın 92 nci maddesi uyarınca bir yıl süreyle izin verilmesine ilişkin Başbakanlık tezkeresi (3/361) </t>
  </si>
  <si>
    <t xml:space="preserve">Başbakanlık tezkeresi (3/361) </t>
  </si>
  <si>
    <t>https://www.tbmm.gov.tr/develop/owa/td_v2.goruntule?sayfa_no_ilk=285&amp;sayfa_no_son=290&amp;sayfa_no=290&amp;v_meclis=1&amp;v_donem=22&amp;v_yasama_yili=&amp;v_cilt=27&amp;v_birlesim=003</t>
  </si>
  <si>
    <t>Birleşmiş Milletler Hazır Barış Gücü Düzenlemeleri Sistemine ülkemizce yapılan katkı taahhütlerine ilişkin Ortak Niyet Beyanı,</t>
  </si>
  <si>
    <t>Birleşmiş Milletler Hazır Barış Gücü Düzenlemeleri Sistemine Katkılar Hakkında Türkiye Hükümeti ve Birleşmiş Milletler Arasında Ortak Niyet Beyanının Onaylanmasının Uygun Bulunduğuna Dair Kanun</t>
  </si>
  <si>
    <t>https://www.tbmm.gov.tr/develop/owa/td_v2.goruntule?sayfa_no_ilk=738&amp;sayfa_no_son=761&amp;sayfa_no=762&amp;v_meclis=1&amp;v_donem=22&amp;v_yasama_yili=&amp;v_cilt=31&amp;v_birlesim=023</t>
  </si>
  <si>
    <t>Birleşmiş Milletler Geçici Görev Gücü bünyesinde faaliyette bulunmak amacıyla Türk Silahlı Kuvvetlerinin Lübnan'a gönderilmesine izin verilmesine İlişkin Başbakanlık tezkeresi (3/1104)</t>
  </si>
  <si>
    <t xml:space="preserve"> Başbakanlık tezkeresi (3/1104)</t>
  </si>
  <si>
    <t xml:space="preserve">https://www.tbmm.gov.tr/develop/owa/td_v2.sayfa_getir?sayfa=84:88&amp;v_meclis=1&amp;v_donem=22&amp;v_yasama_yili=&amp;v_cilt=127&amp;v_birlesim=124 </t>
  </si>
  <si>
    <t>Erdoğan II</t>
  </si>
  <si>
    <t>Türk Silahlı Kuvvetleri Deniz Unsurlarının; Korsanlık/Deniz Haydutluğu ve Silahlı Soygun
Eylemleriyle Mücadele Amacıyla Yürütülen Uluslararası Çabalara Destek Vermek Üzere, Gereği,
Kapsamı, Zamanı ve Süresi Hükümetçe Belirlenecek Şekilde Aden Körfezi, Somali Karasuları ve
Açıkları, Arap Denizi ve Mücavir Bölgelerde Görevlendirilmesi ve Bununla İlgili Gerekli Düzenlemelerin Hükümet Tarafından Belirlenecek Esaslara Göre Yapılması İçin Anayasa 'nın 92 'nci Maddesi Uyarınca Hükümete Bir Yıl Süreyle İzin Verilmesine Dair Başbakanlık Tezkeresi (3/682)</t>
  </si>
  <si>
    <t>Başbakanlık Tezkeresi (3/682)</t>
  </si>
  <si>
    <t xml:space="preserve">https://www.tbmm.gov.tr/develop/owa/td_v2.goruntule?sayfa_no_ilk=230&amp;sayfa_no_son=255&amp;sayfa_no=233&amp;v_meclis=1&amp;v_donem=23&amp;v_yasama_yili=&amp;v_cilt=39&amp;v_birlesim=055 </t>
  </si>
  <si>
    <t xml:space="preserve">Türk Silahlı Kuvvetleri deniz unsurlarının; korsanlık/deniz
haydutluğu ve silahlı soygun eylemleriyle mücadele amacıyla yürütülen
uluslararası çabalara destek vermek üzere, gereği, kapsamı, zamanı ve süresi
Hükümetçe belirlenecek şekilde Aden Körfezi, Somali karasuları ve açıkları,
Arap Denizi ve mücavir bölgelerde görevlendirilmesi ve bununla ilgili
gerekli düzenlemelerin Hükümet tarafından belirlenecek esaslara göre
yapılması için Hükümete verilen izin süresinin 10/02/2010 tarihinden
itibaren bir yıl uzatılmasına dair Başbakanlık tezkeresi (3/1073) </t>
  </si>
  <si>
    <t>Başbakanlık tezkeresi (3/1073)</t>
  </si>
  <si>
    <t>https://www.tbmm.gov.tr/tutanaklar/TUTANAK/TBMM/d23/c059/tbmm23059055.pdf</t>
  </si>
  <si>
    <t>Türk Silahlı Kuvvetleri Deniz Unsurlarının; Korsanlık/Deniz Haydutluğu ve Silahlı Soygun Eylemleriyle Mücadele Amacıyla Yürütülen Uluslararası Çabalara Destek Vermek Üzere, Gereği, Kapsamı, Zamanı ve Süresi Hükûmetçe Belirlenecek Şekilde Aden Körfezi, Somali Karasuları ve Açıkları, Arap Denizi ve Mücavir Bölgelerde Görevlendirilmesi ve Bununla İlgili Gerekli Düzenlemelerin Hükûmet Tarafından Belirlenecek Esaslara Göre Yapılması İçin Türkiye Büyük Millet Meclisinin 10/2/2009 Tarihli ve 934 Sayılı Kararıyla Hükûmete Verilen ve 2/2/2010 Tarihli ve 956 Sayılı Kararıyla, Bir Yıl Uzatılan İzin Süresinin Anayasanın 92’nci Maddesi Uyarınca 10/2/2011 Tarihinden İtibaren Bir Yıl Daha Uzatılmasına Dair Başbakanlık Tezkeresi (3/1407)</t>
  </si>
  <si>
    <t>Başbakanlık tezkeresi (3/1407)</t>
  </si>
  <si>
    <t>https://www.tbmm.gov.tr/tutanaklar/TUTANAK/TBMM/d23/c092/tbmm23092060.pdf</t>
  </si>
  <si>
    <t>https://www.tbmm.gov.tr/tutanaklar/TUTANAK/TBMM/d24/c012/tbmm24012056.pdf</t>
  </si>
  <si>
    <t>Başbakanlık tezkeresi (3/1439)</t>
  </si>
  <si>
    <t>https://www.tbmm.gov.tr/tutanaklar/TUTANAK/TBMM/d23/c097/tbmm23097082.pdf</t>
  </si>
  <si>
    <t>Erdoğan III</t>
  </si>
  <si>
    <t>Türk Silahlı Kuvvetleri deniz unsurlarının; korsanlık/deniz haydutluğu ve silahlı soygun eylemleriyle mücadele amacıyla yürütülen uluslararası çabalara destek vermek üzere, gereği, kapsamı, zamanı ve süresi Hükûmetçe belirlenecek şekilde Aden Körfezi, Somali karasuları ve açıkları, Arap Denizi ve mücavir bölgelerde görevlendirilmesi ve bununla ilgili gerekli düzenlemelerin Hükûmet tarafından belirlenecek esaslara göre yapılması için Türkiye Büyük Millet Meclisinin 10/2/2009 tarihli ve 934 sayılı Kararı ile Hükûmete verilen ve 2/2/2010 ve 7/2/2011 tarihli 956 ve 984 sayılı kararları ile birer yıl uzatılan izin süresinin Anayasa’nın 92 nci maddesi uyarınca 10/2/2012 tarihinden itibaren bir yıl daha uzatılmasına dair Başbakanlık tezkeresi (3/732)</t>
  </si>
  <si>
    <t>Başbakanlık tezkeresi (3/732)</t>
  </si>
  <si>
    <t>Türk Silahlı Kuvvetleri deniz unsurlarının; korsanlık/deniz haydutluğu ve silahlı soygun eylemleriyle mücadele amacıyla yürütülen uluslararası çabalara destek vermek üzere gereği, kapsamı, zamanı ve süresi Hükûmetçe belirlenecek şekilde Aden Körfezi, Somali kara suları ve açıkları, Arap Denizi ve mücavir bölgelerde görevlendirilmesi ve bununla ilgili gerekli düzenlemelerin Hükûmet tarafından belirlenecek esaslara göre yapılması için Türkiye Büyük Millet Meclisinin 10/2/2009 tarihli ve 934 sayılı Kararı'yla Hükûmete verilen ve 2/2/2010, 7/2/2011 ve 25/1/2012 tarihli 956, 984 ve 1008 sayılı kararları ile birer yıl uzatılan izin süresinin Anayasa'nın 92'nci maddesi uyarınca 10/2/2013 tarihinden itibaren bir yıl daha uzatılmasına dair Başbakanlık tezkeresi (3/1091)</t>
  </si>
  <si>
    <t>Başbakanlık tezkeresi (3/1091)</t>
  </si>
  <si>
    <t>https://www.tbmm.gov.tr/develop/owa/Tutanak_B_SD.birlesim_baslangic?P4=21886&amp;P5=B&amp;PAGE1=1&amp;PAGE2=99</t>
  </si>
  <si>
    <t>Blair II</t>
  </si>
  <si>
    <t>Labour</t>
  </si>
  <si>
    <t>Iraq - Declaration of War</t>
  </si>
  <si>
    <t>https://www.publicwhip.org.uk/division.php?date=2003-03-18&amp;number=118&amp;display=allpossible</t>
  </si>
  <si>
    <t>Cameron I</t>
  </si>
  <si>
    <t>UK Armed Forces in Afghanistan</t>
  </si>
  <si>
    <t>https://www.publicwhip.org.uk/division.php?date=2010-09-09&amp;house=commons&amp;number=60</t>
  </si>
  <si>
    <t>United Nations Security Council Resolution 1973 - Libya</t>
  </si>
  <si>
    <t>https://www.publicwhip.org.uk/division.php?date=2011-03-21&amp;house=commons&amp;number=235</t>
  </si>
  <si>
    <t>Syria and the Use of Chemical Weapons</t>
  </si>
  <si>
    <t>https://www.publicwhip.org.uk/division.php?date=2013-08-29&amp;house=commons&amp;number=70</t>
  </si>
  <si>
    <t>UK Air Strikes against ISIL in Iraq</t>
  </si>
  <si>
    <t>https://www.publicwhip.org.uk/division.php?date=2014-09-26&amp;house=commons&amp;number=53</t>
  </si>
  <si>
    <t>Cameron II</t>
  </si>
  <si>
    <t>CP</t>
  </si>
  <si>
    <t>UK Air Strikes against ISIL in Syria</t>
  </si>
  <si>
    <t>https://www.publicwhip.org.uk/division.php?date=2015-12-02&amp;house=commons&amp;number=139</t>
  </si>
  <si>
    <t>USA</t>
  </si>
  <si>
    <t>G.H.W. Bush</t>
  </si>
  <si>
    <t>Republicans</t>
  </si>
  <si>
    <t>Authorization for Use of Military Force Against Iraq Resolution</t>
  </si>
  <si>
    <t>H. J.Res. 77</t>
  </si>
  <si>
    <t>http://clerk.house.gov/evs/1991/roll009.xml</t>
  </si>
  <si>
    <t>S. J. RES. 2</t>
  </si>
  <si>
    <t>https://www.senate.gov/legislative/LIS/roll_call_lists/roll_call_vote_cfm.cfm?congress=102&amp;session=1&amp;vote=00002</t>
  </si>
  <si>
    <t>Clinton I</t>
  </si>
  <si>
    <t>Democrats</t>
  </si>
  <si>
    <t>Resolution Authorizing the Use of United States Armed Forces in Somalia</t>
  </si>
  <si>
    <t>Somalia</t>
  </si>
  <si>
    <t>S. J. Res. 45 Engrossed Amendment House</t>
  </si>
  <si>
    <t>http://clerk.house.gov/evs/1993/roll183.xml</t>
  </si>
  <si>
    <t>Clinton II</t>
  </si>
  <si>
    <t>Peacekeeping Operations in Kosovo Resolution</t>
  </si>
  <si>
    <t xml:space="preserve">H. Con. Res. 42 </t>
  </si>
  <si>
    <t>http://clerk.house.gov/evs/1999/roll049.xml</t>
  </si>
  <si>
    <t>Authorizing the President of the United States to conduct military air operations and missile strikes against the Federal Republic of Yugoslavia (Serbia and Montenegro)</t>
  </si>
  <si>
    <t>S. CON. RES. 21</t>
  </si>
  <si>
    <t>https://www.senate.gov/legislative/LIS/roll_call_lists/roll_call_vote_cfm.cfm?congress=106&amp;session=1&amp;vote=00057</t>
  </si>
  <si>
    <t>Authorizing the President of the United States to Conduct Military Air Operations and Missile Strikes Against the Federal Republic of Yugoslavia (Serbia and Montenegro)</t>
  </si>
  <si>
    <t>http://clerk.house.gov/evs/1999/roll103.xml</t>
  </si>
  <si>
    <t>G.W. Bush</t>
  </si>
  <si>
    <t>To authorize the use of United States Armed Forces against those responsible for the recent attacks launched against the United States</t>
  </si>
  <si>
    <t>H.J.Res.64</t>
  </si>
  <si>
    <t>http://clerk.house.gov/evs/2001/roll342.xml</t>
  </si>
  <si>
    <t>Authorization for Use of Military Force</t>
  </si>
  <si>
    <t>S.J. Res. 23</t>
  </si>
  <si>
    <t>https://www.senate.gov/legislative/LIS/roll_call_lists/roll_call_vote_cfm.cfm?congress=107&amp;session=1&amp;vote=00281</t>
  </si>
  <si>
    <t>To Authorize the Use of United States Armed Forces Against Iraq</t>
  </si>
  <si>
    <t>H.J.Res. 114</t>
  </si>
  <si>
    <t>http://clerk.house.gov/evs/2002/roll455.xml</t>
  </si>
  <si>
    <t>https://www.senate.gov/legislative/LIS/roll_call_lists/roll_call_vote_cfm.cfm?congress=107&amp;session=2&amp;vote=00237</t>
  </si>
  <si>
    <t>Obama</t>
  </si>
  <si>
    <t>Authorizing the limited use of the United States Armed Forces in support of the NATO mission in Libya</t>
  </si>
  <si>
    <t>H.J.Res.68</t>
  </si>
  <si>
    <t>http://clerk.house.gov/evs/2011/roll493.xml</t>
  </si>
  <si>
    <t>Clinton</t>
  </si>
  <si>
    <t>Directing the President to Remove United States Armed Forces from the Republic of Bosnia and Herzegovina</t>
  </si>
  <si>
    <t>H. Con. Res. 227</t>
  </si>
  <si>
    <t>https://clerk.house.gov/Votes/199858</t>
  </si>
  <si>
    <t>Trump</t>
  </si>
  <si>
    <t>A joint resolution to direct the removal of United States Armed Forces from hostilities in the Republic of Yemen that have not been authorized by Congress.</t>
  </si>
  <si>
    <t>S. J. Res. 54</t>
  </si>
  <si>
    <t>https://www.senate.gov/legislative/LIS/roll_call_lists/roll_call_vote_cfm.cfm?congress=115&amp;session=2&amp;vote=00266</t>
  </si>
  <si>
    <t>A joint resolution to direct the removal of United States Armed Forces from hostilities in the Republic of Yemen that have not been authorized by Congress</t>
  </si>
  <si>
    <t>S. J. Res. 7</t>
  </si>
  <si>
    <t>https://www.congress.gov/bill/116th-congress/senate-joint-resolution/7/actions</t>
  </si>
  <si>
    <t>Directing the removal of United States Armed Forces from hostilities in the Republic of Yemen that have not been authorized by Congress</t>
  </si>
  <si>
    <t>H. J. Res. 37</t>
  </si>
  <si>
    <t>https://clerk.house.gov/Votes/201983</t>
  </si>
  <si>
    <t xml:space="preserve">Joint resolution regarding United States policy toward Haiti </t>
  </si>
  <si>
    <t>S.J.Res. 229</t>
  </si>
  <si>
    <t>https://www.senate.gov/legislative/LIS/roll_call_lists/roll_call_vote_cfm.cfm?congress=103&amp;session=2&amp;vote=00323</t>
  </si>
  <si>
    <t xml:space="preserve">Limited Authorization for the United States-led Force in Haiti Resolution </t>
  </si>
  <si>
    <t>H.J.Res.416</t>
  </si>
  <si>
    <t>https://clerk.house.gov/Votes/1994500</t>
  </si>
  <si>
    <t>To prohibit the use of funds appropriated to the Department of Defense from being used for the deployment on the ground of U.S. Armed Forces in the Republic of Bosnia-Herzegovina</t>
  </si>
  <si>
    <t>H.R. 2606</t>
  </si>
  <si>
    <t>https://clerk.house.gov/Votes/1995814</t>
  </si>
  <si>
    <t>https://www.senate.gov/legislative/LIS/roll_call_lists/roll_call_vote_cfm.cfm?congress=104&amp;session=1&amp;vote=00601</t>
  </si>
  <si>
    <t>To prohibit federal funds from being used for the deployment on the ground of U.S. Armed Forces in the Republic of Bosnia-Herzegovina as part of any peacekeeping operations</t>
  </si>
  <si>
    <t>H.R. 2770</t>
  </si>
  <si>
    <t>https://clerk.house.gov/Votes/1995856</t>
  </si>
  <si>
    <t>A joint resolution concerning the deployment of U.S. Armed Forces in Bosnia-Herzegovina</t>
  </si>
  <si>
    <t>S.J.Res.44</t>
  </si>
  <si>
    <t>https://www.senate.gov/legislative/LIS/roll_call_lists/roll_call_vote_cfm.cfm?congress=104&amp;session=1&amp;vote=00603</t>
  </si>
  <si>
    <t>Department of Defense and Emergency Supplemental Appropriations for Recovery from and Response to Terrorist Attacks on the United States Act, 2002</t>
  </si>
  <si>
    <t>H.R. 3338</t>
  </si>
  <si>
    <t>https://clerk.house.gov/Votes/2001510</t>
  </si>
  <si>
    <t>https://www.senate.gov/legislative/LIS/roll_call_lists/roll_call_vote_cfm.cfm?congress=107&amp;session=1&amp;vote=00380</t>
  </si>
  <si>
    <t>Emergency Wartime Supplemental Appropriations Act, 2003</t>
  </si>
  <si>
    <t>H.R. 1559</t>
  </si>
  <si>
    <t>https://clerk.house.gov/Votes/2003108</t>
  </si>
  <si>
    <t xml:space="preserve">S. 762 Supplemental Appropriations Act to Support Department of Defense Operations in Iraq for Fiscal Year 2003 </t>
  </si>
  <si>
    <t>S. 762</t>
  </si>
  <si>
    <t>https://www.senate.gov/legislative/LIS/roll_call_lists/roll_call_vote_cfm.cfm?congress=108&amp;session=1&amp;vote=00125</t>
  </si>
  <si>
    <t xml:space="preserve">Emergency Supplemental Appropriations Act for Defense and for the Reconstruction of Iraq and Afghanistan, 2004 </t>
  </si>
  <si>
    <t>Iraq, War on Terror</t>
  </si>
  <si>
    <t>H.R. 3289</t>
  </si>
  <si>
    <t>https://clerk.house.gov/Votes/2003601</t>
  </si>
  <si>
    <t xml:space="preserve">Emergency Supplemental Appropriations for Iraq and Afghanistan Security and Reconstruction Act, 2004 </t>
  </si>
  <si>
    <t>S. 1689</t>
  </si>
  <si>
    <t>https://www.senate.gov/legislative/LIS/roll_call_lists/roll_call_vote_cfm.cfm?congress=108&amp;session=1&amp;vote=00400</t>
  </si>
  <si>
    <t xml:space="preserve">Iraq War Supplemental Appropriations </t>
  </si>
  <si>
    <t>H.R. 4156</t>
  </si>
  <si>
    <t>https://www.congress.gov/bill/110th-congress/house-bill/4156/all-actions?overview=closed&amp;q=%7B%22roll-call-vote%22%3A%22all%22%7D</t>
  </si>
  <si>
    <t>https://www.senate.gov/legislative/LIS/roll_call_lists/roll_call_vote_cfm.cfm?congress=110&amp;session=1&amp;vote=00411</t>
  </si>
  <si>
    <t>FY2005 Supplemental Appropriations for Iraq and Afghanistan, Tsunami Relief, and Other Activities.</t>
  </si>
  <si>
    <t>H.R. 1268</t>
  </si>
  <si>
    <t>https://clerk.house.gov/Votes/2005161</t>
  </si>
  <si>
    <t>https://www.senate.gov/legislative/LIS/roll_call_lists/roll_call_vote_cfm.cfm?congress=109&amp;session=1&amp;vote=00117</t>
  </si>
  <si>
    <t>Emergency Supplemental Appropriations Act for Defense, the Global War on Terror, and Hurricane Recovery, 2006</t>
  </si>
  <si>
    <t>H.R. 4939</t>
  </si>
  <si>
    <t>https://clerk.house.gov/Votes/2006257</t>
  </si>
  <si>
    <t>https://www.senate.gov/legislative/LIS/roll_call_lists/roll_call_vote_cfm.cfm?congress=109&amp;session=2&amp;vote=00171</t>
  </si>
  <si>
    <t>ROM</t>
  </si>
  <si>
    <t>Ciorbea</t>
  </si>
  <si>
    <t>Parliament Decision no. 25 of December 19, 1996 on approving Romania's participation in the Stabilization Force (SFOR) in the Republic of Bosnia and Herzegovina</t>
  </si>
  <si>
    <t>http://www.cdep.ro/pls/steno/steno2015.stenograma?ids=5017&amp;idm=16&amp;idl=2</t>
  </si>
  <si>
    <t>Parliament Decision no. 3 of April 10, 1997 on approving Romania's participation in the Multinational Protection Force in Albania</t>
  </si>
  <si>
    <t>http://www.cdep.ro/pls/steno/steno2015.stenograma?ids=943&amp;idm=4&amp;idl=2</t>
  </si>
  <si>
    <t>Parliament Decision no. 9 of June 9, 1997 on approving Romania's participation in the establishment of the Strategic Stabilization Force Reserve (SFOR) in Bosnia and Herzegovina</t>
  </si>
  <si>
    <t>http://www.cdep.ro/pls/steno/steno2015.stenograma?ids=1028&amp;idm=4&amp;idl=2</t>
  </si>
  <si>
    <t>Parliament Decision no. 5 of March 24, 1998 on approving the supplementation of the infantry battalion within the Strategic Reserve for the Stabilization Force (SFOR)</t>
  </si>
  <si>
    <t>http://www.cdep.ro/pls/steno/steno2015.stenograma?ids=1241&amp;idm=3&amp;idl=2</t>
  </si>
  <si>
    <t>Vasile</t>
  </si>
  <si>
    <t>Parliament Decision no. 18 of June 10, 1998 on approving Romania's participation in the International Police Group (I.P.T.F.) in Bosnia and Herzegovina and in the "stand-by" / O.N.U.</t>
  </si>
  <si>
    <t>IPTF Bosnia-Herzegovina; UN Standby Arrangement System (UNSAS)</t>
  </si>
  <si>
    <t>http://www.cdep.ro/pls/steno/steno2015.stenograma?ids=1461&amp;idm=3&amp;idl=2</t>
  </si>
  <si>
    <t>Parliament Decision no. 21 of June 18, 1998 approving the continued participation of Romania in the International Peacekeeping Force in the Republic of Bosnia and Herzegovina, from 21 June 1998 to 30 June 1999</t>
  </si>
  <si>
    <t>http://www.cdep.ro/pls/steno/steno2015.stenograma?ids=5452&amp;idm=5&amp;idl=2</t>
  </si>
  <si>
    <t>Parliament Decision no. 42 of October 28, 1998 on the approval by the Parliament of Romania's participation in the O.S.C.E. verification mission in Kosovo, as well as in the aerial surveillance mission in Kosovo</t>
  </si>
  <si>
    <t>http://www.cdep.ro/pls/steno/steno2015.stenograma?ids=2161&amp;idm=2&amp;idl=2</t>
  </si>
  <si>
    <t xml:space="preserve"> </t>
  </si>
  <si>
    <t>http://www.cdep.ro/pls/steno/steno2015.stenograma?ids=3384&amp;idm=5&amp;idl=2</t>
  </si>
  <si>
    <t>Parliament Decision no. 17 of June 17, 1999 approving the continued participation of Romania in the Stabilization Force in the Republic of Bosnia and Herzegovina (SFOR), from 1 July 1999 until 30 June 2000</t>
  </si>
  <si>
    <t>http://www.cdep.ro/pls/steno/steno2015.stenograma?ids=5024&amp;idl=2</t>
  </si>
  <si>
    <t xml:space="preserve">Parliament Decision no. 27 of June 23, 1999 on the extension of the mandate of the contingent of 20 Romanian police officers from the International Police Group (IPTF) in Bosnia and Herzegovina, Romania's participation with 25 police officers in the UN Mission in Kosovo, the redeployment of Romanian police officers from the International Police Group in Kosovo ( IPTF) in Bosnia and Herzegovina and participation with 10 liaison officers from the Ministry of National Defense in the UN Mission in Kosovo
</t>
  </si>
  <si>
    <t>IPTF Bosnia-Herzegovina, UNMIK</t>
  </si>
  <si>
    <t>Parliament Decision no. 30 of September 9, 1999 on approving Romania's participation with 11 liaison officers / observers from the Ministry of National Defense in the UN Peacekeeping Mission in the Democratic Republic of Congo</t>
  </si>
  <si>
    <t xml:space="preserve">Parliament Decision no. 52 of November 29, 1999 on supplementing the number of Romanian police officers participating in the O.N.U. Mission in Kosovo (Federal Republic of Yugoslavia) with 20 police officers, in the composition of the International Police Group
</t>
  </si>
  <si>
    <t>Parliament Decision no. 51 of November 29, 1999 on Romania's participation with a field military hospital and 20 staff officers in the KFOR International Peace Force in Kosovo (Federal Republic of Yugoslavia)</t>
  </si>
  <si>
    <t>Isarescu</t>
  </si>
  <si>
    <t>Parliament Decision no. 3 of March 8, 2000 on approving the extension of the mandate of the 26th Infantry Battalion "Neagoe Basarab" of the Strategic Stabilization Force Reserve (SFOR) to carry out missions in support of KFOR in Kosovo (Federal Republic of Yugoslavia)</t>
  </si>
  <si>
    <t>SFOR; KFOR</t>
  </si>
  <si>
    <t>http://www.cdep.ro/pls/steno/steno2015.stenograma?ids=4916&amp;idm=5&amp;idl=2</t>
  </si>
  <si>
    <t>Parliament Decision no. 1 of March 8, 2000 on supplementing Romania's contribution to the UN Peacekeeping Mission in the Democratic Republic of the Congo with 9 liaison officers / observers from the Ministry of National Defense</t>
  </si>
  <si>
    <t>http://www.cdep.ro/pls/steno/steno2015.stenograma?ids=4916&amp;idm=3&amp;idl=2</t>
  </si>
  <si>
    <t>Parliament Decision no. 19 of June 7, 2000 on approving the addition of 24 Romanian police officers to the United Nations Mission in Kosovo (UNMIK-Kosovo), Federal Republic of Yugoslavia</t>
  </si>
  <si>
    <t>Parliament Decision no. 22 of June 27, 2000 on approving Romania's further participation in the Stabilization Force in the Republic of Bosnia and Herzegovina (SFOR)</t>
  </si>
  <si>
    <t>Parliament Decision no. 30 of September 20, 2000 on Romania's participation in the UN peacekeeping mission in Ethiopia and Eritrea with 8 liaison officers from the Ministry of National Defense</t>
  </si>
  <si>
    <t>http://www.cdep.ro/pls/steno/steno2015.stenograma?ids=4967&amp;idm=3&amp;idl=2</t>
  </si>
  <si>
    <t>Parliament Decision no. 29 of September 20, 2000 on supplementing Romania's participation in the UN Peacekeeping Mission in the Democratic Republic of the Congo with 20 soldiers from the Ministry of National Defense</t>
  </si>
  <si>
    <t>http://www.cdep.ro/pls/steno/steno2015.stenograma?ids=4967&amp;idm=2&amp;idl=2</t>
  </si>
  <si>
    <t>Nastase I</t>
  </si>
  <si>
    <t>Parliament Decision no. 1 of February 7, 2001 on the continuation of Romania's participation in the KFOR Mission with the existing troops in Kosovo and their supplementation</t>
  </si>
  <si>
    <t>http://www.cdep.ro/pls/steno/steno2015.stenograma?ids=5055&amp;idm=4&amp;idl=2</t>
  </si>
  <si>
    <t>Parliament Decision no. 13 of June 14, 2001
on continuing Romania's participation in the Stabilization Force in Bosnia and Herzegovina (SFOR) with existing staff and supplementing them</t>
  </si>
  <si>
    <t>http://www.cdep.ro/pls/steno/steno2015.stenograma?ids=8156&amp;idm=2&amp;idl=2</t>
  </si>
  <si>
    <t>Parliament Decision no. 22 of September 19, 2001 regarding supplementing Romania's participation in the Stabilization Force in Bosnia and Herzegovina (SFOR) and the Peacekeeping Force in Kosovo, Federal Republic of Yugoslavia (KFOR), with forces from the Ministry of National Defense</t>
  </si>
  <si>
    <t>http://www.cdep.ro/pls/steno/steno2015.stenograma?ids=5150&amp;idm=3&amp;idl=2</t>
  </si>
  <si>
    <t>Parliament Decision no. 21 of September 19, 2001, on Romania's participation, together with NATO member states, in actions to combat international terrorism</t>
  </si>
  <si>
    <t>http://www.cdep.ro/pls/steno/steno2015.stenograma?ids=5150&amp;idm=2&amp;idl=2</t>
  </si>
  <si>
    <t>Parliament Decision no. 29 of 15 November 2001 on the replacement in the Strategic Reserve of the Stabilization Force of Bosnia and Herzegovina (SFOR) and the Multinational Peacekeeping Force in Kosovo (KFOR) of one infantry battalion with another infantry battalion, and subsequently depending on the training needs and based on the consultation with NATO, the change of unit by the Ministry of National Defense.</t>
  </si>
  <si>
    <t>http://www.cdep.ro/pls/steno/steno2015.stenograma?ids=5173&amp;idm=7&amp;idl=2</t>
  </si>
  <si>
    <t>Parliament Decision no. 30 of 15 November 2001 regarding extending Romania's participation in peacekeeping missions in the Balkans, within SFOR, KFOR and in Macedonia</t>
  </si>
  <si>
    <t>SFOR; KFOR; Macedonia</t>
  </si>
  <si>
    <t>http://www.cdep.ro/pls/steno/steno2015.stenograma?ids=5173&amp;idm=8&amp;idl=2</t>
  </si>
  <si>
    <t>Parliament Decision no. 38 of December 21, 2001 regarding the participation of Romania in the international assistance force in Afghanistan, as well as the empowerment of the Government to establish the forces, means, financing and conditions under which participation in this mission will be ensured.</t>
  </si>
  <si>
    <t>Parliament Decision no. 1 of 14 February 2002 on extending Romania's participation in the capabilities of the C4I system within the KFOR mission in Kosovo</t>
  </si>
  <si>
    <t>http://www.cdep.ro/pls/steno/steno2015.stenograma?ids=5202&amp;idm=3&amp;idl=2</t>
  </si>
  <si>
    <t>Parliament Decision no. 4 of March 20, 2002 on supplementing Romania's participation in Operation "FINGAL" in Afghanistan, with 10 staff officers from the Ministry of National Defense</t>
  </si>
  <si>
    <t>http://www.cdep.ro/pls/steno/steno.stenograma?ids=5273&amp;idm=3&amp;idl=2</t>
  </si>
  <si>
    <t>Parliament Decision no. 15 of April 30, 2002 on Romania's participation in the Operation "Enduring Freedom" in Afghanistan</t>
  </si>
  <si>
    <t>http://www.cdep.ro/pls/steno/steno.stenograma?ids=5263&amp;idm=3&amp;idl=2</t>
  </si>
  <si>
    <t>Parliament Decision no. 16 of May 29, 2002 on Romania's participation in the United Nations Standby Arrangement System</t>
  </si>
  <si>
    <t>http://www.cdep.ro/pls/steno/steno2015.stenograma?ids=5301&amp;idm=2&amp;idl=2</t>
  </si>
  <si>
    <t xml:space="preserve">Parliament Decision no. 19 of June 20, 2002 on the participation of Romania in the Command of the Multinational Peacekeeping Force in Kosovo (KFOR) and the Command of the Stabilization Force in Bosnia and Herzegovina (SFOR), during the entire period of military actions
</t>
  </si>
  <si>
    <t>http://www.cdep.ro/pls/steno/steno2015.stenograma?ids=5310&amp;idm=3&amp;idl=2</t>
  </si>
  <si>
    <t>Parliament Decision no. 29 of November 4, 2002 on the participation of Romania in the European Union Police Mission (EUPM) in Bosnia and Herzegovina with 75 police officers in the waiting force and in the area of ​​responsibility</t>
  </si>
  <si>
    <t>http://www.cdep.ro/pls/steno/steno2015.stenograma?ids=5347&amp;idm=2&amp;idl=2</t>
  </si>
  <si>
    <t>Parliament Decision no. 2 of February 12, 2003 on Romania's participation in the Coalition against Iraq</t>
  </si>
  <si>
    <t>http://www.cdep.ro/pls/steno/steno2015.stenograma?ids=5382&amp;idm=5&amp;idl=2</t>
  </si>
  <si>
    <t>Parliament Decision no. 1 of February 12, 2003 on supplementing Romania's participation in the Central American Command</t>
  </si>
  <si>
    <t>http://www.cdep.ro/pls/steno/steno2015.stenograma?ids=5382&amp;idm=3&amp;idl=2</t>
  </si>
  <si>
    <t xml:space="preserve">Parliament Decision no. 10 of April 17, 2003 on Romania's participation in the implementation of the concept of "teams for the reconstruction of the provinces of Afghanistan"
</t>
  </si>
  <si>
    <t>http://www.cdep.ro/pls/steno/steno2015.stenograma?ids=5417&amp;idm=4&amp;idl=2</t>
  </si>
  <si>
    <t>Parliament Decision no. 9 of April 17, 2003 on Romania's participation in the European Union military mission in the former Yugoslav Republic of Macedonia (FYROM)</t>
  </si>
  <si>
    <t>http://www.cdep.ro/pls/steno/steno2015.stenograma?ids=5417&amp;idm=3&amp;idl=2</t>
  </si>
  <si>
    <t>Parliament Decision no. 12 of 7 May 2003 for the approval of Romania's participation, between May 2003 and July 2004, in the process of setting up and operationalizing the new Afghan army</t>
  </si>
  <si>
    <t>http://www.cdep.ro/pls/steno/steno2015.stenograma?ids=5457&amp;idm=2&amp;idl=2</t>
  </si>
  <si>
    <t>Nastase II</t>
  </si>
  <si>
    <t>PSD</t>
  </si>
  <si>
    <t>Parliament Decision no. 15 of June 19, 2003 on the participation of Romania with units and subunits from the Ministry of National Defense in the fourth phase of stabilization and reconstruction in Iraq</t>
  </si>
  <si>
    <t>http://www.cdep.ro/pls/steno/steno2015.stenograma?ids=5494&amp;idm=2&amp;idl=2</t>
  </si>
  <si>
    <t>Parliament Decision no. 17 of June 26, 2003 on supplementing Romania's participation with special formations from the Ministry of National Defense in the stabilization and reconstruction missions in Iraq</t>
  </si>
  <si>
    <t>http://www.cdep.ro/pls/steno/steno2015.stenograma?ids=5499&amp;idm=3&amp;idl=2</t>
  </si>
  <si>
    <t>Parliament Decision no. 22 of October 9, 2003 on supplementing Romania's participation with personnel from the Ministry of National Defense in the fourth phase of stabilization and reconstruction in Iraq</t>
  </si>
  <si>
    <t>http://www.cdep.ro/pls/steno/steno2015.stenograma?ids=5554&amp;idm=3&amp;idl=2</t>
  </si>
  <si>
    <t>Parliament Decision no. 1 of March 2, 2004 on supplementing Romania's participation with military personnel in Afghanistan</t>
  </si>
  <si>
    <t>http://www.cdep.ro/pls/steno/steno2015.stenograma?ids=5621&amp;idm=2&amp;idl=2</t>
  </si>
  <si>
    <t>Boc I</t>
  </si>
  <si>
    <t>Parliament Decision no. 32/2008 on the continuation of Romania's participation with units and subunits from the Ministry of Defense in the stabilization of the Republic of Iraq</t>
  </si>
  <si>
    <t>http://www.cameradeputatilor.ro/pls/steno/steno2015.stenograma?ids=6564&amp;idm=8&amp;idl=2</t>
  </si>
  <si>
    <t>Ciolos</t>
  </si>
  <si>
    <t>Caretaker</t>
  </si>
  <si>
    <t>Parliament Decision no. 1/2016 - Request of Mr. Klaus Werner Iohannis, President of Romania, regarding the approval of the participation of the Romanian Army, in 2016, exclusively on the territory of the Republic of Iraq, in training activities of the Iraqi security forces within the International Anti - ISIL / Daesh Coalition, led by the USA, with a total strength of up to 50 soldiers, comprising instructors, staff and support personnel in the fields of: special forces, military intelligence and ground forces.
Debate and adoption of the Draft Decision on the participation of the Romanian Army, in 2016, exclusively on the territory of the Republic of Iraq, in training activities of the Iraqi security forces within the International Anti - ISIL / Daesh Coalition, led by the United States of America</t>
  </si>
  <si>
    <t>http://www.cdep.ro/pls/steno/steno2015.stenograma?ids=7620&amp;idm=2&amp;idl=1</t>
  </si>
  <si>
    <t>Grindeanu</t>
  </si>
  <si>
    <t>Parliament Decision no. 6/2017 - Request of the President of Romania, Mr. Klaus-Werner Iohannis, regarding the approval of the continuation of the Romanian Army mission, starting with 2017, within the International Anti-ISIL / Daesh Coalition, with a total strength of up to 50 soldiers and the expansion of the deployment area inclusion of the territory of the state of Kuwait.</t>
  </si>
  <si>
    <t>http://www.cdep.ro/pls/steno/steno2015.stenograma?ids=7744&amp;idm=3&amp;idl=1</t>
  </si>
  <si>
    <t>Dancila I</t>
  </si>
  <si>
    <t>Parliament Decision no. 40/2018 - Adoption of the Draft Decision on the Letter of the President of Romania, Mr. Klaus-Werner Iohannis, regarding the participation of the Romanian Army forces and the Ministry of Internal Affairs in missions and operations outside the national territory in 2019 and expanding the deployment area of ​​the armed forces by including Qatar territory within the International Anti-ISIL / Daesh Coalition</t>
  </si>
  <si>
    <t>unspecified missions; Anti-ISIL/Daesh Coalition</t>
  </si>
  <si>
    <t>CD+SE 21130</t>
  </si>
  <si>
    <t>http://www.cdep.ro/pls/steno/eVot2015.Nominal?idv=21130</t>
  </si>
  <si>
    <t>Meciar III</t>
  </si>
  <si>
    <t>Hlasovanie o navrhu vlady na vyslanie vojakov do zahranicia v ramci mierovych sil OSN</t>
  </si>
  <si>
    <t>Session 18 Mar 1993, vote nr 4</t>
  </si>
  <si>
    <t>Meciar V</t>
  </si>
  <si>
    <t>Hlasovanie o navrhu vlady SR na vyslanie vojenskych pozorovatelov do misie OSN UNOMIL a UNOMUR</t>
  </si>
  <si>
    <t>Session 18 Nov 1993, vote nr 25</t>
  </si>
  <si>
    <t>Moravcik</t>
  </si>
  <si>
    <t>Návrh na vyslanie vojenských pozorovatelov Armády SR v rámci KBSE do Národného Karabachu (tlac 528)</t>
  </si>
  <si>
    <t>Session 34, Print 528</t>
  </si>
  <si>
    <t>Meciar VI</t>
  </si>
  <si>
    <t xml:space="preserve">Návrh na vyslanie príslušníkov Armády SR mimo územia SR za úcelom vykonania bojových strelieb útvarov letectva a PVO do Polskej republiky (tlac 160) Hlasovanie o návrhu uznesenia na vyslanie </t>
  </si>
  <si>
    <t>Session 8, Print 160</t>
  </si>
  <si>
    <t>vrh na vyslanie Vojsk civilnej ochrany MV SR na spolocné cvicenie mimo územia SR v roku 1996 (tlac 471) Hlasovanie o návrhu uznesenia</t>
  </si>
  <si>
    <t>Session 17, Print 471</t>
  </si>
  <si>
    <t>Dzurinda I</t>
  </si>
  <si>
    <t>Navrh na vyslanie piatich prislusnikov Armady SR do Kosovskej overovatelskej misie Organizacie pre_x000D_ bezpecnosť a spolupracu v Europe (tlac 69)._x000D_ Hlasovanie o navrhu uznesenia.</t>
  </si>
  <si>
    <t>Kosovo OSCE mission</t>
  </si>
  <si>
    <t>Navrh na zvysenie poctov do 100 vojakov v jednotke Armady SR vyslanej do mierovej misie UNDOF_x000D_ na Golanskych vysinach v ramci praporu mierovych sil Rakuskej republiky v roku 1999 ... (tlac 97)._x000D_ Hlasovanie o navrhu uznesenia.</t>
  </si>
  <si>
    <t>Navrh na vyslanie zenijnej jednotky Armady SR do humanitnej podpornej operacie ALLIED HARBOUR (Spojenecky_x000D_ pristav) pod vedenim NATO v Albansku (tlac 213)._x000D_ Hlasovanie o navrhu uznesenia.</t>
  </si>
  <si>
    <t>Navrh na vyslanie zenijnej jednotky Armady Slovenskej republiky do medzinarodnych mierovych sil KFOR_x000D_ na uzemi Kosova (tlac 279)._x000D_ Hlasovanie o navrhu uznesenia.</t>
  </si>
  <si>
    <t>Navrh vlady na vyslanie vojakov Armady SR do Ochranneho kontingentu OSN v Irackej republike, do mierovej_x000D_ misie OSN v Konzskej republike, do misie OBSE v Gruzinskej republike a na rozsirenie ... (tlac 662)._x000D_ Hlasovanie o navrhu uznesenia.</t>
  </si>
  <si>
    <t>Navrh na vyslanie zenijnej jednotky a vojenskych pozorovatelov Armady SR do mierovej misie OSN_x000D_ v Etiopii a Eritrei (tlac 775)._x000D_ Hlasovanie o navrhu uzznesenia.</t>
  </si>
  <si>
    <t xml:space="preserve">Navrh na vyslanie jednotky Armady SR do mierovej misie OSN UNFICYP na Cypre (tlac 980)._x000D_ Hlasovanie o navrhu uznesenia._x000D_ </t>
  </si>
  <si>
    <t>Navrh na vyslanie vojenskej polnej nemocnice Armady SR do mierovej misie OSN UNTAET vo Vychodnom Timore_x000D_ (tlac 1018)._x000D_ Hlasovanie o navrhu uznesenia.</t>
  </si>
  <si>
    <t>Navrh na vyslanie jednotky Armady Slovenskej republiky do spolocneho ceskoslovenskeho praporu v ramci sil KFOR (tlac 1136)._x000D_ Hlasovanie o navrhu poslanca Morica - NR SR nie je uznasaniaschopna.</t>
  </si>
  <si>
    <t>Navrh na vyslanie vrtulnikovej jednotky Armady Slovenskej republiky do operacie na podporu mieru pod vedenim NATO - SFOR (tlac 1630)._x000D_ Hlasovanie o navrhu uznesenia.</t>
  </si>
  <si>
    <t>Dzurinda II</t>
  </si>
  <si>
    <t>Navrh na vyslanie jednotky radiacnej, chemickej a biologickej ochrany ozbrojenych sil Slovenskej republiky v ramci spolocnych akcii tykajucich sa Irackej republiky (tlac 144)._x000D_ Hlasovanie o proceduralnom navrhu posl. Hoptu.</t>
  </si>
  <si>
    <t>Navrh na vyslanie prislusnikov ozbrojenych sil Slovenskej republiky do operacie pod vedenim Europskej unie v Macedonsku (tlac 197)._x000D_ Hlasovanie o navrhu uznesenia.</t>
  </si>
  <si>
    <t>Navrh na vyslanie zenijnej jednotky ozbrojenych sil Slovenskej republiky do Irackej republiky (tlac 276)._x000D_ Hlasovanie o navrhu uznesenia.</t>
  </si>
  <si>
    <t>Navrh na vyslanie prislusnikov ozbrojenych sil Slovenskej republiky do operacie ISAF v Afganistane (tlac 588)._x000D_ Hlasovanie o navrhu uznesenia.</t>
  </si>
  <si>
    <t>Navrh na vyslanie prislusnikov ozbrojenych sil Slovenskej republiky do operacie ALTHEA v Bosne a Hercegovine a do velitelstva NATO v Sarajeve (tlac 965)._x000D_ Hlasovanie o navrhu uznesenia.</t>
  </si>
  <si>
    <t>Navrh na ukoncenie posobenia prislusnikov ozbrojenych sil Slovenskej republiky v operacii Trvala sloboda a navrh na vyslanie zenijnej stavebnej jednotky ozbrojenych sil Slovenskej republiky do operacie ISAF v Afganistane (tlac 1404)._x000D_ Hlasovanie o navrhu uznesenia.</t>
  </si>
  <si>
    <t>Navrh na vyslanie straznej caty ozbrojenych sil Slovenskej republiky do operacie EUFOR - ALTHEA v Bosne a Hercegovine (tlac 1403)._x000D_ Hlasovanie o navrhu uznesenia.</t>
  </si>
  <si>
    <t>Navrh na vyslanie caty logistickej podpory ozbrojenych sil Slovenskej republiky do misie KFOR (tlac 1405)._x000D_ Hlasovanie o navrhu uznesenia.</t>
  </si>
  <si>
    <t>Fico I</t>
  </si>
  <si>
    <t>Navrh na vyslanie chirurgickeho timu ozbrojenych sil Slovenskej republiky do misie OSN UNIFIL na uzemi Libanonu na dve rotacne obdobia po dobu dva a pol mesiaca na plnenie uloh v prospech personalu UNIFIL, miestneho obyvatelstva alebo ktorejkolvek inej, aj nepriatelskej osoby (podla zenevskych konvencii) - tlac 194._x000D_ Hlasovanie o navrhu uznesenia.</t>
  </si>
  <si>
    <t>Navrh na zmenu mandatu prislusnikov ozbrojenych sil Slovenskej republiky posobiacich v operacii KFOR v Kosove a na vyslanie prislusnikov ozbrojenych sil Slovenskej republiky do operacie KFOR v Kosove (tlac 464)._x000D_ Hlasovanie o navrhu uznesenia.</t>
  </si>
  <si>
    <t>Navrh na vyslanie vrtulnikovej jednotky ozbrojenych sil Slovenskej republiky do vojenskej operacie EUFOR - ALTHEA v Bosne a Hercegovine (tlac 888)._x000D_ Hlasovanie o navrhu uznesenia.</t>
  </si>
  <si>
    <t>Navrh na vyslanie strazneho druzstva a zdravotnickeho timu do vojenskej operacie ISAF v Afganistane a na zmenu mandatu prislusnikov ozbrojenych  sil Slovenskej republiky vo vojenskej operacii ISAF v Afganistane (tlac 1106)._x000D_ Hlasovanie o navrhu uznesenia.</t>
  </si>
  <si>
    <t>Navrh na vyslanie straznej jednotky do vojenskej operacie ISAF v Afganistane a na zmenu mandatu prislusnikov ozbrojenych sil Slovenskej republiky vo vojenskej operacii ISAF v Afganistane (tlac 1483)._x000D_ Hlasovanie o navrhu uznesenia.</t>
  </si>
  <si>
    <t>Radicova I</t>
  </si>
  <si>
    <t>Návrh na určenie ozbrojených síl Slovenskej republiky na plnenie úloh zabezpečenia nedotknuteľnosti vzdušného priestoru Slovenskej republiky v rámci Organizácie Severoatlantickej zmluvy a na vyslovenie súhlasu s vyslaním určených ozbrojených síl Slovenskej republiky mimo územia Slovenskej republiky a s prítomnosťou zahraničných ozbrojených síl na území Slovenskej republiky v súvislosti s plnením úloh zabezpečenia nedotknuteľnosti vzdušného priestoru v rámci Organizácie Severoatlantickej zmluvy (tlač 73). Hlasovanie o návrhu uznesenia.</t>
  </si>
  <si>
    <t>NATO air defense</t>
  </si>
  <si>
    <t>Navrh na vyslanie prislusnikov ozbrojenych sil Slovenskej republiky do vojenskej operacie ISAF v Afganistane a na zmenu mandatu prislusnikov ozbrojenych sil Slovenskej republiky v tejto vojenskej operacii (tlac 165)._x000D_ Hlasovanie o navrhu uznesenia.</t>
  </si>
  <si>
    <t>Navrh na ukoncenie posobenia straznej caty ozbrojenych sil Slovenskej republiky vo vojenskej operacii EUFOR – ALTHEA v Bosne a Hercegovine a navrh na vyslanie prislusnikov ozbrojenych sil Slovenskej republiky do tejto vojenskej operacie (tlac 190)._x000D_ Hlasovanie o navrhu uznesenia.</t>
  </si>
  <si>
    <t>Fico II</t>
  </si>
  <si>
    <t>SMER</t>
  </si>
  <si>
    <t>Navrh na ukoncenie posobenia a vyslanie prislusnikov Ozbrojenych sil Slovenskej republiky do vojenskej operacie ISAF a na zmenu mandatu prislusnikov Ozbrojenych sil Slovenskej republiky v tejto vojenskej operacii (tlac 160)._x000D_ Hlasovanie o navrhu uznesenia.</t>
  </si>
  <si>
    <t>Navrh na vyslanie, predĺzenie casu vyslania a ukoncenie casu vyslania prislusnikov ozbrojenych sil Slovenskej republiky vo vojenskej operacii ISAF (tlac 430)._x000D_ Hlasovanie o navrhu uznesenia.</t>
  </si>
  <si>
    <t>Navrh na ukoncenie posobenia a vyslanie prislusnikov ozbrojenych sil Slovenskej republiky do vojenskej operacie ISAF v Afganistane (tlac 694)._x000D_ Hlasovanie o navrhu uznesenia.</t>
  </si>
  <si>
    <t>Navrh na vyslanie prislusnikov ozbrojenych sil Slovenskej republiky do vojenskej operacie ISAF v  Afganistane  (tlac 893)._x000D_ Hlasovanie o navrhu uznesenia.</t>
  </si>
  <si>
    <t>Navrh na vyslanie prislusnikov ozbrojenych sil Slovenskej republiky do operacie Resolute Support v Afganistane (tlac 1327)._x000D_ Hlasovanie o navrhu uznesenia.</t>
  </si>
  <si>
    <t>Navrh na doplnenie uloh prislusnikov ozbrojenych sil Slovenskej republiky v operacii Resolute Support v Afganistane a na ich vyslanie na vycvik mimo uzemia Slovenskej republiky (tlac 1791)._x000D_ Hlasovanie o navrhu uznesenia.</t>
  </si>
  <si>
    <t>Navrh na vyslanie prislusnikov ozbrojenych sil Slovenskej republiky do vycvikovej misie EUTM MALI (tlac 1861)._x000D_ Hlasovanie o navrhu uznesenia.</t>
  </si>
  <si>
    <t>Fico IV</t>
  </si>
  <si>
    <t>Navrh na vyslanie prislusnikov ozbrojenych sil Slovenskej republiky na vycvik do Lotysskej republiky (tlac 357). Hlasovanie o navrhu uznesenia.</t>
  </si>
  <si>
    <t>Navrh na vyslanie prislusnikov ozbrojenych sil Slovenskej republiky do operacie EUNAVFOR MED Sophia (tlac 497). Hlasovanie o navrhu uznesenia.</t>
  </si>
  <si>
    <t>Navrh na vyslanie prislusnikov ozbrojenych sil Slovenskej republiky na uzemie ceskej republiky a na pritomnosť prislusnikov Armady ceskej republiky na uzemi Slovenskej republiky na ucel spoluprace pri vzajomnej ochrane vzdusneho priestoru (tlac 558). Hlasovanie o navrhu uznesenia.</t>
  </si>
  <si>
    <t>Navrh na vyslanie prislusnikov ozbrojenych sil Slovenskej republiky na budovanie obrannych a bezpecnostnych kapacit Irackej republiky (tlac 734). Hlasovanie o navrhu uznesenia.</t>
  </si>
  <si>
    <t>Pellegrini</t>
  </si>
  <si>
    <t>Navrh na vyslanie prislusnikov ozbrojenych sil Slovenskej republiky v ramci Posilnenej predsunutej pritomnosti NATO do Lotysskej republiky, Litovskej republiky, Estonskej republiky a Polskej republiky (tlac 977). Hlasovanie o navrhu uznesenia.</t>
  </si>
  <si>
    <t>Navrh na vyslanie prislusnikov ozbrojenych sil Slovenskej republiky do Irackej republiky za ucelom poradenstva a vycviku jej obrannych a bezpecnostnych sil (tlac 1187). Hlasovanie o navrhu uznesenia.</t>
  </si>
  <si>
    <t>Návrh na vyslanie príslušníkov ozbrojených síl Slovenskej republiky v rámci Posilnenej predsunutej prítomnosti NATO do Lotyšskej republiky, Litovskej republiky, Estónskej republiky a Poľskej republiky (tlač 1486). Hlasovanie o návrhu uznesenia.</t>
  </si>
  <si>
    <t>Schlüter IV</t>
  </si>
  <si>
    <t>KF; V; RV</t>
  </si>
  <si>
    <t>Middle East</t>
  </si>
  <si>
    <t>Schlüter V</t>
  </si>
  <si>
    <t>KF; V</t>
  </si>
  <si>
    <t>Nyrup Rasmussen I</t>
  </si>
  <si>
    <t>SD; CD; RV; KRF</t>
  </si>
  <si>
    <t>Nyrup Rasmussen II</t>
  </si>
  <si>
    <t>SD; RV; CD</t>
  </si>
  <si>
    <t>Nyrup Rasmussen III</t>
  </si>
  <si>
    <t>SD; RV</t>
  </si>
  <si>
    <t>Nyrup Rasmussen IV</t>
  </si>
  <si>
    <t>Kosovo</t>
  </si>
  <si>
    <t>Eastern Mediterranean</t>
  </si>
  <si>
    <t>Fogh Rasmussen I</t>
  </si>
  <si>
    <t>V; KF</t>
  </si>
  <si>
    <t>Fogh Rasmussen II</t>
  </si>
  <si>
    <t>Fogh Rasmussen III</t>
  </si>
  <si>
    <t>Løkke Rasmussen I</t>
  </si>
  <si>
    <t>Thorning-Schmidt I</t>
  </si>
  <si>
    <t>SD; RV; SF</t>
  </si>
  <si>
    <t>Thorning-Schmidt II</t>
  </si>
  <si>
    <t>Løkke Rasmussen II</t>
  </si>
  <si>
    <t>V</t>
  </si>
  <si>
    <t>Løkke Rasmussen III</t>
  </si>
  <si>
    <t>V; LA; KF</t>
  </si>
  <si>
    <t>2017-2018 B 49</t>
  </si>
  <si>
    <t>https://www.ft.dk/samling/20171/beslutningsforslag/b49/index.htm</t>
  </si>
  <si>
    <t>2017-2018 B 50</t>
  </si>
  <si>
    <t>https://www.ft.dk/samling/20171/beslutningsforslag/b50/index.htm</t>
  </si>
  <si>
    <t>NATO (multiple collective defense ops)</t>
  </si>
  <si>
    <t>2018-2019 B 56</t>
  </si>
  <si>
    <t>https://www.ft.dk/samling/20181/beslutningsforslag/b56/index.htm</t>
  </si>
  <si>
    <t>Frederiksen</t>
  </si>
  <si>
    <t>SD</t>
  </si>
  <si>
    <t>2019-2020 B 6</t>
  </si>
  <si>
    <t>https://www.ft.dk/samling/20191/beslutningsforslag/b6/index.htm</t>
  </si>
  <si>
    <t>Sahel (French Opération Barkhane)</t>
  </si>
  <si>
    <t>2019-2020 B 7</t>
  </si>
  <si>
    <t>https://www.ft.dk/samling/20191/beslutningsforslag/b7/index.htm</t>
  </si>
  <si>
    <t>GMY</t>
  </si>
  <si>
    <t>Kohl III</t>
  </si>
  <si>
    <t>CDU/CSU; FDP</t>
  </si>
  <si>
    <t>Beteiligung der Bundeswehr an UNOSOM II</t>
  </si>
  <si>
    <t>BT-Drs.12/5248</t>
  </si>
  <si>
    <t>BT-Drs12/8303</t>
  </si>
  <si>
    <t>Kohl IV</t>
  </si>
  <si>
    <t xml:space="preserve">Deutsche Beteiligung an den Maßnahmen zum Schutz und zur Unterstützung des schnellen Einsatzverbands im früheren Jugoslawien einschließlich der Unterstützung eines eventuellen Abzugs der VN-Friedenstruppen </t>
  </si>
  <si>
    <t>13/1802</t>
  </si>
  <si>
    <t xml:space="preserve">Deutsche Beteiligung an den militärischen Maßnahmen zur Absicherung des Friedensvertrages für Bosnien-Herzegowina </t>
  </si>
  <si>
    <t>13/3122</t>
  </si>
  <si>
    <t>Deutsche Beteiligung an der von der NATO geplanten Operation zur weiteren militärischen Absicherung des Friedensprozesses im früheren Jugoslawien</t>
  </si>
  <si>
    <t>13/6500</t>
  </si>
  <si>
    <t>Deutsche Beteiligung an der von der NATO geplanten Operation zur weiteren militärischen Absicherung des Friedensprozesses im früheren Jugoslawien über den 19. Juni 1998 hinaus SFOR-Folgeoperation)</t>
  </si>
  <si>
    <t>13/10977</t>
  </si>
  <si>
    <t xml:space="preserve">Deutsche Beteiligung an den von der NATO geplanten begrenzten und in Phasen durchzuführenden Luftoperationen zur Abwendung einer humanitären Katastrophe im Kosovo-Konflikt </t>
  </si>
  <si>
    <t>13/11469</t>
  </si>
  <si>
    <t>Schroeder I</t>
  </si>
  <si>
    <t>SPD; B90/Grüne</t>
  </si>
  <si>
    <t>Deutsche Beteiligung an der NATO Luftüberwachungsoperation über dem Kosovo</t>
  </si>
  <si>
    <t>14/16</t>
  </si>
  <si>
    <t>Deutsche Beteiligung an möglichen NATO Operationen zum Schutz und Herausziehen von OSZE Beobachtern aus dem Kosovo in Notfallsituationen</t>
  </si>
  <si>
    <t>14/47</t>
  </si>
  <si>
    <t>Deutsche Beteiligung an der militärischen Umsetzung eines Rambouillet-Abkommens für den Kosovo sowie an NATO-Operationen im Rahmen der Notfalltruppe (Extraction Force)</t>
  </si>
  <si>
    <t>14/397</t>
  </si>
  <si>
    <t>http://dipbt.bundestag.de/dip21.web/searchProcedures/simple_search_detail_vp.do;jsessionid=41A4A8D633CB1A90871815F0B8EE98FB.dip21?vorgangId=102314</t>
  </si>
  <si>
    <t>Deutsche Beteiligung an der humanitären Hilfe im Zusammenhang mit dem Kosovo-Konflikt</t>
  </si>
  <si>
    <t>14/912</t>
  </si>
  <si>
    <t>Deutsche Beteiligung an einer internationalen Sicherheitspräsenz im Kosovo zur Gewährleistung eines sicheren Umfeldes für die Flüchtlingsrückkehr und zur militärischen Absicherung einer Friedensregelung für das Kosovo auf der Grundlage der Resolution 1244 (1999) des Sicherheitsrats der Vereinten Nationen vom 10. Juni 1999</t>
  </si>
  <si>
    <t>14/1133</t>
  </si>
  <si>
    <t>Fortsetzung der deutschen Beteiligung an einer internationalen Sicherheitspräsenz im Kosovo zur Gewährleistung eines sicheren Umfeldes für die Flüchtlingsrückkehr und zur militärischen Absicherung der Friedensregelung für das Kosovo auf der Grundlage der Resolution 1244 (1999)  des Sicherheitsrats der Vereinten Nationen vom 10. Juni 1999</t>
  </si>
  <si>
    <t>14/3454</t>
  </si>
  <si>
    <t>Fortsetzung der deutschen Beteiligung an der internationalen Sicherheitspräsenz im Kosovo zur Gewährleistung eines sicheren Umfeldes für die Flüchtlingsrückkehr und zur militärischen Absicherung der Friedensregelung für das Kosovo auf der Grundlage der Resolution 1244 (1999) des Sicherheitsrats der Vereinten Nationen vom 10. Juni 1999 und des Militärisch-Technischen Abkommens zwischen der Internationalen Sicherheitspräsenz (KFOR) und den Regierungen der Bundesrepublik Jugoslawien und der Republik Serbien vom 9. Juni 1999</t>
  </si>
  <si>
    <t>14/5972</t>
  </si>
  <si>
    <t>Beteiligung bewaffneter deutscher Streitkräfte an dem NATO-geführten Einsatz auf mazedonischem Territorium zum Einsammeln und Zerstören der Waffen, die durch die ethnisch albanischen bewaffneten Gruppen freiwillig abgegeben werden</t>
  </si>
  <si>
    <t>14/6830</t>
  </si>
  <si>
    <t xml:space="preserve">Beteiligung bewaffneter deutscher Streitkräfte an dem NATO-geführten Einsatz auf mazedonischem Territorium zur weiteren Stabilisierung des Friedensprozesses </t>
  </si>
  <si>
    <t>14/6970</t>
  </si>
  <si>
    <t>Einsatz bewaffneter deutscher Streitkräfte bei der Unterstützung der  gemeinsamen Reaktion auf terroristische Angriffe gegen die USA auf Grundlage des Artikels 51 der Satzung der Vereinten Nationen und des Artikels 5 des Nordatlantikvertrags sowie der Resolution 1368 (2001) und 1373 (2001) des Sicherheitsrats der Vereinten Nationen</t>
  </si>
  <si>
    <t>14/7296</t>
  </si>
  <si>
    <t>14/7770</t>
  </si>
  <si>
    <t>Beteiligung bewaffneter deutscher Streitkräfte an dem Einsatz einer Internationalen Sicherheitsunterstützungstruppe in Afghanistan auf Grundlage der Resolutionen 1386 (2001), 1383 (2001) und 1378 (2001) des Sicherheitsrats der Vereinten Nationen</t>
  </si>
  <si>
    <t>14/7930</t>
  </si>
  <si>
    <t>14/8500</t>
  </si>
  <si>
    <t>Fortsetzung der deutschen Beteiligung an der internationalen Sicherheitspräsenz im Kosovo zur Gewährleistung eines sicheren Umfeldes für die Flüchtlingsrückkehr und zur militärischen Absicherung der Friedensregelung für das Kosovo auf der Grundlage der Resolution 1244 (1999) des Sicherheitsrats der Vereinten Nationen vom 10. Juni 1999 und des Militärisch-Technischen Abkommens zwischen der Internationalen Sicherheitspräsenz (KFOR) und den Regierungen der Bundesrepublik Jugoslawien und der Republik Serbien vom 9. Juni 1999 (G-SIG: 14012820)  </t>
  </si>
  <si>
    <t>14/8991</t>
  </si>
  <si>
    <t>14/9179</t>
  </si>
  <si>
    <t>Fortsetzung der Beteiligung bewaffneter deutscher Streitkräfte an dem Einsatz einer Internationalen Sicherheitsunterstützungstruppe in Afghanistan auf Grundlage der Resolutionen 1386 (2001) vom 20. Dezember 2001 und 1413 (2002) vom 23. Mai 2002 des Sicherheitsrats der Vereinten Nationen</t>
  </si>
  <si>
    <t>14/9246</t>
  </si>
  <si>
    <t>Schroeder II</t>
  </si>
  <si>
    <t xml:space="preserve">Fortsetzung der Beteiligung bewaffneter deutscher Streitkräfte an dem NATO- geführten Einsatz auf mazedonischem Territorium zum Schutz von Beobachtern internationaler Organisationen im Rahmen der weiteren Implementierung des politischen Rahmenabkommens vom 13. August 2001 auf der Grundlage des Ersuchens der mazedonischen Regierung vom 8. Oktober 2002 und der Resolution 1371 (2001) des Sicherheitsrats der Vereinten Nationen vom 26. September 2001 </t>
  </si>
  <si>
    <t>15/10</t>
  </si>
  <si>
    <t>15/37</t>
  </si>
  <si>
    <t>15/127</t>
  </si>
  <si>
    <t>15/128</t>
  </si>
  <si>
    <t>15/696</t>
  </si>
  <si>
    <t>15/1168</t>
  </si>
  <si>
    <t>15/1700</t>
  </si>
  <si>
    <t>15/1880</t>
  </si>
  <si>
    <t>Fortsetzung der deutschen Beteiligung an der Internationalen Sicherheitspräsenz im Kosovo zur Gewährleistung eines sicheren Umfeldes für die Flüchtlingsrückkehr und zur militärischen Absicherung der Friedensregelung für das Kosovo auf der Grundlage der Resolution 1244 (1999) des Sicherheitsrats der Vereinten Nationen vom 10. Juni 1999 und des Militärisch-Technischen Abkommens zwischen der Internationalen Sicherheitspräsenz (KFOR) und den Regierungen der Bundesrepublik Jugoslawien und der Republik Serbien vom 9. Juni 1999</t>
  </si>
  <si>
    <t>15/3175</t>
  </si>
  <si>
    <t>15/3710</t>
  </si>
  <si>
    <t xml:space="preserve">Fortsetzung des Einsatzes bewaffneter deutscher Streitkräfte bei der Unterstützung der gemeinsamen Reaktion auf terroristische Angriffe gegen die USA auf Grundlage des Artikels 51 der Satzung der Vereinten Nationen und des Artikels 5 des Nordatlantikvertrags sowie der Resolutionen 1368 (2001) und 1373 (2001) des Sicherheitsrats der Vereinten Nationen </t>
  </si>
  <si>
    <t>15/4032</t>
  </si>
  <si>
    <t>Beteiligung bewaffneter deutscher Streitkräfte an der EU-geführten Operation "ALTHEA" zur weiteren Stabilisierung des Friedensprozesses in Bosnien und Herzegowina im Rahmen der Implementierung der Annexe 1-A und 2 der Dayton-Friedensvereinbarung sowie an dem NATO-Hauptquartier Sarajevo und seinen Aufgaben, auf der Grundlage der Resolution 1575 (2004) des Sicherheitsrats der Vereinten Nationen vom 22. November 2004</t>
  </si>
  <si>
    <t>15/4245</t>
  </si>
  <si>
    <t>Einsatz bewaffneter Streitkräfte zur Unterstützung der Überwachungskommission AMIS der Afrikanischen Union (AU) in Darfur/Sudan auf Grundlage der Resolutionen 1556(2004) und 1564(2004) des Sicherheitsrates der Vereinten Nationen vom 30. Juli 2004 und 18. September 2004</t>
  </si>
  <si>
    <t>15/4227</t>
  </si>
  <si>
    <t>Beteiligung deutscher Streitkräfte an der Friedensmission der Vereinten Nationen in Sudan UNMIS (United Nations Mission in Sudan) auf Grundlage der Resolution 1590 (2005) des Sicherheitsrats der Vereinten Nationen vom 24. März 2005</t>
  </si>
  <si>
    <t>15/5265</t>
  </si>
  <si>
    <t>Fortsetzung der deutschen Beteiligung an der Internationalen Sicherheitspräsenz im Kosovo zur Gewährleistung eines sicheren Umfeldes für die Flüchtlingsrückkehr und zur militärischen Absicherung der Friedensregelung für das Kosovo auf der Grundlage der Resolution 1244 (1999) des Sicherheitsrates der Vereinten Nationen vom 10. Juni 1999 und des Militärisch-Technischen Abkommens zwischen der Internationalen Sicherheitspräsenz (KFOR) und den Regierungen der Bundesrepublik Jugoslawien und der Republik Serbien (jetzt: Serbien und Montenegro) vom 9. Juni 1999</t>
  </si>
  <si>
    <t>15/5428</t>
  </si>
  <si>
    <t xml:space="preserve">Fortsetzung der Beteiligung bewaffneter deutscher Streitkräfte an dem Einsatz einer Internationalen Sicherheitsunterstützungstruppe in Afghanistan unter Führung der NATO auf Grundlage der Resolutionen 1386 (2001) vom 20. Dezember 2001, 1413 (2002) vom 23. Mai 2002, 1444 (2002) vom 27. November 2002, 1510 (2003) vom 13. Oktober 2003, 1563 (2004) vom 17. September 2004 und 1623 (2005) vom 13. September 2005 des Sicherheitsrates der Vereinten Natione </t>
  </si>
  <si>
    <t>15/5996</t>
  </si>
  <si>
    <t>Merkel I</t>
  </si>
  <si>
    <t>CDU/CSU; SPD</t>
  </si>
  <si>
    <t>Fortsetzung des Einsatzes bewaffneter deutscher Streitkräfte bei der Unterstützung der gemeinsamen Reaktion auf terroristische Angriffe gegen die USA auf Grundlage des Artikels 51 der Satzung der Vereinten Nationen und des Artikels 5 des Nordatlantikvertrags sowie der Resolutionen 1368 (2001) und 1373 (2001) des Sicherheitsrats der Vereinten Nationen</t>
  </si>
  <si>
    <t>16/26</t>
  </si>
  <si>
    <t>Fortsetzung des Einsatzes bewaffneter deutscher Streitkräfte zur Unterstützung der Überwachungsmission AMIS der Afrikanischen Union (AU) in Darfur/Sudan auf Grundlage der Resolutionen 1556(2004) und 1564(2004) des Sicherheitsrates der Vereinten Nationen vom 30. Juli 2004 und 18. September 2004</t>
  </si>
  <si>
    <t>16/100</t>
  </si>
  <si>
    <t>Fortsetzung der Beteiligung deutscher Streitkräfte an der Friedensmission der Vereinten Nationen im Sudan (UNMIS) auf Grundlage der Resolution 1663 (2006) des Sicherheitsrates der Vereinten Nationen vom 24. März 2006</t>
  </si>
  <si>
    <t>16/1052</t>
  </si>
  <si>
    <t>Beteiligung bewaffneter deutscher Streitkräfte an der EU-geführten Operation EUFOR RD CONGO zur zeitlich befristeten Unterstützung der Friedensmission MONUC der Vereinten Nationen während des Wahlprozesses in der Demokratischen Republik Kongo auf Grundlage der Resolution 1671 (2006) des Sicherheitsrates der Vereinten Nationen vom 25. April 2006</t>
  </si>
  <si>
    <t>16/1507</t>
  </si>
  <si>
    <t>16/1509</t>
  </si>
  <si>
    <t>Beteiligung bewaffneter deutscher Streitkräfte an der United Nations Interim Force in Lebanon (UNIFIL) auf Grundlage der Resolution 1701 (2006) des Sicherheitsrates der Vereinten Nationen vom 11. August 2006</t>
  </si>
  <si>
    <t>16/2572</t>
  </si>
  <si>
    <t>Fortsetzung der Beteiligung bewaffneter deutscher Streitkräfte an dem Einsatz der Internationalen Sicherheitsunterstützungstruppe in Afghanistan unter Führung der NATO auf Grundlage der Resolutionen 1386 (2001) vom 20. Dezember 2001, 1413 (2002) vom 23. Mai 2002, 1444 (2002) vom 27. November 2002, 1510 (2003) vom 13. Oktober 2003, 1563 (2004) vom 17. September 2004, 1623 (2005) vom 13. September 2005 und 1707 (2006) vom 12. September 2006 des Sicherheitsrates der Vereinten Nationen</t>
  </si>
  <si>
    <t>16/2573</t>
  </si>
  <si>
    <t>Fortsetzung der Beteiligung deutscher Streitkräfte an der Friedensmission der Vereinten Nationen im Sudan (UNMIS) auf Grundlage der Resolution 1709 (2006) des Sicherheitsrates der Vereinten Nationen vom 22. September 2006</t>
  </si>
  <si>
    <t>16/2700</t>
  </si>
  <si>
    <t>16/3150</t>
  </si>
  <si>
    <t>Fortsetzung der Beteiligung bewaffneter deutscher Streitkräfte an der EU-geführten Operation ALTHEA" zur weiteren Stabilisierung des Friedensprozesses in Bosnien und Herzegowina im Rahmen der Implementierung der Annexe 1-A und 2 der Dayton-Friedensvereinbarung sowie an dem NATO-Hauptquartier Sarajevo und seinen Aufgaben, auf Grundlage der Resolutionen des Sicherheitsrates der Vereinten Nationen 1575 (2004) vom 22. November 2004, 1639 (2005) vom 21. November 2005 und 1722 (2006) vom 21. November 2006"</t>
  </si>
  <si>
    <t>16/3521</t>
  </si>
  <si>
    <t>Fortsetzung des Einsatzes bewaffneter deutscher Streitkräfte zur Unterstützung der Überwachungsmission AMIS der Afrikanischen Union (AU) in der Region Darfur/Sudan auf Grundlage der Resolutionen 1556 (2004) und 1564 (2004) des Sicherheitsrates der Vereinten Nationen vom 30. Juli 2004 und 18. September 2004</t>
  </si>
  <si>
    <t>16/3652</t>
  </si>
  <si>
    <t>Beteiligung bewaffneter deutscher Streitkräfte an dem Einsatz einer Internationalen Sicherheitsunterstützungstruppe in Afghanistan unter Führung der NATO auf Grundlage der Resolutionen 1386 (2001), 1413 (2002), 1444 (2002), 1510 (2003), 1563 (2004), 1623 (2005) und 1707 (2006) des Sicherheitsrates der Vereinten Nationen</t>
  </si>
  <si>
    <t>16/4298</t>
  </si>
  <si>
    <t>Fortsetzung der Beteiligung deutscher Streitkräfte an der Friedensmission der Vereinten Nationen im Sudan (UNMIS) auf Grundlage der Resolution 1590 (2005) des Sicherheitsrates der Vereinten Nationen vom 24. März 2005 und weiterer Mandatsverlängerungen durch den Sicherheitsrat der Vereinten Nationen</t>
  </si>
  <si>
    <t>16/4861</t>
  </si>
  <si>
    <t>16/5436</t>
  </si>
  <si>
    <t>Fortsetzung der deutschen Beteiligung an der Internationalen Sicherheitspräsenz im Kosovo zur Gewährleistung eines sicheren Umfeldes für die Flüchtlingsrückkehr und zur militärischen Absicherung der Friedensregelung für das Kosovo auf der Grundlage der Resolution 1244 (1999) des Sicherheitsrates der Vereinten Nationen vom 10. Juni 1999 und des Militärisch-Technischen Abkommens zwischen der Internationalen Sicherheitspräsenz (KFOR) und den Regierungen der Bundesrepublik Jugoslawien (jetzt: Republik Serbien) und der Republik Serbien vom 9. Juni 1999</t>
  </si>
  <si>
    <t>16/5600</t>
  </si>
  <si>
    <t>Fortsetzung des Einsatzes bewaffneter deutscher Streitkräfte im Rahmen der United Nations Interim Force in Lebanon" (UNIFIL) auf Grundlage der Resolutionen 1701 (2006) und 1773 (2007) des Sicherheitsrates der Vereinten Nationen vom 11. August 2006 bzw. 24. August 2007"</t>
  </si>
  <si>
    <t>16/6278</t>
  </si>
  <si>
    <t>Fortsetzung der Beteiligung bewaffneter deutscher Streitkräfte an dem Einsatz der Internationalen Sicherheitsunterstützungstruppe in Afghanistan (International Security Assistance Force, ISAF) unter Führung der NATO auf Grundlage der Resolutionen 1386 (2001) vom 20. Dezember 2001, 1413 (2002) vom 23. Mai 2002, 1444 (2002) vom 27. November 2002, 1510 (2003) vom 13. Oktober 2003, 1563 (2004) vom 17. September 2004, 1623 (2005) vom 13. September 2005, 1707 (2006) vom 12. September 2006 und 1707 (2007) vom 19. September 2007 des Sicherheitsrates der Vereinten Nationen</t>
  </si>
  <si>
    <t>16/6460</t>
  </si>
  <si>
    <t>16/6939</t>
  </si>
  <si>
    <t>16/6940</t>
  </si>
  <si>
    <t>Beteiligung bewaffneter deutscher Streitkräfte an der AU/UN Hybrid Operation in Darfur (UNAMID) auf Grundlage der Resolution 1769 (2007) des Sicherheitsrates der Vereinten Nationen vom 31. Juli 2007</t>
  </si>
  <si>
    <t>16/6941</t>
  </si>
  <si>
    <t>Fortsetzung der deutschen Beteiligung an der internationalen Sicherheitspräsenz im Kosovo auf der Grundlage der Resolution 1244 (1999) des Sicherheitsrates der Vereinten Nationen vom 10. Juni 1999 und des Militärisch-Technischen Abkommens zwischen der internationalen Sicherheitspräsenz (KFOR) und den Regierungen der Bundesrepublik Jugoslawien (jetzt: Republik Serbien) und der Republik Serbien vom 9. Juni 1999</t>
  </si>
  <si>
    <t>16/9287</t>
  </si>
  <si>
    <t>16/10104</t>
  </si>
  <si>
    <t>Fortsetzung der Beteiligung bewaffneter deutscher Streitkräfte an der AU/UN-Hybrid-Operation in Darfur (UNAMID) auf Grundlage der Resolution 1769 (2007) des Sicherheitsrates der Vereinten Nationen vom 31. Juli 2007 und weiterer Mandatsverlängerungen durch den Sicherheitsrat der Verienten Nationen</t>
  </si>
  <si>
    <t>16/10106</t>
  </si>
  <si>
    <t>Fortsetzung der Beteiligung bewaffneter deutscher Streitkräfte an der United Nations Interim Force in Lebanon (UNIFIL) auf Grundlage der Resolutionen 1701 (2006) und 1832 (2008) des Sicherheitsrates der Vereinten Nationen vom 11. August 2006 bzw. 27. August 2008</t>
  </si>
  <si>
    <t>16/10207</t>
  </si>
  <si>
    <t>Fortsetzung der Beteiligung bewaffneter deutscher Streitkräfte an dem Einsatz der Internationalen Sicherheitsunterstützungstruppe in Afghanistan (International Security Assistance Force, ISAF) unter Führung der NATO auf Grundlage der Resolutionen 1386 (2001) und folgender Resolutionen, zuletzt Resolution 1833 (2008) des Sicherheitsrates der Vereinten Nationen</t>
  </si>
  <si>
    <t>16/10473</t>
  </si>
  <si>
    <t>16/10720</t>
  </si>
  <si>
    <t>Beteiligung bewaffneter deutscher Streitkräfte an der EU-geführten Operation Atalanta zur Bekämpfung der Piraterie vor der Küste Somalias auf Grundlage des Seerechtsübereinkommens der Vereinten Nationen von 1982 und der Resolutionen 1814 (2008) vom 15. Mai 2008, 1816 (2008) vom 2. Juni 2008, 1838 (2008) vom 7. Oktober 2008, 1846 (2008) vom 2. Dezember 2008 und nachfolgender Resolutionen des Sicherheitsrats der Vereinten Nationen in Verbindung mit der Gemeinsamen Aktion 2008/851/GASP des Rates der Europäischen Union vom 10. November 2008</t>
  </si>
  <si>
    <t>16/11337</t>
  </si>
  <si>
    <t>16/12881</t>
  </si>
  <si>
    <t>Anpassung des Einsatzgebietes für die Beteiligung bewaffneter deutscher Streitkräfte an der EU-geführten Operation Atalanta zur Bekämpfung der Piraterie vor der Küste Somalias</t>
  </si>
  <si>
    <t>16/13187</t>
  </si>
  <si>
    <t>Beteiligung deutscher Streitkräfte am Einsatz von NATO-AWACS im Rahmen der Internationalen Sicherheitsunterstützungstruppe in Afghanistan (International Security Assistance Force, ISAF) unter Führung der NATO auf Grundlage der Resolution 1386 (2001) und folgender Resolutionen, zuletzt Resolution 1833 (2008) des Sicherheitsrates der Vereinten Nationen</t>
  </si>
  <si>
    <t>16/13377</t>
  </si>
  <si>
    <t>Fortsetzung der Beteiligung bewaffneter deutscher Streitkräfte an der AU/UN-Hybrid-Operation in Darfur (UNAMID) auf Grundlage der Resolution 1769 (2007) des Sicherheitsrates der Vereinten Nationen vom 31. Juli 2007 und Folgeresolutionen</t>
  </si>
  <si>
    <t>16/13396</t>
  </si>
  <si>
    <t>Fortsetzung der Beteiligung bewaffneter deutscher Streitkräfte an der Friedensmission der Vereinten Nationen im Sudan (UNMIS) auf Grundlage der Resolution 1590 (2005) des Sicherheitsrates der Vereinten Nationen vom 24. März 2005 und Folgeresolutionen</t>
  </si>
  <si>
    <t>16/13395</t>
  </si>
  <si>
    <t>Merkel II</t>
  </si>
  <si>
    <t>Fortsetzung der Beteiligung bewaffneter deutscher Streitkräfte an dem Einsatz einer Internationalen Sicherheitsunterstützungstruppe in Afghanistan (International Security Assistance Force, ISAF) unter Führung der NATO auf Grundlage der Resolution 1386 (2001) und folgender Resolutionen, zuletzt Resolution 1890 (2009) des Sicherheitsrates der Vereinten Nationen</t>
  </si>
  <si>
    <t>17/39</t>
  </si>
  <si>
    <t>17/38</t>
  </si>
  <si>
    <t>Fortsetzung der Beteiligung bewaffneter deutscher Streitkräfte an der United Nations Interim Force in Lebanon" (UNIFIL) auf Grundlage der Resolution 1701 (2006) vom 11. August 2006 und folgender Resolutionen, zuletzt 1884 (2009) vom 27. August 2009 des Sicherheitsrates der Vereinten Nationen"</t>
  </si>
  <si>
    <t>17/40</t>
  </si>
  <si>
    <t>Fortsetzung der Beteiligung bewaffneter deutscher Streitkräfte an der EU-geführten Operation Atalanta zur Bekämpfung der Piraterie vor der Küste Somalias auf Grundlage des Seerechtsübereinkommens der Vereinten Nationen von 1982 und der Resolutionen 1814 (2008) vom 15. Mai 2008, 1816 (2008) vom 2. Juni 2008, 1838 (2008) vom 7. Oktober 2008, 1846 (2008) vom 2. Dezember 2008, 1897 (2009) vom 30. November 2009 und nachfolgender Resolutionen des Sicherheitsrates der Vereinten Nationen in Verbindung mit der Gemeinsamen Aktion 2008/851/GASP des Rates der Europäischen Union vom 10. November 2008 und dem Beschluss 2009/907/GASP des Rates der Europäischen Union vom 8. Dezember 2009</t>
  </si>
  <si>
    <t>17/179</t>
  </si>
  <si>
    <t>Fortsetzung der Beteiligung bewaffneter deutscher Streitkräfte an der EU-geführten Operation ALTHEA" zur weiteren Stabilisierung des Friedensprozesses in Bosnien und Herzegowina im Rahmen der Implementierung der Annexe 1-A und 2 der Dayton-Friedensvereinbarung sowie an dem NATO-Hauptquartier Sarajevo und seinen Aufgaben, auf Grundlage der Resolution des Sicherheitsrates der Vereinten Nationen 1575 (2004) und folgender Resolutionen, zuletzt Resolution 1895 (2009) vom 18. November 2009"</t>
  </si>
  <si>
    <t>17/180</t>
  </si>
  <si>
    <t>Fortsetzung der Beteiligung bewaffneter deutscher Streitkräfte an dem Einsatz der Internationalen Sicherheitsunterstützungstruppe in Afghanistan (International Security Assistance Force, ISAF) unter Führung der NATO auf Grundlage der Resolutionen 1386 (2001) und folgender Resolutionen, zuletzt Resolution 1890 (2009) des Sicherheitsrates der Vereinten Nationen</t>
  </si>
  <si>
    <t>17/654</t>
  </si>
  <si>
    <t>17/1683</t>
  </si>
  <si>
    <t>Fortsetzung der Beteiligung bewaffneter deutscher Streitkräfte an der AU/UN-Hybrid-Operation in Dafur (UNAMID) auf Grundlage der Resolution 1769 (2007) des Sicherheitsrates der Vereinten Nationen vom 31. Juli 2007 und Folgeresolutionen</t>
  </si>
  <si>
    <t>17/1901</t>
  </si>
  <si>
    <t>Fortsetzung der Beteiligung bewaffneter deutscher Streitkräfte an der United Nations Interim Force in Lebanon (UNIFIL) auf Grundlage der Resolution 1701 (2006) vom 11. August 2006 und folgender Resolutionen, zuletzt 1884 (2009) vom 27. August 2009 des Sicherheitsrates der Vereinten Nationen</t>
  </si>
  <si>
    <t>17/1905</t>
  </si>
  <si>
    <t>17/1902</t>
  </si>
  <si>
    <t>Fortsetzung der Beteiligung bewaffneter deutscher Streitkräfte an der EU-geführten Operation ALTHEA" zur weiteren Stabilisierung des Friedensprozesses in Bosnien und Herzegowina im Rahmen der Implementierung der Annexe 1-A und 2 der Dayton-Friedensvereinbarung sowie an dem NATO-Hauptquartier Sarajevo und seinen Aufgaben, auf Grundlage der Resolution des Sicherheitsrates der Vereinten Nationen 1575 (2004) und Folgeresolutionen"</t>
  </si>
  <si>
    <t>17/3692</t>
  </si>
  <si>
    <t>Fortsetzung der Beteiligung bewaffneter deutscher Streitkräfte an der EU-geführten Operation Atalanta zur Bekämpfung der Piraterie vor der Küste Somalias auf Grundlage des Seerechtsübereinkommens der Vereinten Nationen von 1982 und der Resolutionen 1814 (2008) vom 15. Mai 2008, 1816 (2008) vom 2. Juni 2008, 1838 (2008) vom 7. Oktober 2008, 1846 (2008) vom 2. Dezember 2008, 1897 (2009) vom  30. November 2009 und nachfolgender Resolutionen des Sicherheitsrates der Vereinten Nationen in Verbindung mit der Gemeinsamen Aktion 2008/851/GASP des Rates der Europäischen Union vom 10. November 2008, dem Beschluss 2009/907/GASP des Rates der Europäischen Union vom 8. Dezember 2009, dem Beschluss 2010/437/GASP des Rates der Europäischen Union vom 30. Juli 2010 und dem erwarteten Beschluss des Rates der Europäischen Union vom 13. Dezember 2010</t>
  </si>
  <si>
    <t>17/3691</t>
  </si>
  <si>
    <t>17/3690</t>
  </si>
  <si>
    <t>Fortsetzung der Beteiligung bewaffneter deutscher Streitkräfte an dem Einsatz der Internationalen Sicherheitsunterstützungstruppe in Afghanistan (International Security Assistance Force, ISAF) unter Führung der NATO auf Grundlage der Resolutionen 1386 (2001) und folgender Resolutionen, zuletzt Resolution 1943 (2010) des Sicherheitsrates der Vereinten Nationen</t>
  </si>
  <si>
    <t>17/4402</t>
  </si>
  <si>
    <t>Beteiligung deutscher Streitkräfte am Einsatz von NATO-AWACS im Rahmen der Internationalen Sicherheitsunterstützungstruppe in Afghanistan (International Security Assistance Force, ISAF) unter Führung der NATO auf Grundlage der Resolutionen 1386 (2001) und folgender Resolutionen, zuletzt Resolution 1943 (2010) vom 13. Oktober 2010 des Sicherheitsrats der Vereinten Nationen</t>
  </si>
  <si>
    <t>17/5190</t>
  </si>
  <si>
    <t>17/5706</t>
  </si>
  <si>
    <t>Fortsetzung der Beteiligung bewaffneter deutscher Streitkräfte an der United Nations Interim Force in Lebanon (UNIFIL) auf Grundlage der Resolution 1701 (2006) vom 11. August 2006 und folgender Resolutionen, zuletzt 1937 (2010) vom 30. August 2010 des Sicherheitsrates der Vereinten Nationen</t>
  </si>
  <si>
    <t>17/5864</t>
  </si>
  <si>
    <t>17/6322</t>
  </si>
  <si>
    <t>Beteiligung bewaffneter deutscher Streitkräfte an der von den Vereinten Nationen geführten Friedensmission in Südsudan</t>
  </si>
  <si>
    <t>17/6449</t>
  </si>
  <si>
    <t>Fortsetzung der Beteiligung bewaffneter deutscher Streitkräfte an der von den Vereinten Nationen geführten Friedensmission in Südsudan (UNMISS) auf Grundlage der Resolution 1996 (2011) des Sicherheitsrates der Vereinten Nationen vom 8. Juli 2011</t>
  </si>
  <si>
    <t>17/6987</t>
  </si>
  <si>
    <t>Fortsetzung der Beteiligung bewaffneter deutscher Streitkräfte an der  EU-geführten Operation ALTHEA" zur weiteren Stabilisierung des Friedensprozesses in Bosnien und Herzegowina im Rahmen der Implementierung der Annexe 1-A und 2 der Dayton-Friedensvereinbarung sowie an dem NATO-Hauptquartier Sarajevo und seinen Aufgaben, auf Grundlage der Resolution des Sicherheitsrates der Vereinten Nationen 1575(2004) und Folgeresolutionen"</t>
  </si>
  <si>
    <t>17/7577</t>
  </si>
  <si>
    <t>Fortsetzung der Beteiligung bewaffneter deutscher Streitkräfte an der EU geführten Operation Atalanta zur Bekämpfung der Piraterie vor der Küste Somalias auf Grundlage des Seerechtsübereinkommens der Vereinten Nationen von 1982 und der Resolutionen 1814 (2008) vom 15. Mai 2008, 1816 (2008) vom 2. Juni 2008, 1838 (2008) vom 7. Oktober 2008, 1846 (2008) vom 2. Dezember 2008, 1897 (2009)  vom 30. November 2009, 1950 (2010) vom 23. November 2010 und nachfolgender Resolutionen des Sicherheitsrates der Vereinten Nationen in Verbindung mit der Gemeinsamen Aktion 2008/851/GASP des Rates der Europäischen Union vom 10. November 2008, dem Beschluss 2009/907/GASP des Rates der Europäischen Union vom 8. Dezember 2009, dem Beschluss 2010/437/GASP des Rates der Europäischen Union vom 30. Juli 2010 und dem Beschluss 2010/766/GASP des Rates der Europäischen Union vom 7. Dezember 2010</t>
  </si>
  <si>
    <t>17/7742</t>
  </si>
  <si>
    <t>Fortsetzung des Einsatzes bewaffneter deutscher Streitkräfte bei der Unterstützung der gemeinsamen Reaktion auf terroristische Angriffe gegen die USA auf Grundlage des Artikels 51 der Satzung der Vereinten Nationen und des Artikels 5 des Nordatlantikvertrages sowie der Resolutionen 1368 (2001) und 1373 (2001) des Sicherheitsrates der Vereinten Nationen</t>
  </si>
  <si>
    <t>17/7743</t>
  </si>
  <si>
    <t>Fortsetzung der Beteiligung bewaffneter deutscher Streitkräfte an dem Einsatz der Internationalen Sicherheitsunterstützungstruppe in Afghanistan (International Security Assistance Force, ISAF) unter Führung der NATO auf Grundlage der Resolutionen 1386 (2001) und folgender Resolutionen, zuletzt Resolution 2011 (2011) vom 12. Oktober 2011 des Sicherheitsrates der Vereinten Nationen</t>
  </si>
  <si>
    <t>17/8166</t>
  </si>
  <si>
    <t>Fortsetzung der Beteiligung bewaffneter deutscher Streitkräfte an der EU-geführten Operation Atalanta zur Bekämpfung der Piraterie vor der Küste Somalias auf Grundlage des Seerechtsübereinkommens der Vereinten Nationen (VN) von 1982 und der Resolutionen 1814 (2008) vom 15. Mai 2008, 1816 (2008) vom 2. Juni 2008, 1838 (2008) vom 7. Oktober 2008, 1846 (2008) vom 2. Dezember 2008, 1851 (2008) vom 16. Dezember 2008, 1897 (2009) vom 30. November 2009, 1950 (2010) vom 23. November 2010, 2020 (2011) vom 22. November 2011 und nachfolgender Resolutionen des Sicherheitsrates der VN in Verbindung mit der Gemeinsamen Aktion 2008/851/GASP des Rates der Europäischen Union (EU) vom 10. November 2008, dem Beschluss 2009/907/GASP des Rates der EU vom 8. Dezember 2009, dem Beschluss 2010/437/GASP des Rates der EU vom 30. Juli 2010 , dem Beschluss 2010/766/GASP des Rates der EU vom 7. Dezember 2010 und dem Beschluss 2012/174/GASP des Rates der EU vom 23. März 2012</t>
  </si>
  <si>
    <t>17/9339</t>
  </si>
  <si>
    <t>Antrag der Bundesregierung an den Deutschen Bundestag über die Fortsetzung der deutschen Beteiligung an der internationalen Sicherheitspräsenz im Kosovo</t>
  </si>
  <si>
    <t>17/9505</t>
  </si>
  <si>
    <t>Fortsetzung der Beteiligung bewaffneter deutscher Streitkräfte an der United Nations Interim Force in Lebanon (UNIFIL) auf Grundlage der Resolution 1701 (2006) vom 11. August 2006 und folgender Resolutionen, zuletzt 2004 (2011) vom 30. August 2011 des Sicherheitsrates der Vereinten Nationen</t>
  </si>
  <si>
    <t>17/9873</t>
  </si>
  <si>
    <t>Fortsetzung der Beteiligung bewaffneter deutscher Streitkräfte an der AU/UN-Hybrid-Operation in Darfur (UNAMID) auf Grundlage der Resolution 1769 (2007) des Sicherheitsrates der Vereinten Nationen vom 31. Juli 2007 und folgender Resolutionen, zuletzt 2063 (2012) vom 31. Juli 2012</t>
  </si>
  <si>
    <t>17/11036</t>
  </si>
  <si>
    <t>Fortsetzung der Beteiligung bewaffneter deutscher Streitkräfte an der von den Vereinten Nationen geführten Friedensmission in Südsudan (UNMISS) auf Grundlage der Resolutionen 1996 (2011) des Sicherheitsrates der Vereinten Nationen vom 8. Juli 2011 und 2057 (2012) vom 5. Juli 2012</t>
  </si>
  <si>
    <t>17/11037</t>
  </si>
  <si>
    <t>17/11466</t>
  </si>
  <si>
    <t>17/11783</t>
  </si>
  <si>
    <t>17/11685</t>
  </si>
  <si>
    <t>Entsendung bewaffneter deutscher Streitkräfte zur Beteiligung an der EU-geführten militärischen Ausbildungsmission EUTM Mali auf Grundlage des Ersuchens der Regierung von Mali sowie der Beschlüsse 2013/34/GASP des Rates der Europäischen Union (EU) vom 17. Januar 2013 und vom 18. Februar 2013 in Verbindung mit den Resolutionen 2071 (2012) und 2085 (2012) des Sicherheitsrates der Vereinten Nationen (bis 28.2.2014</t>
  </si>
  <si>
    <t>17/12367</t>
  </si>
  <si>
    <t>Entsendung bewaffneter deutscher Streitkräfte zur Unterstützung der Internationalen Unterstützungsmission in Mali unter afrikanischer Führung (AFISMA) auf Grundlage der Resolution 2085 (2012) des Sicherheitsrates der Vereinten Nationen (bis 28.2.2014</t>
  </si>
  <si>
    <t>17/12368</t>
  </si>
  <si>
    <t>Fortsetzung der Beteiligung bewaffneter deutscher Streitkräfte an der EU-geführten Operation Atalanta zur Bekämpfung der Piraterie vor der Küste Somalias auf Grundlage des Seerechtsübereinkommens der Vereinten Nationen (VN) von 1982 und der Resolutionen 1814 (2008) vom 15. Mai 2008, 1816 (2008) vom 2. Juni 2008, 1838 (2008) vom 7. Oktober 2008, 1846 (2008) vom 2. Dezember 2008, 1851 (2008) vom 16. Dezember 2008, 1897 (2009) vom 30. November 2009, 1950 (2010) vom 23. November 2010, 2020 (2011) vom 22. November 2011, 2077 (2012) vom 21. November 2012 und nachfolgender Resolutionen des Sicherheitsrates der VN in Verbindung mit der Gemeinsamen Aktion 2008/851/GASP des Rates der Europäischen Union (EU) vom 10. November 2008, dem Beschluss 2009/907/GASP des Rates der EU vom 8. Dezember 2009, dem Beschluss 2010/437/GASP des Rates der EU vom 30. Juli 2010, dem Beschluss 2010/766/GASP des Rates der EU vom 7. Dezember 2010 und dem Beschluss 2012/174/GASP des Rates der EU vom 23. März 2012</t>
  </si>
  <si>
    <t>17/13111</t>
  </si>
  <si>
    <t>Fortsetzung der deutschen Beteiligung an der internationalen Sicherheitspräsenz in Kosovo auf der Grundlage der Resolution 1244 (1999)</t>
  </si>
  <si>
    <t>17/13661</t>
  </si>
  <si>
    <t>Fortsetzung der Beteiligung bewaffneter deutscher Streitkräfte an der United Nations Interim Force in Lebanon (UNIFIL)</t>
  </si>
  <si>
    <t>17/13753</t>
  </si>
  <si>
    <t>Entsendung bewaffneter deutscher Streitkräfte zur Beteiligung an der Multidimensionalen Integrierten Stabilisierungsmission in Mali (MINUSMA) auf Grundlage der Resolution 2100 (2013) des Sicherheitsrates der Vereinten Nationen vom 25. April 2013</t>
  </si>
  <si>
    <t>17/13754</t>
  </si>
  <si>
    <t>Merkel III</t>
  </si>
  <si>
    <t>Fortsetzung der Beteiligung bewaffneter deutscher Streitkräfte an der von den Vereinten Nationen geführten Friedensmission in Südsudan (UNMISS)</t>
  </si>
  <si>
    <t>18/71</t>
  </si>
  <si>
    <t>Fortsetzung der Beteiligung bewaffneter deutscher Streitkräfte an der AU/UN-Hybrid-Operation in Darfur (UNAMID) auf Grundlage der Resolution 1769 (2007) des Sicherheitsrates der Vereinten Nationen vom 31. Juli 2007 und folgender Resolutionen, zuletzt 2113 (2013) vom 30. Juli 2013 </t>
  </si>
  <si>
    <t>18/72</t>
  </si>
  <si>
    <t>Fortsetzung der Entsendung bewaffnet er deutscher Streitkräfte zur Verstärkung der integrierten Luftverteidigung der NATO auf Ersuchen der Türkei und auf Grundlage des Rechts auf kollektive Selbstverteidigung (Artikel 51 der Charta der Vereinten Nationen) sowie des Beschlusses des Nordatlantikrates vom 4. Dezember 2012</t>
  </si>
  <si>
    <t>18/262</t>
  </si>
  <si>
    <t>Fortsetzung der Beteiligung bewaffneter deutscher Streitkräfte an der NATO-geführten Operation Active Endeavour im gesamten MittelmeerFortsetzung der Beteiligung bewaffneter deutscher Streitkräfte an der NATO-geführten Operation Active Endeavour im gesamten Mittelmeer</t>
  </si>
  <si>
    <t>18/263</t>
  </si>
  <si>
    <t>Fortsetzung der Beteiligung bewaffneter deutrscher Streitkräfte an dem Einsatz der Internationalen Sicherheitsunterstützungstruppe in Afghanisatnd (International Security Assistance Ofrce, ISAF) unter Führung der NATO auf Grundlage der Resolution 1386 (2001) und folgender Resolutionen, zuletzt Resolution 2120 (2013) vom 10. Oktober 2013 des Sicherheitsrates der Vereinten Nationen</t>
  </si>
  <si>
    <t>18/436</t>
  </si>
  <si>
    <t xml:space="preserve">Fortsetzung der Beteiligung bewaffneter deutscher Streitkräfte an der EU-geführten Ausbildungsmission EUTM Mali auf Grundlage des Ersuchens der malischen Regierung sowie der Beschlüsse 2013/34/GASP und 2013/87/GASP des Rates der Europäischen Union (EU) vom 17. Januar 2013 und vom 18. Februar 2013 in Verbindung mit den Resolutionen 2071 (2012), 2085 (2012) und 2100 (2013) des Sicherheitsrates der Vereinten Nationen </t>
  </si>
  <si>
    <t>18/437</t>
  </si>
  <si>
    <t>Beteiligung bewaffneter deutscher Streitkräfte an der EU-geführten Ausbildungsmission EUTM Somalia auf Grundlage des Ersuchens der somalischen Regierung mit Schreiben vom 27. November 2012 und 11. Januar 2013 sowie der Beschlüsse des Rates der Europäischen Union 2010/96/GASP vom 15. Februar 2010 und 2013/44/GASP vom 22. Januar 2013 in Verbindung mit der Resolution 1872 (2009) des Sicherheitsrates der Vereinten Nationen</t>
  </si>
  <si>
    <t>18/857</t>
  </si>
  <si>
    <t>Beteiligung bewaffneter deutscher Streitkräfte am maritimen Begleitschutz bei der Hydrolyse syrischer Chemiewaffen an Bord der CAPE RAY im Rahmen der gemeinsamen VN/OVCW-Mission zur Vernichtung der syrischen Chemiewaffen</t>
  </si>
  <si>
    <t>18/984</t>
  </si>
  <si>
    <t>Entsendung bewaffneter deutscher Streitkräfte zur Beteiligung an der Europäischen Überbrückungsmission in der Zentralafrikanischen Republik (EUFOR RCA) auf Grundlage der Beschlüsse 2014/73/GASP sowie 2014/183/GASP des Rates der Europäischen Union vom 10. Februar 2014 und vom 1. April 2014 in Verbindung mit den Resolutionen 2127 (2013) und 2134 (2014) des Sicherheitsrates der Vereinten Nationen vom 5. Dezember 2013 und vom 28. Januar 2014</t>
  </si>
  <si>
    <t>18/1081</t>
  </si>
  <si>
    <t>Fortsetzung der Beteiligung bewaffneter deutscher Streitkräfte an der EU-geführten Operation Atalanta zur Bekämpfung der Piraterie vor der Küste Somalias auf Grundlage des Seerechtsübereinkommens der Vereinten Nationen (VN) von 1982 und der Resolutionen 1814 (2008) vom 15. Mai 2008, 1816 (2008) vom 2. Juni 2008, 1838 (2008) vom 7. Oktober 2008, 1846 (2008) vom 2. Dezember 2008, 1851 (2008) vom 16. Dezember 2008, 1897 (2009) vom 30. November 2009, 1950 (2010) vom 23. November 2010, 2020 (2011) vom 22. November 2011, 2077 (2012) vom 21. November 2012, 2125 (2013) vom 18. November 2013 und nachfolgender Resolutionen des Sicherheitsrates der VN in Verbindung mit der Gemeinsamen Aktion 2008/851/GASP des Rates der Europäischen Union (EU) vom 10. November 2008, dem Beschluss 2009/907/GASP des Rates der EU vom 8. Dezember 2009, dem Beschluss 2010/437/GASP des Rates der EU vom 30. Juli 2010, dem Beschluss 2010/766/GASP des Rates der EU vom 7. Dezember 2010 und dem Beschluss 2012/174/GASP des Rates der EU vom 23. März 2012</t>
  </si>
  <si>
    <t>18/1282</t>
  </si>
  <si>
    <t>Fortsetzung der deutschen Beteiligung an der internationalen Sicherheitspräsenz in Kosovo auf der Grundlage der Resolution 1244 (1999) des Sicherheitsrates der Vereinten Nationen vom 10. Juni 1999 und des Militärisch-Technischen Abkommens zwischen der internationalen Sicherheitspräsenz (KFOR) und den Regierungen der Bundesrepublik Jugoslawien (jetzt: Republik Serbien) und der Republik Serbien vom 9. Juni 1999</t>
  </si>
  <si>
    <t>18/1415</t>
  </si>
  <si>
    <t>Fortsetzung der Beteiligung bewaffneter deutscher Streitkräfte an der Multidimensionalen Integrierten Stabilisierungsmission der Vereinten Nationen in Mali (MINUSMA) auf Grundlage der Resolution 2100 (2013) des Sicherheitsrates der Vereinten Nationen vom 25. April 2013</t>
  </si>
  <si>
    <t>18/1416</t>
  </si>
  <si>
    <t>Fortsetzung der Beteiligung bewaffneter deutscher Streitkräfte an der „United Nations Interim Force in Lebanon“ (UNIFIL) auf Grundlage der Resolution 1701 (2006) vom 11. August 2006 und folgender Resolutionen, zuletzt 2115 (2013) vom 29. August 2013 des Sicherheitsrates der Vereinten Nationen</t>
  </si>
  <si>
    <t>18/1417</t>
  </si>
  <si>
    <t>Fortsetzung der Beteiligung bewaffneter deutscher Streitkräfte an der von den Vereinten Nationen geführten Friedensmission in Südsudan (UNMISS) auf Grundlage der Resolution 1996 (2011) des Sicherheitsrates der Vereinten Nationen vom 8. Juli 2011 und Folgeresolutionen, zuletzt 2155 (2014) vom 27. Mai 2014 (Drucksache 18/3005)2057 (2012) vom 5. Juli 2012</t>
  </si>
  <si>
    <t>18/3005</t>
  </si>
  <si>
    <t>Fortsetzung der Beteiligung bewaffneter deutscher Streitkräfte an der AU/UN-Hybrid-Operation in Darfur (UNAMID) auf Grundlage der Resolution 1769 (2007) des Sicherheitsrates der Vereinten Nationen vom 31. Juli 2007 und folgender Resolutionen, zuletzt 2173 (2014) vom 27. August 2014</t>
  </si>
  <si>
    <t>18/3006</t>
  </si>
  <si>
    <t>Fortsetzung der Beteiligung bewaffneter deutscher Streitkräfte an der NATO-geführten Operation ACTIVE ENDEAVOUR im Mittelmeer</t>
  </si>
  <si>
    <t>18/3247</t>
  </si>
  <si>
    <t xml:space="preserve">Entsendung bewaffneter deutscher Streitkräfte am NATO-geführten Einsatz Resolute Support Mission für die Ausbildung, Beratung und Unterstützung der afghanischen nationalen Sicherheitskräfte in Afghanistan </t>
  </si>
  <si>
    <t>18/3246</t>
  </si>
  <si>
    <t>Ausbildungsunterstützung der Sicherheitskräfte der Regierung der Region Kurdistan-Irak und der irakischen Streitkräfte</t>
  </si>
  <si>
    <t>18/3561</t>
  </si>
  <si>
    <t>Fortsetzung der Entsendung bewaffneter deutscher Streitkräfte zur Verstärkung der Integrierten Luftverteidigung der NATO auf Ersuchen der Türkei und auf Grundlage des Rechts auf kollektive Selbstverteidigung (Artikel 51 der Charta der Vereinten Nationen) sowie des Beschlusses des Nordatlantikrates vom 4.Dezember 2012</t>
  </si>
  <si>
    <t>18/3698</t>
  </si>
  <si>
    <t>Fortsetzung der Beteiligung bewaffneter deutscher Streitkräfte an der malischen Streitkräfte (EUTM Mali) auf Grundlage des Ersuchens der malischen Regierung sowie der Beschlüsse 2013/34/GASP und 2013/87/GASP des Rates der Europäischen Union (EU) vom 17. Januar 2013 und vom 18. Februar 2013 in Verbindung mit den Resolutionen 2071 (2012), 2085 (2012),2100 (2013) des Sicherheitsrates der Vereinten Nationen sowie 2164 (2014) vom 2100 (2013) des Sicherheitsrates der Vereinten Nationen sowie 2164 (2014) vom 25.Juni 2014</t>
  </si>
  <si>
    <t>18/3836</t>
  </si>
  <si>
    <t>Fortsetzung der Beteiligung bewaffneter deutscher Streitkräfte an der  EU-geführten Ausbildungs- und Beratungsmission EUTM Somalia auf Grundlage des Ersuchens der somalischen Regierung mit Schreiben vom 27. November 2012 und 11. Januar 2013 sowie der Beschlüsse des Rates der Europäischen Union vom 15. Februar 2010 und 22. Januar 2013 in Verbindung mit den Resolutionen 1872 (2009) und 2158 (2014) des Sicherheitsrates der Vereinten Nationen</t>
  </si>
  <si>
    <t>18/4203</t>
  </si>
  <si>
    <t xml:space="preserve">Fortsetzung der Beteiligung bewaffneter deutscher Streitkräfte an der EU-geführten Operation Atalanta zur Bekämpfung der Piraterie vor der Küste Somalias auf Grundlage des Seerechtsübereinkommens der Vereinten Nationen (VN) von 1982 und der Resolutionen 1814 (2008) vom 15. Mai 2008, 1816 (2008) vom 2. Juni 2008, 1838 (2008) vom 7. Oktober 2008, 1846 (2008) vom 2. Dezember 2008, 1851 (2008) vom 16. Dezember 2008, 1897 (2009) vom 30. November 2009, 1950 (2010) vom 23. November 2010, 2020 (2011) vom 22. November 2011, 2077 (2012) vom 21. November 2012, 2125 (2013) vom 18. November 2013, 2184 (2014) vom 12. November 2014 und nachfolgender Resolutionen des Sicherheitsrates der VN in Verbindung mit der Gemeinsamen Aktion 2008/851/GASP des Rates der Europäischen Union (EU) vom 10. November 2008, dem Beschluss 2009/907/GASP des Rates der EU vom 8. Dezember 2009, dem Beschluss 2010/437/GASP des Rates der EU vom 30. Juli 2010, dem Beschluss 2010/766/GASP des Rates der EU vom 7. Dezember 2010, dem Beschluss 2012/174/GASP des Rates der EU vom 23. März 2012 und dem Beschluss 2014/827/GASP vom 21. November 2014 </t>
  </si>
  <si>
    <t>18/4769</t>
  </si>
  <si>
    <t xml:space="preserve">Beteiligung bewaffneter deutscher Streitkräfte an der durch die Vereinten Nationen geführten Mission UNMIL in Liberia auf Grundlage der Resolution 1509 (2003) und nachfolgender Verlängerungsresolutionen des Sicherheitsrates der Vereinten Nationen, zuletzt Resolution 2190 (2014) vom 15. Dezember 2014 und der Resolution 2215 (2015) vom 2. April 2015 </t>
  </si>
  <si>
    <t>18/4768</t>
  </si>
  <si>
    <t xml:space="preserve">Fortsetzung der Beteiligung an der internationalen Sicherheitspräsenz in Kosovo auf Grundlage der Resolution 1244 (1999) des Sicherheitsrates der Vereinten Nationen vom 10. Juni 1999 und des Militärisch-Technischen Abkommens zwischen der internationalen Sicherheitspräsenz (KFOR) und den Regierungen der Bundesrepublik Jugoslawien (jetzt: Republik Serbien) und der Republik Serbien vom 9. Juni 1999 </t>
  </si>
  <si>
    <t>18/5052</t>
  </si>
  <si>
    <t xml:space="preserve">Fortsetzung der Beteiligung bewaffneter deutscher Streitkräfte an der Multidimensionalen Integrierten Stabilisierungsmission der Vereinten Nationen in Mali (MINUSMA) auf Grundlage der Resolutionen 2100 (2013) und 2164 (2014) des Sicherheitsrates der Vereinten Nationen vom 25. April 2013 und 25. Juni 2014 </t>
  </si>
  <si>
    <t>18/5053</t>
  </si>
  <si>
    <t xml:space="preserve">Fortsetzung der Beteiligung bewaffneter deutscher Streitkräfte an der "United Nations Interim Force in Lebanon" (UNIFIL) auf Grundlage der Resolution 1701 (2006) vom 11. August 2006 und nachfolgender Verlängerungsresolutionen des Sicherheitsrates der Vereinten Nationen, zuletzt Resolution 2172 (2014) vom 26. August 2014 </t>
  </si>
  <si>
    <t>18/5054</t>
  </si>
  <si>
    <t xml:space="preserve">Beteiligung bewaffneter deutscher Streitkräfte an der EU-Operation UNAVFOR MED als ein Teil der Gesamtinitiative der EU zur Unterbindung des Geschäftsmodells der Menschenschmuggel- und Menschenhandelsnetzwerke im südlichen und zentralen Mittelmeer </t>
  </si>
  <si>
    <t>18/6013</t>
  </si>
  <si>
    <t xml:space="preserve">Fortsetzung der Beteiligung bewaffneter deutscher Streitkräfte an der AU/UN-Hybrid-Operation in Darfur (UNAMID) auf Grundlage der Resolution 1769 (2007) des Sicherheitsrates der Vereinten Nationen vom 31. Juli 2007 und folgender Resolutionen, zuletzt 2228 (2015) vom 29. Juni 2015 </t>
  </si>
  <si>
    <t>18/6503</t>
  </si>
  <si>
    <t xml:space="preserve">Fortsetzung der Beteiligung bewaffneter deutscher Streitkräfte an der von den Vereinten Nationen geführten Friedensmission in Südsudan (UNMISS) auf Grundlage der Resolution 1996 (2011) des Sicherheitsrates der Vereinten Nationen vom 8. Juli 2011 und Folgeresolutionen, zuletzt 2241 (2015) vom 9. Oktober 2015 </t>
  </si>
  <si>
    <t>18/6504</t>
  </si>
  <si>
    <t>Einsatz bewaffneter deutscher Streitkräfte zur Verhütung und Unterbindung terroristischer Handlungen durch die Terrororganisation IS auf Grundlage von Artikel 51 der Satzung der Vereinten Nationen in Verbindung mit Artikel 42 Absatz 7 des Vertrages über die Europäische Union sowie den Resolutionen 2170 (2014), 2199 (2015), 2249 (2015) des Sicherheitsrates der Vereinten Nationen</t>
  </si>
  <si>
    <t>18/6866</t>
  </si>
  <si>
    <t>18/6742</t>
  </si>
  <si>
    <t>Fortsetzung der Beteiligung bewaffneter deutscher Streitkräfte am NATO-geführten Einsatz Resolute Support für die Ausbildung, Beratung und Unterstützung der afghanischen nationalen Verteidigungs- und Sicherheitskräfte in Afghanistan</t>
  </si>
  <si>
    <t>18/6743</t>
  </si>
  <si>
    <t>Fortsetzung und Erweiterung der Beteiligung bewaffneter deutscher Streitkräfte an der Multidimensionalen Integrierten Stabilisierungsmission der Vereinten Nationen in Mali (MINUSMA) auf Grundlage der Resolutionen 2100 (2013), 2164 (2014) und 2227 (2015) des Sicherheitsrates der Vereinten Nationen vom 25. April 2013, 25. Juni 2014 und 29. Juni 2015</t>
  </si>
  <si>
    <t>18/7206</t>
  </si>
  <si>
    <t xml:space="preserve">Fortsetzung der Beteiligung bewaffneter deutscher Streitkräfte zur Ausbildungsunterstützung der  Sicherheitskräfte der Regierung der Region Kurdistan-Irak und der irakischen Streitkräfte </t>
  </si>
  <si>
    <t>18/7207</t>
  </si>
  <si>
    <t>Fortsetzung der Beteiligung bewaffneter deutscher Streitkräfte an der EU-geführten Ausbildungs- und Beratungsmission EUTM Somalia auf Grundlage des Ersuchens der somalischen Regierung mit Schreiben vom 27. November 2012 und 11. Januar 2013 sowie der Beschlüsse des Rates der Europäischen Union vom 15. Februar 2010, 22. Januar 2013 und 16. März 2015 in Verbindung mit den Resolutionen 1872 (2009) und 2158 (2014) des Sicherheitsrates der Vereinten Nationen</t>
  </si>
  <si>
    <t>18/7556</t>
  </si>
  <si>
    <t xml:space="preserve">Fortsetzung der Beteiligung bewaffneter deutscher Streitkräfte an der durch die Europäische Union geführten Operation EU NAVFOR Atalanta zur Bekämpfung der Piraterie vor der Küste Somalias auf Grundlage des Seerechtsübereinkommens der Vereinten Nationen (VN) von 1982 und der Resolutionen 1814 (2008) vom 15. Mai 2008 und weiterer Resolutionen, zuletzt 2246 (2015) vom 10. November 2015 und nachfolgender Resolutionen des Sicherheitsrates der VN in Verbindung mit der Gemeinsamen Aktion 2008/851/GASP des Rates der Europäischen Union (EU) vom 10. November 2008, dem Beschluss 2009/907/GASP des Rates der EU vom 8. Dezember 2009 und weiterer Beschlüsse, zuletzt dem Beschluss 2014/827/GASP vom 21. November 2014 </t>
  </si>
  <si>
    <t>18/8091</t>
  </si>
  <si>
    <t xml:space="preserve">Fortsetzung der Beteiligung bewaffneter deutscher Streitkräfte an der Militärmission der Europäischen Union als Beitrag zur Ausbildung der malischen Streitkräfte (EUTM Mali) auf Grundlage des Ersuchens der Regierung von Mali an die EU sowie der Beschlüsse des Rates der EU 2013/87/GASP vom 18. Februar 2013, zuletzt geändert mit dem Beschluss des Rates der EU 2016/446/GASP vom 23. März 2016 in Verbindung mit den Resolutionen des Sicherheitsrates der Vereinten Nationen 2071 (2012) vom 12. Oktober 2012 und folgender Resolutionen, zuletzt 2227 (2015) vom 29. Juni 2015 </t>
  </si>
  <si>
    <t>18/8090</t>
  </si>
  <si>
    <t xml:space="preserve">Fortsetzung der Beteiligung bewaffneter deutscher Streitkräfte an der „United Nations Interim Force in Lebanon“ (UNIFIL) auf Grundlage der Resolution 1701 (2006) und nachfolgender Verlängerungsresolutionen des Sicherheitsrates der Vereinten Nationen, zuletzt Resolution 2236 (2015) vom 21. August 2015 </t>
  </si>
  <si>
    <t>18/8624</t>
  </si>
  <si>
    <t>18/8623</t>
  </si>
  <si>
    <t xml:space="preserve">Fortsetzung und Erweiterung der Beteiligung bewaffneter deutscher Streitkräfte an EUNAVFOR MED Operation SOPHIA </t>
  </si>
  <si>
    <t>18/8878</t>
  </si>
  <si>
    <t xml:space="preserve">Beteiligung bewaffneter deutscher Streitkräfte an der NATO-geführten Maritimen Sicherheitsoperation SEA GUARDIAN im Mittelmeer </t>
  </si>
  <si>
    <t>18/9632</t>
  </si>
  <si>
    <t>Fortsetzung und Ergänzung des Einsatzes bewaffneter deutscher Streitkräfte zur Verhütung und Unterbindung terroristischer Handlungen durch die Terrororganisation IS auf Grundlage von Artikel 51 der Charta der Vereinten Nationen in Verbindung mit Artikel 42 Absatz 7 des Vertrages über die Europäische Union und den Resolutionen 2170 (2014), 2199 (2015), 2249 (2015) des Sicherheitsrates der Vereinten Nationen sowie des Beschlusses der Staats- und Regierungschefs vom NATO-Gipfel am 8./9. Juli 2016.</t>
  </si>
  <si>
    <t>18/9960</t>
  </si>
  <si>
    <t>Fortsetzung der Beteiligung bewaffneter deutscher Streitkräfte an der von den Vereinten Nationen geführten Friedensmission in Südsudan (UNMISS) auf Grundlage der Resolution 1996 (2011) des Sicherheitsrates der Vereinten Nationen vom 8. Juli 2011 und Folgeresolutionen, zuletzt 2304 (2016) vom 12. August 2016</t>
  </si>
  <si>
    <t>18/10188</t>
  </si>
  <si>
    <t>Fortsetzung der Beteiligung bewaffneter deutscher Streitkräfte an der AU/UN-Hybrid- Operation in Darfur (UNAMID) auf Grundlage der Resolution 1769 (2007) des Sicherheitsrates der Vereinten Nationen vom 31. Juli 2007 und folgender Resolutionen, zuletzt 2296 (2016) vom 29. Juni 2016</t>
  </si>
  <si>
    <t>18/10189</t>
  </si>
  <si>
    <t>18/10347</t>
  </si>
  <si>
    <t>Fortsetzung und Erweiterung der Beteiligung bewaffneter deutscher Streitkräfte an der Multidimensionalen Integrierten Stabilisierungsmission der Vereinten Nationen in Mali (MINUSMA) auf Grundlage der Resolutionen 2100 (2013), 2164 (2014), 2227 (2015) und 2295 (2016) des Sicherheitsrates der Vereinten Nationen vom 25. April 2013, 25. Juni 2014, 29. Juni 2015 und 29. Juni 2016</t>
  </si>
  <si>
    <t>18/10819</t>
  </si>
  <si>
    <t>Fortsetzung der Beteiligung bewaffneter deutscher Streitkräfte zur Ausbidlungsunterstützung der Sicherheitskräfte der Regierung der Region Kurdistan-Irak und der Irakischen Streitkräfte</t>
  </si>
  <si>
    <t>18/10820</t>
  </si>
  <si>
    <t xml:space="preserve">Fortsetzung der Beteiligung bewaffneter deutscher Streitkräfte an der EU-geführten Ausbildungs- und Beratungsmission EUTM Somalia </t>
  </si>
  <si>
    <t>18/11273</t>
  </si>
  <si>
    <t>Fortsetzung der Beteiligung bewaffneter deutscher Streitkräfte an der durch die Europäische Union geführten EU NAVFOR Somalia Operation Atalanta zur Bekämpfung der Piraterie vor der Küste Somalias</t>
  </si>
  <si>
    <t>18/11621</t>
  </si>
  <si>
    <t xml:space="preserve">Fortsetzung der Beteiligung bewaffneter deutscher Streitkräfte an der Militärmission der Europäischen Union als Beitrag zur Ausbildung der malischen Streitkräfte (EUTM Mali) </t>
  </si>
  <si>
    <t>18/11628</t>
  </si>
  <si>
    <t xml:space="preserve">Fortsetzung der deutschen Beteiligung an der internationalen Sicherheitspräsenz in Kosovo auf der Grundlage der Resolution 1244 (1999) des Sicherheitsrates der Vereinten Nationen vom 10. Juni 1999 und des Militärisch-Technischen Abkommens zwischen der internationalen Sicherheitspräsenz (KFOR) und den Regierungen der Bundesrepublik Jugoslawien (jetzt: Republik Serbien) und der Republik Serbien vom 9. Juni 1999 </t>
  </si>
  <si>
    <t>18/12298</t>
  </si>
  <si>
    <t xml:space="preserve">Fortsetzung der Beteiligung bewaffneter deutscher Streitkräfte an EUNAVFOR MED Operation SOPHIA </t>
  </si>
  <si>
    <t>18/12491</t>
  </si>
  <si>
    <t xml:space="preserve">Fortsetzung der Beteiligung bewaffneter deutscher Streitkräfte an der „United Nations Interim Force in Lebanon“ (UNIFIL) </t>
  </si>
  <si>
    <t>18/12492</t>
  </si>
  <si>
    <t>Merkel IV*</t>
  </si>
  <si>
    <t>Fortsetzung der Beteiligung bewaffneter deutscher Streitkräfte an der AU-/VN-Hybrid-Operation in Darfur (UNAMID) auf Grundlage der Resolution 1769 (2007) des Sicherheitsrates der Vereinten Nationen vom 31. Juli 2007 und folgender Resolution, zuletzt 2363 (2017) vom 29. Juni 2017</t>
  </si>
  <si>
    <t>19/00019</t>
  </si>
  <si>
    <t>Fortsetzung der Beteiligung bewaffneter deutscher Streitkräfte an der von den Vereinten Nationen geführten Friedensmission in Südsudan (UNMISS) auf Grundlage der Resolution 1996 (2011) des Sicherheitsrates der Vereinten Nationen vom 8. Juli 2011 und Folgeresolutionen, zuletzt 2327 (2016) vom 16. Dezember 2016</t>
  </si>
  <si>
    <t>19/00020</t>
  </si>
  <si>
    <t>19/00021</t>
  </si>
  <si>
    <t>Fortsetzung der Beteiligung bewaffneter deutscher Streitkräfte an der NATO-geführten Maritimen Sicherheitsoperation SEA GUARDIAN im Mittelmeer</t>
  </si>
  <si>
    <t>19/00022</t>
  </si>
  <si>
    <t>Fortsetzung des Einsatzes bewaffneter deutscher Streitkräfte zur Verhütung und Unterbindung terroristischer Handlungen durch die Terrororganisation IS auf Grundlage von Artikel 51 der Charta der Vereinten Nationen in Verbindung mit Artikel 42 Absatz 7 des Vertrages über die Europäische Union und den Resolutionen 2170 (2014), 2199 (2015), 2249 (2015) des Sicherheitsrates der Vereinten Nationen sowie des Beschlusses der Staats- und Regierungschefs vom NATO-Gipfel am 8./9. Juli 2016 und konkretisierenden Folgebeschlüssen des Nordatlantikrats</t>
  </si>
  <si>
    <t>19/00023</t>
  </si>
  <si>
    <t>Fortsetzung der Beteiligung bewaffneter deutscher Streitkräfte an der Multidimensionalen Integrierten Stabilisierungsmission der Vereinten Nationen in Mali (MINUSMA) auf Grundlage der Resolutionen 2100 (2013), 2164 (2014), 2227 (2015), 2295 (2016) und 2364 (2017) des Sicherheitsrates der Vereinten Nationen vom 25. April 2013, 25. Juni 2014, 29. Juni 2015, 29. Juni 2016 und 29. Juni 2017</t>
  </si>
  <si>
    <t>19/00024</t>
  </si>
  <si>
    <t>Fortsetzung der Beteiligung bewaffneter deutscher Streitkräfte zur Ausbildungsunterstützung der Sicherheitskräfte der Regierung der Region Kurdistan-Irak und der irakischen Streitkräfte</t>
  </si>
  <si>
    <t>19/00025</t>
  </si>
  <si>
    <t xml:space="preserve">Merkel V </t>
  </si>
  <si>
    <t xml:space="preserve">Einsatz bewaffneter deutscher Streitkräfte zur nachhaltigen Bekämpfung des IS-Terrors und zur umfassenden Stabilisierung Iraks </t>
  </si>
  <si>
    <t>19/1093</t>
  </si>
  <si>
    <t>Fortsetzung der Beteiligung bewaffneter deutscher Streitkräfte am NATO-geführten Einsatz Resolute Support für die Ausbildung, Beratung und Unterstützung der afghanischen nationalen Verteidigungs- und Sicherheitskräfte in Afghanistan</t>
  </si>
  <si>
    <t>19/1094</t>
  </si>
  <si>
    <t>Fortsetzung der Beteiligung bewaffneter deutscher Streitkräfte an der Mission der Vereinten Nationen in der Republik Südsudan (UNMISS) auf Grundlage der Resolution 1996 (2011) des Sicherheitsrates der Vereinten Nationen vom 8. Juli 2011 und Folgeresolutionen, zuletzt 2392 (2017) vom 14. Dezember 2017</t>
  </si>
  <si>
    <t>19/1095</t>
  </si>
  <si>
    <t>Fortsetzung der Beteiligung bewaffneter deutscher Streitkräfte an dem Hybriden Einsatz der Afrikanischen Union und der Vereinten Nationen in Darfur (UNAMID) auf Grundlage der Resolution 1769 (2007) des Sicherheitsrates der Vereinten Nationen vom 31. Juli 2007 und folgender Resolutionen, zuletzt 2363 (2017) vom 29. Juni 2017</t>
  </si>
  <si>
    <t>19/1096</t>
  </si>
  <si>
    <t>Fortsetzung der Beteiligung bewaffneter deutscher Streitkräfte an der NATO-geführten Maritimen Sicherheitsoperation SEA GUARDIAN im Mittelmeer</t>
  </si>
  <si>
    <t>19/1097</t>
  </si>
  <si>
    <t>Fortsetzung der Beteiligung bewaffneter deutscher Streitkräfte an der Multidimensionalen Integrierten Stabilisierungsmission der Vereinten Nationen in Mali (MINUSMA) auf Grundlage der Resolutionen 2100 (2013), 2164 (2014), 2227 (2015), 2295 (2016) und 2364 (2017) vom 25. April 2013, 25. Juni 2014, 29. Juni 2015, 29. Juni 2016, 29. Juni 2017, ergänzt durch Resolution 2391 (2017) des Sicherheitsrates der Vereinten Nationen vom 8. Dezember 2017</t>
  </si>
  <si>
    <t>19/1098</t>
  </si>
  <si>
    <t>19/1596</t>
  </si>
  <si>
    <t>19/1597</t>
  </si>
  <si>
    <t>19/2381</t>
  </si>
  <si>
    <t>Fortsetzung der Beteiligung bewaffneter deutscher Streitkräfte an der „United Nations Interim Force in Lebanon“ (UNIFIL) auf Grundlage der Resolution 1701 (2006) des Sicherheitsrates der Vereinten Nationen und Folgeresolutionen, zuletzt Resolution 2373 (2017) vom 30. August 2017</t>
  </si>
  <si>
    <t>19/2383</t>
  </si>
  <si>
    <t>Fortsetzung der deutschen Beteiligung an der internationalen Sicherheitspräsenz in Kosovo (KFOR) auf der Grundlage der Resolution 1244 (1999) des Sicherheitsrates der Vereinten Nationen vom 10. Juni 1999</t>
  </si>
  <si>
    <t>19/2384</t>
  </si>
  <si>
    <t>Fortsetzung der Beteiligung bewaffneter deutscher Streitkräfte zur nachhaltigen Bekämpfung des IS-Terrors und zur umfassenden Stabilisierung Iraks</t>
  </si>
  <si>
    <t>19/4719</t>
  </si>
  <si>
    <t>Fortsetzung der Beteiligung bewaffneter deutscher Streitkräfte an dem Hybriden Einsatz der Afrikanischen Union und der Vereinigten Nationen in Darfur (UNAMID)</t>
  </si>
  <si>
    <t>19/7725</t>
  </si>
  <si>
    <t>19/7726</t>
  </si>
  <si>
    <t>19/7727</t>
  </si>
  <si>
    <t>Fortsetzung der Beteiligung bewaffneter deutscher Streitkräfte an der Mission der Vereinten Nationen in der Republik Südsudan (UNMISS)</t>
  </si>
  <si>
    <t>19/7728</t>
  </si>
  <si>
    <t>19/8971</t>
  </si>
  <si>
    <t>Fortsetzung der Beteiligung bewaffneter deutscher Streitkräfte an der Multidimensionalen Integrierten Stabilisierungsmission der Vereinten Nationen in Mali (MINUSMA)</t>
  </si>
  <si>
    <t>19/8972</t>
  </si>
  <si>
    <t>19/8970</t>
  </si>
  <si>
    <t>19/9956</t>
  </si>
  <si>
    <t xml:space="preserve">Fortsetzung der deutschen Beteiligung an der internationalen Sicherheitspräsenz in Kosovo (KFOR) </t>
  </si>
  <si>
    <t>19/10421</t>
  </si>
  <si>
    <t xml:space="preserve">Einsatz bewaffneter deutscher Streitkräfte – Stabilisierung sichern, Wiedererstarken IS verhindern, Versöhnung fördern in Irak und Syrien </t>
  </si>
  <si>
    <t>19/13290</t>
  </si>
  <si>
    <r>
      <t>Scrutin n</t>
    </r>
    <r>
      <rPr>
        <sz val="11"/>
        <color theme="1"/>
        <rFont val="Calibri"/>
        <family val="2"/>
        <scheme val="minor"/>
      </rPr>
      <t>° 73 - séance du 25 novembre 2015</t>
    </r>
  </si>
  <si>
    <r>
      <rPr>
        <sz val="11"/>
        <color rgb="FF0563C1"/>
        <rFont val="Calibri"/>
        <family val="2"/>
        <scheme val="minor"/>
      </rPr>
      <t xml:space="preserve">http://www.shugiin.go.jp/internet/itdb_kaigirokua.nsf/html/kaigirokua/000115320011018007.htm
</t>
    </r>
    <r>
      <rPr>
        <sz val="11"/>
        <color rgb="FF000000"/>
        <rFont val="Calibri"/>
        <family val="2"/>
        <scheme val="minor"/>
      </rPr>
      <t>https://投票行動.com/cgi-bin/cmp.cgi?house=衆議院&amp;names=政党</t>
    </r>
  </si>
  <si>
    <r>
      <t xml:space="preserve">https://www.sangiin.go.jp/japanese/joho1/kousei/gian/170/meisai/m17003170004.htm
</t>
    </r>
    <r>
      <rPr>
        <sz val="11"/>
        <color rgb="FF000000"/>
        <rFont val="Calibri"/>
        <family val="2"/>
        <scheme val="minor"/>
      </rPr>
      <t>https://投票行動.com/cgi-bin/cmp.cgi?house=衆議院&amp;names=政党</t>
    </r>
  </si>
  <si>
    <r>
      <t xml:space="preserve">https://www.sangiin.go.jp/japanese/joho1/kousei/gian/171/meisai/m17103171061.htm
</t>
    </r>
    <r>
      <rPr>
        <sz val="11"/>
        <color rgb="FF000000"/>
        <rFont val="Calibri"/>
        <family val="2"/>
        <scheme val="minor"/>
      </rPr>
      <t>https://投票行動.com/cgi-bin/cmp.cgi?house=衆議院&amp;names=政党</t>
    </r>
  </si>
  <si>
    <t>국군의료부대의 ｢유엔서부사하라평화유지단(MINURSO)｣ 파견연장동의안</t>
  </si>
  <si>
    <r>
      <t>ANAP;</t>
    </r>
    <r>
      <rPr>
        <sz val="11"/>
        <color rgb="FFFFFF00"/>
        <rFont val="Calibri"/>
        <family val="2"/>
        <scheme val="minor"/>
      </rPr>
      <t xml:space="preserve"> </t>
    </r>
    <r>
      <rPr>
        <sz val="11"/>
        <color theme="1"/>
        <rFont val="Calibri"/>
        <family val="2"/>
        <scheme val="minor"/>
      </rPr>
      <t>DYP</t>
    </r>
  </si>
  <si>
    <r>
      <t xml:space="preserve">Entsendung bewaffneter deutscher Streitkräfte zur Verstärkung der integrierten Luftverteidigung der NATO auf Ersuchen der Türkei und auf Grundlage des Rechts auf kollektive Selbstverteidigung (Artikel 51 der Charta der Vereinten Nationen) sowie des Beschlusses des Nordatlantikrates vom 4. Dezember 2012 </t>
    </r>
    <r>
      <rPr>
        <sz val="11"/>
        <color indexed="8"/>
        <rFont val="Calibri"/>
        <family val="2"/>
        <scheme val="minor"/>
      </rPr>
      <t> </t>
    </r>
  </si>
  <si>
    <r>
      <t xml:space="preserve">Fortsetzung der Beteiligung bewaffneter deutscher Streitkräfte an dem Einsatz der Internationalen Sicherheitsunterstützungstruppe in Afghanistan (International Security Assistance Force, ISAF) unter Führung der NATO auf Grundlage der Resolution 1386 (2001) und folgender Resolutionen, zuletzt Resolution 2069 (2012) vom 9. Oktober 2012 des Sicherheitsrates der Vereinten Nationen </t>
    </r>
    <r>
      <rPr>
        <sz val="11"/>
        <color indexed="8"/>
        <rFont val="Calibri"/>
        <family val="2"/>
        <scheme val="minor"/>
      </rPr>
      <t> </t>
    </r>
  </si>
  <si>
    <r>
      <t xml:space="preserve">Deutsche Beteiligung an Maßnahmen von NATO und WEU zur Durchsetzung von Beschlüssen des Sicherheitsrats der Vereinten Nationen </t>
    </r>
    <r>
      <rPr>
        <sz val="11"/>
        <color indexed="8"/>
        <rFont val="Calibri"/>
        <family val="2"/>
        <scheme val="minor"/>
      </rPr>
      <t>zum Adria-Embargo und Flugverbot über Bosnien-Herzegowina</t>
    </r>
  </si>
  <si>
    <r>
      <t>Fortsetzung des Einsatzes bewaffneter deutscher Streitkräfte bei der Unterstützung der gemeinsamen Reaktion auf terroristische Angriffe gegen die USA auf Grundlage des Artikels 51 der Satzung der Vereinten Nationen und des Artikels 5 des Nordatlantikvertrags sowie der Resolutionen 1368 (2001) und 1373 (2001) des Sicherheitsrats der Vereinten Nationen</t>
    </r>
    <r>
      <rPr>
        <sz val="11"/>
        <color indexed="8"/>
        <rFont val="Calibri"/>
        <family val="2"/>
        <scheme val="minor"/>
      </rPr>
      <t xml:space="preserve"> </t>
    </r>
  </si>
  <si>
    <r>
      <t xml:space="preserve">Beteiligung bewaffneter deutscher Streitkräfte an dem NATO-geführten Einsatz auf </t>
    </r>
    <r>
      <rPr>
        <b/>
        <sz val="11"/>
        <rFont val="Calibri"/>
        <family val="2"/>
        <scheme val="minor"/>
      </rPr>
      <t>mazedonischem</t>
    </r>
    <r>
      <rPr>
        <sz val="11"/>
        <rFont val="Calibri"/>
        <family val="2"/>
        <scheme val="minor"/>
      </rPr>
      <t xml:space="preserve"> Territorium zur weiteren Stabilisierung des Friedensprozesses und zum Schutz von Beobachtern internationaler Organisationen im Rahmen der weiteren Implementierung des politischen Rahmenabkommens vom 13. August 2001 auf der Grundlage des Ersuchens des mazedonischen Präsidenten Trajkovski vom 21. November 2002 und der Resolution 1371 (2001) des Sicherheitsrats der Vereinten Nationen vom 26. September 2001</t>
    </r>
  </si>
  <si>
    <r>
      <t>Fortsetzung der Beteiligung bewaffneter deutscher Streitkräfte an dem Einsatz einer Internationalen Sicherheitsunterstützungstruppe in Afghanistan auf Grundlage der Resolutionen 1386 (2001) vom 20. Dezember 2001, 1413 (2002) vom 23. Mai 2002 und 1444 (2002) vom 27. November 2002 des Sicherheitsrats der Vereinten Nationen</t>
    </r>
    <r>
      <rPr>
        <sz val="11"/>
        <color indexed="8"/>
        <rFont val="Calibri"/>
        <family val="2"/>
        <scheme val="minor"/>
      </rPr>
      <t xml:space="preserve"> </t>
    </r>
  </si>
  <si>
    <r>
      <t>Beteiligung bewaffneter deutscher Streitkräfte an dem EU-geführten Einsatz auf mazedonischem Territorium zur weiteren Stabilisierung des Friedensprozesses und zum Schutz von Beobachtern internationaler Organisationen im Rahmen der weiteren Implementierung des politischen Rahmenabkommens vom</t>
    </r>
    <r>
      <rPr>
        <sz val="11"/>
        <color indexed="8"/>
        <rFont val="Calibri"/>
        <family val="2"/>
        <scheme val="minor"/>
      </rPr>
      <t xml:space="preserve"> 13. August 2001 auf der Grundlage des Ersuchens des mazedonischen Präsidenten Trajkovski vom 17. Januar 2003 und der Resolution 1371 (2001) des Sicherheitsrats der Vereinten Nationen vom 26. September 2001</t>
    </r>
  </si>
  <si>
    <r>
      <t>Beteiligung bewaffneter deutscher Streitkräfte an dem EU-geführten Einsatz zur Stabilisierung der Sicherheitslage und Verbesserung der humanitären Situation in Bunia auf der Grundlage der Resolution 1484 (2003) des Sicherheitsrats der Vereinten Nationen vom 30.Mai 2003</t>
    </r>
    <r>
      <rPr>
        <sz val="11"/>
        <color indexed="8"/>
        <rFont val="Calibri"/>
        <family val="2"/>
        <scheme val="minor"/>
      </rPr>
      <t xml:space="preserve"> </t>
    </r>
  </si>
  <si>
    <r>
      <t>Fortsetzung und Erweiterung der Beteiligung bewaffneter deutscher Streitkräfte an dem Einsatz einer Internationalen Sicherheitsunterstützungstruppe in Afghanistan auf Grundlage der Resolution 1386 (2001) vom 20. Dezember 2001, 1413 (2002) vom 23. Mai 2002, 1444 (2002) vom 27. November 2002 und 1510 (2003) vom 13. Oktober 2003 des Sicherheitsrats der Vereinten Nationen</t>
    </r>
    <r>
      <rPr>
        <sz val="11"/>
        <color indexed="8"/>
        <rFont val="Calibri"/>
        <family val="2"/>
        <scheme val="minor"/>
      </rPr>
      <t xml:space="preserve"> </t>
    </r>
  </si>
  <si>
    <r>
      <t>Fortsetzung der Beteiligung bewaffneter deutscher Streitkräfte an dem Einsatz der Internationalen Sicherheitsunterstützungstruppe in Afghanistan unter Führung der NATO auf Grundlage der Resolutionen 1386 (2001) vom 20. Dezember 2001, 1413 (2002) vom 23. Mai 2002, 1444 (2002) vom 27. November 2002, 1510 (2003) vom 13. Oktober 2003 und 1563 (2004) vom 17. September 2004 des Sicherheitsrats der Vereinten Nationen</t>
    </r>
    <r>
      <rPr>
        <sz val="11"/>
        <color indexed="8"/>
        <rFont val="Calibri"/>
        <family val="2"/>
        <scheme val="minor"/>
      </rPr>
      <t xml:space="preserve"> </t>
    </r>
  </si>
  <si>
    <t>House(USA)</t>
  </si>
  <si>
    <t>Senate(USA)</t>
  </si>
  <si>
    <t>AI</t>
  </si>
  <si>
    <t>ROK</t>
  </si>
  <si>
    <t>MDP</t>
  </si>
  <si>
    <t>GNP</t>
  </si>
  <si>
    <t>SP</t>
  </si>
  <si>
    <t>Hwang Kyo-ahn</t>
  </si>
  <si>
    <t>LKP</t>
  </si>
  <si>
    <t>Somalia, maritime</t>
  </si>
  <si>
    <t>support_intervention</t>
  </si>
  <si>
    <t xml:space="preserve">Parliament Decision no. 46 of December 16, 1998 on approving the supplementation with a number of 10 police officers of the Romanian Police force participating in the International Police Group (I.P.T.F.) from Bosnia and Herzegovina
</t>
  </si>
  <si>
    <t>EUTM (Mali)</t>
  </si>
  <si>
    <t>anti-Daesh (Syria)</t>
  </si>
  <si>
    <t>anti-Daesh (Iraq)</t>
  </si>
  <si>
    <t>UNMOGIP (India/Pakistan)</t>
  </si>
  <si>
    <t>UNAMSIL (Sierra Leone)</t>
  </si>
  <si>
    <t>MINURSO (Western Sahara)</t>
  </si>
  <si>
    <t>UNMEE (Ethiopia/Eritrea)</t>
  </si>
  <si>
    <t>UNMIL (Liberia)</t>
  </si>
  <si>
    <t>MINUSTAH (Haiti)</t>
  </si>
  <si>
    <t>Active Endeavour (Mediterranean Sea)</t>
  </si>
  <si>
    <t>UNDOF (Golan Heights)</t>
  </si>
  <si>
    <t>MINURCAT (Chad/RCA)</t>
  </si>
  <si>
    <t>UNSMIS (Syria)</t>
  </si>
  <si>
    <t>Resolute Support Mission (Afghanistan)</t>
  </si>
  <si>
    <t>EUFOR Althea (Bosnia and Herzegovina)</t>
  </si>
  <si>
    <t>Sea Guardian (Mediterranean Sea)</t>
  </si>
  <si>
    <t>UNPROFOR (Bosnia and Herzegovina/ Croatia)</t>
  </si>
  <si>
    <t>SFOR (Bosnia and Herzegovina)</t>
  </si>
  <si>
    <t>EUFOR Artemis (DRC)</t>
  </si>
  <si>
    <t>EUTM (Somalia)</t>
  </si>
  <si>
    <t>MINUSCA (CAR)</t>
  </si>
  <si>
    <t>EUMAM RCA (CAR)</t>
  </si>
  <si>
    <t>IFOR (Bosnia and Herzegovina)</t>
  </si>
  <si>
    <t>Harmattan (FRN Libya)</t>
  </si>
  <si>
    <t>Enduring Freedom</t>
  </si>
  <si>
    <t>Eagle Eye (Kosovo)</t>
  </si>
  <si>
    <t>Amber Fox (North Macedonia)</t>
  </si>
  <si>
    <t>EUFOR Concordia (North Macedonia)</t>
  </si>
  <si>
    <t>Darfur (Sudan)</t>
  </si>
  <si>
    <t>Iraq (GMY training of Kurdish forces)</t>
  </si>
  <si>
    <t>NATO Mission Iraq (NMI)</t>
  </si>
  <si>
    <t>AFISMA (Mali)</t>
  </si>
  <si>
    <t>Syria C-weapons destruction</t>
  </si>
  <si>
    <t>UNAMID (Sudan/Darfur)</t>
  </si>
  <si>
    <t>UNMIS (Sudan)</t>
  </si>
  <si>
    <t>UNMISS (South Sudan)</t>
  </si>
  <si>
    <t>UNOSOM II (Somalia)</t>
  </si>
  <si>
    <t>INTERFET (East Timor)</t>
  </si>
  <si>
    <t>ALBA (Albania)</t>
  </si>
  <si>
    <t>UNOMOZ (Mozambique)</t>
  </si>
  <si>
    <t>Enduring Freedom (Kyrgyztan)</t>
  </si>
  <si>
    <t>EMASOH (Strait of Hormuz)</t>
  </si>
  <si>
    <t>EUBAM Rafah (Israel/Gaza)</t>
  </si>
  <si>
    <t>UNAVEM II (Angola)</t>
  </si>
  <si>
    <t>UNAVEM III (Angola)</t>
  </si>
  <si>
    <t>UNMISET (East Timor)</t>
  </si>
  <si>
    <t>EUPM (Bosnia and Herzegovina)</t>
  </si>
  <si>
    <t>MONUSCO (DRC)</t>
  </si>
  <si>
    <t>UMMIK (Kosovo)</t>
  </si>
  <si>
    <t>UNMIK (Kosovo)</t>
  </si>
  <si>
    <t>UNFICYP (Cyprus)</t>
  </si>
  <si>
    <t>UNTAET (East Timor)</t>
  </si>
  <si>
    <t>Iraq (Turkish intervention)</t>
  </si>
  <si>
    <t>Northern Watch (post-Gulf War)</t>
  </si>
  <si>
    <t>Provide Comfort (post-Gulf War)</t>
  </si>
  <si>
    <t>Provide Comfort II (post-Gulf War)</t>
  </si>
  <si>
    <t>UNITAF (Somalia)</t>
  </si>
  <si>
    <t>Enduring Freedom - Maritime Interdiction Operation (Indian Ocean)</t>
  </si>
  <si>
    <t>NATO enhanced Forward Presence (Baltics)</t>
  </si>
  <si>
    <t>EUPOL (Afghanistan)</t>
  </si>
  <si>
    <t>ISAF/EUPOL (Afghanistan)</t>
  </si>
  <si>
    <t>anti-Daesh (Iraq/Kuweit)</t>
  </si>
  <si>
    <t>IPTF (Bosnia and Herzegovina)</t>
  </si>
  <si>
    <t>NATO (mission) headquarters</t>
  </si>
  <si>
    <t>EU operations (Balkans)</t>
  </si>
  <si>
    <t>EU/NATO operations (Balkans)</t>
  </si>
  <si>
    <t>Distinguished Games (NATO, Olympic Games Athens)</t>
  </si>
  <si>
    <t>Essential Harvest (North Macedonia)</t>
  </si>
  <si>
    <t>Sharp Guard, Deny Flight (Bosnia and Herzegovina)</t>
  </si>
  <si>
    <t>WEU Policing Mostar (Bosnia and Herzegovina)</t>
  </si>
  <si>
    <t>UN-led operation (North and East Africa)</t>
  </si>
  <si>
    <t>Integrated Police Training Mission Kunduz (Afghanistan)</t>
  </si>
  <si>
    <t>Active Fence (NATO air defense Turkey/Syria)</t>
  </si>
  <si>
    <t>Display Deterrence (Turkey)</t>
  </si>
  <si>
    <t>United Nations Standby Arrangement System (UNSAS)</t>
  </si>
  <si>
    <t>Iraq SSR reform</t>
  </si>
  <si>
    <t>CZ-SLK mutual air defense</t>
  </si>
  <si>
    <t>OSCE observer mission (Nagorno-Karabakh)</t>
  </si>
  <si>
    <t>UNOMUR (Uganda &amp; Rwanda)</t>
  </si>
  <si>
    <t>Eagle Eye (Kosovo) &amp; OSCE mission (Kosovo)</t>
  </si>
  <si>
    <t>NATO (Kosovo)</t>
  </si>
  <si>
    <t>UN-Turkey UNSAS agreement</t>
  </si>
  <si>
    <t>war on terror</t>
  </si>
  <si>
    <t>Bosnia and Herzegovina</t>
  </si>
  <si>
    <t>TIPH (Hebron)</t>
  </si>
  <si>
    <t>Mediterranean Sea</t>
  </si>
  <si>
    <t>NATO allies' territory</t>
  </si>
  <si>
    <t>Africa</t>
  </si>
  <si>
    <t>Balkans</t>
  </si>
  <si>
    <t>Indian Ocean</t>
  </si>
  <si>
    <t>Carribean</t>
  </si>
  <si>
    <t>Europe (other than Balkans)</t>
  </si>
  <si>
    <t>Asia (other than Afghanistan)</t>
  </si>
  <si>
    <t>africa</t>
  </si>
  <si>
    <t>afghanistan</t>
  </si>
  <si>
    <t>multiple</t>
  </si>
  <si>
    <t>Gulf War (air transport)</t>
  </si>
  <si>
    <t>Gulf War (medical)</t>
  </si>
  <si>
    <t>Iraq War (constructor, engineers, medical)</t>
    <phoneticPr fontId="10" type="noConversion"/>
  </si>
  <si>
    <t>Enduring Freedom (constructors, engineers - Afghanistan)</t>
  </si>
  <si>
    <t>Iraq War (constructor, engineers, medical, Extension, Reduction Plan)</t>
    <phoneticPr fontId="10" type="noConversion"/>
  </si>
  <si>
    <t>Iraq War (constructor, engineers, medical, extension, end of mission plan of mission)</t>
    <phoneticPr fontId="10" type="noConversion"/>
  </si>
  <si>
    <t>Special forces training (UAE)</t>
  </si>
  <si>
    <t>UNPROFOR Iraq, UN PKO Rep of Congo, OSCE Georgia</t>
  </si>
  <si>
    <t>Under FN at sende et dansk orlogsfartøj samt eventuelt et forsyningsskib til Mellemøsten</t>
  </si>
  <si>
    <t>1989-1990 B 81</t>
  </si>
  <si>
    <t>https://www.folketingstidende.dk/samling/19891/beslutningsforslag/B81/19891_B81_BEH2_M103_referat.pdf</t>
  </si>
  <si>
    <t>Humanitær bistand til ofre for en eventuel væbnet konflikt i Mellemøsten</t>
  </si>
  <si>
    <t>1990-1991 II L 63</t>
  </si>
  <si>
    <t>https://www.folketingstidende.dk/samling/19902/lovforslag/L63/19902_L63_BEH3_M12_referat.pdf</t>
  </si>
  <si>
    <t>Stille en dansk militær styrke til rådighed for De Forenede Nationer</t>
  </si>
  <si>
    <t>1991-1992 B 95</t>
  </si>
  <si>
    <t>https://www.folketingstidende.dk/samling/19911/beslutningsforslag/B95/index.htm</t>
  </si>
  <si>
    <t>Øge sikkerheden hos det danske personel ved FN's fredsbevarende styrke i det forhenværende Jugoslavien (UNPROFOR) samt udvide det danske bidrag til UNPROFOR's hovedkvarterskompagni i Bosnien-Hercegovina</t>
  </si>
  <si>
    <t>1992-1993 B 79</t>
  </si>
  <si>
    <t>https://www.folketingstidende.dk/samling/19921/beslutningsforslag/B79/index.htm</t>
  </si>
  <si>
    <t>Dansk deltagelse i den internationale maritime embargo mod det tidligere Jugoslavien</t>
  </si>
  <si>
    <t>Implementation of UN sanctioned international embargo against fomer Yugoslavia</t>
  </si>
  <si>
    <t>1992-1993 B 99</t>
  </si>
  <si>
    <t>https://www.folketingstidende.dk/samling/19921/beslutningsforslag/B99/index.htm</t>
  </si>
  <si>
    <t>1993-1994 B 84</t>
  </si>
  <si>
    <t>https://www.folketingstidende.dk/samling/19931/beslutningsforslag/B84/index.htm</t>
  </si>
  <si>
    <t>Det danske engagement ved FN's fredsbevarende styrke i det tidligere Jugoslavien (UNPROFOR)</t>
  </si>
  <si>
    <t>1994-1995 B 34</t>
  </si>
  <si>
    <t>https://www.folketingstidende.dk/samling/19941/beslutningsforslag/B34/index.htm</t>
  </si>
  <si>
    <t>Dansk deltagelse i en implementeringsstyrke for fredsaftalen for Bosnien-Hercegovina</t>
  </si>
  <si>
    <t>1995-1996 B 60</t>
  </si>
  <si>
    <t>https://www.folketingstidende.dk/samling/19951/beslutningsforslag/B60/index.htm</t>
  </si>
  <si>
    <t>Dansk deltagelse i en opfølgningsstyrke i Bosnien-Hercegovina</t>
  </si>
  <si>
    <t>1996-1997 B 68</t>
  </si>
  <si>
    <t>https://www.folketingstidende.dk/samling/19961/beslutningsforslag/B68/index.htm</t>
  </si>
  <si>
    <t>Dansk deltagelse i en multinational sikringsstyrke i Albanien</t>
  </si>
  <si>
    <t>1996-1997 B 123</t>
  </si>
  <si>
    <t>https://www.folketingstidende.dk/samling/19961/beslutningsforslag/B123/index.htm</t>
  </si>
  <si>
    <t>Dansk militært bidrag til en multinational indsats i Mellemøsten</t>
  </si>
  <si>
    <t>UNSCOM (post-Gulf War)</t>
  </si>
  <si>
    <t>1997-1998 I B 114</t>
  </si>
  <si>
    <t>https://www.folketingstidende.dk/samling/19971/beslutningsforslag/B114/index.htm</t>
  </si>
  <si>
    <t>Dansk militært bidrag til FN's fredsbevarende operation i Vestsahara</t>
  </si>
  <si>
    <t>1997-1998 II B 29</t>
  </si>
  <si>
    <t>https://www.folketingstidende.dk/samling/19972/beslutningsforslag/B29/index.htm</t>
  </si>
  <si>
    <t>Dansk militært bidrag til en NATO-indsats på det vestlige Balkan</t>
  </si>
  <si>
    <t>1998-1999 B 4</t>
  </si>
  <si>
    <t>https://www.folketingstidende.dk/samling/19981/beslutningsforslag/B4/index.htm</t>
  </si>
  <si>
    <t>Dansk deltagelse i en NATO-ledet multinational styrke i Albanien</t>
  </si>
  <si>
    <t>1998-1999 B 116</t>
  </si>
  <si>
    <t>https://www.folketingstidende.dk/samling/19981/beslutningsforslag/B116/index.htm</t>
  </si>
  <si>
    <t>Udvidet dansk militært bidrag til en NATO-indsats på det vestlige Balkan</t>
  </si>
  <si>
    <t>1998-1999 B 128</t>
  </si>
  <si>
    <t>https://www.folketingstidende.dk/samling/19981/beslutningsforslag/B128/index.htm</t>
  </si>
  <si>
    <t>Maritim håndhævelse af handelssanktioner over for Forbundsrepublikken Jugoslavien og om et dansk maritimt bidrag til NATO's indsats på det vestlige Balkan</t>
  </si>
  <si>
    <t>1998-1999 B 146</t>
  </si>
  <si>
    <t>https://www.folketingstidende.dk/samling/19981/beslutningsforslag/B146/index.htm</t>
  </si>
  <si>
    <t>Dansk deltagelse i en international styrke i Kosovo</t>
  </si>
  <si>
    <t>1998-1999 B 148</t>
  </si>
  <si>
    <t>https://www.folketingstidende.dk/samling/19981/beslutningsforslag/B148/index.htm</t>
  </si>
  <si>
    <t>Udvidelse af operationsområdet for det danske bidrag til den NATO-ledede multinationale styrke i Albanien</t>
  </si>
  <si>
    <t>1998-1999 B 151</t>
  </si>
  <si>
    <t>https://www.folketingstidende.dk/samling/19981/beslutningsforslag/B151/index.htm</t>
  </si>
  <si>
    <t>Dansk deltagelse inden for rammen af Stand-by Forces High Readiness Brigade (SHIRBRIG) i en FN-fredsbevarende operation i Etiopien/Eritrea</t>
  </si>
  <si>
    <t>2000-2001 B 33</t>
  </si>
  <si>
    <t>https://www.folketingstidende.dk/samling/20001/beslutningsforslag/B33/index.htm</t>
  </si>
  <si>
    <t>Dansk deltagelse i en NATO-indsats i Makedonien (FYROM)</t>
  </si>
  <si>
    <t>2001-2002 I B 5</t>
  </si>
  <si>
    <t>https://www.folketingstidende.dk/samling/20011/beslutningsforslag/B5/index.htm</t>
  </si>
  <si>
    <t>Dansk maritimt bidrag til NATO's flådeoperationer i den østlige del af Middelhavet.</t>
  </si>
  <si>
    <t>2001-2002 I B 65</t>
  </si>
  <si>
    <t>https://www.folketingstidende.dk/samling/20011/beslutningsforslag/B65/index.htm</t>
  </si>
  <si>
    <t>Dansk militær deltagelse i den internationale indsats mod terrornetværk i Afghanistan.</t>
  </si>
  <si>
    <t>2001-2002 II B 37</t>
  </si>
  <si>
    <t>https://www.folketingstidende.dk/samling/20012/beslutningsforslag/B37/index.htm</t>
  </si>
  <si>
    <t>Dansk militær deltagelse i en international sikkerhedsstyrke i Afghanistan</t>
  </si>
  <si>
    <t>2001-2002 II B 45</t>
  </si>
  <si>
    <t>https://www.folketingstidende.dk/samling/20012/beslutningsforslag/B45/index.htm</t>
  </si>
  <si>
    <t>Udvidet dansk maritimt bidrag til NATO's flådeoperationer i den østlige del af Middelhavet</t>
  </si>
  <si>
    <t>2001-2002 II B 109</t>
  </si>
  <si>
    <t>https://www.folketingstidende.dk/samling/20012/beslutningsforslag/B109/index.htm</t>
  </si>
  <si>
    <t>Dansk militær deltagelse i en multinational indsats i Irak</t>
  </si>
  <si>
    <t>2002-2003 B 118</t>
  </si>
  <si>
    <t>https://www.folketingstidende.dk/samling/20021/beslutningsforslag/B118/index.htm</t>
  </si>
  <si>
    <t>Dansk militær deltagelse i en multinational sikringsstyrke i Irak</t>
  </si>
  <si>
    <t>2002-2003 B 165</t>
  </si>
  <si>
    <t>https://www.folketingstidende.dk/samling/20021/beslutningsforslag/B165/index.htm</t>
  </si>
  <si>
    <t>Styrkelse af det danske bidrag til den multinationale sikringsstyrke i Irak</t>
  </si>
  <si>
    <t>2003-2004 B 1</t>
  </si>
  <si>
    <t>https://www.folketingstidende.dk/samling/20031/beslutningsforslag/B1/index.htm</t>
  </si>
  <si>
    <t>Udvidelse af det danske bidrag til den internationale sikkerhedsstyrke ISAF i Afghanistan</t>
  </si>
  <si>
    <t>2003-2004 B 57</t>
  </si>
  <si>
    <t>https://www.folketingstidende.dk/samling/20031/beslutningsforslag/B56/index.htm</t>
  </si>
  <si>
    <t>Fortsat dansk bidrag til den multinationale sikringsstyrke i Irak</t>
  </si>
  <si>
    <t>2003-2004 B 56</t>
  </si>
  <si>
    <t>Dansk styrkebidrag til NATO's håndhævelse af suveræniteten i luftrummet over Estland, Letland og Litauen som led i NATO's integrerede luftforsvar.</t>
  </si>
  <si>
    <t>NATO air defense (Baltics)</t>
  </si>
  <si>
    <t>2003-2004 B 210</t>
  </si>
  <si>
    <t>https://www.folketingstidende.dk/samling/20031/beslutningsforslag/B210/index.htm</t>
  </si>
  <si>
    <t>Fortsat dansk bidrag til en multinational sikringsstyrke i Irak</t>
  </si>
  <si>
    <t>2003-2004 B 213</t>
  </si>
  <si>
    <t>https://www.folketingstidende.dk/samling/20031/beslutningsforslag/B213/index.htm</t>
  </si>
  <si>
    <t>2004-2005 I B 43</t>
  </si>
  <si>
    <t>https://www.ft.dk/samling/20041/beslutningsforslag/b43/index.htm</t>
  </si>
  <si>
    <t>Fortsat dansk bidrag til en multinational sikringsstyrke i Irak.</t>
  </si>
  <si>
    <t>2004-2005 I B 42</t>
  </si>
  <si>
    <t>https://www.ft.dk/samling/20041/beslutningsforslag/b42/index.htm</t>
  </si>
  <si>
    <t>Dansk deltagelse i en fredsbevarende FN-operation i Sudan</t>
  </si>
  <si>
    <t>2004-2005 II B 71</t>
  </si>
  <si>
    <t>https://www.ft.dk/samling/20042/beslutningsforslag/b71/index.htm</t>
  </si>
  <si>
    <t>2004-2005 II B 89</t>
  </si>
  <si>
    <t>https://www.ft.dk/samling/20042/beslutningsforslag/b89/index.htm</t>
  </si>
  <si>
    <t>2005-2006 B 63</t>
  </si>
  <si>
    <t>https://www.ft.dk/samling/20051/beslutningsforslag/b63/index.htm</t>
  </si>
  <si>
    <t>Udvidelse af det danske bidrag til den internationale sikkerhedsstyrke ISAF i Afghanistan.</t>
  </si>
  <si>
    <t>2005-2006 B 64</t>
  </si>
  <si>
    <t>https://www.ft.dk/samling/20051/beslutningsforslag/b64/index.htm</t>
  </si>
  <si>
    <t>Videreførelse af et dansk bidrag til den multinationale sikringsstyrke m.v. i Irak og om, at danske militære styrker stilles til rådighed for FN's bistandsmission til Irak</t>
  </si>
  <si>
    <t>2005-2006 B 139</t>
  </si>
  <si>
    <t>https://www.ft.dk/samling/20051/beslutningsforslag/b139/index.htm</t>
  </si>
  <si>
    <t>Dansk sømilitært bidrag til den udvidede FN-styrke i Libanon</t>
  </si>
  <si>
    <t>2005-2006 B 146</t>
  </si>
  <si>
    <t>https://www.ft.dk/samling/20051/beslutningsforslag/b146/index.htm</t>
  </si>
  <si>
    <t>Tilbagetrækning af danske militære styrker fra Afghanistan og mere bistand til genopbygning i Afghanistan.</t>
  </si>
  <si>
    <t>ISAF (Afghanistan) - withdrawal</t>
  </si>
  <si>
    <t>2006-2007 B 61</t>
  </si>
  <si>
    <t>https://www.ft.dk/samling/20061/beslutningsforslag/b61/index.htm</t>
  </si>
  <si>
    <t>Styrkelse af det danske bidrag til den internationale sikkerhedsstyrke ISAF i Afghanistan.</t>
  </si>
  <si>
    <t>2006-2007 B 161</t>
  </si>
  <si>
    <t>https://www.ft.dk/samling/20061/beslutningsforslag/b161/index.htm</t>
  </si>
  <si>
    <t>Det danske bidrag i Irak til den multinationale sikringsstyrke m.v.</t>
  </si>
  <si>
    <t>2006-2007 B 162</t>
  </si>
  <si>
    <t>https://www.ft.dk/samling/20061/beslutningsforslag/b162/index.htm</t>
  </si>
  <si>
    <t>Udsendelse af en kampvognsdeling til det militære danske bidrag til den internationale sikkerhedsstyrke (ISAF) i Afghanistan.</t>
  </si>
  <si>
    <t>2007-2008 I B 6</t>
  </si>
  <si>
    <t>https://www.ft.dk/samling/20071/beslutningsforslag/b6/index.htm</t>
  </si>
  <si>
    <t>Dansk sømilitært bidrag til ledsagelse af skibe med nødhjælp til Somalia chartret af FN’s Verdensfødevareprogram</t>
  </si>
  <si>
    <t>2007-2008 II B 32</t>
  </si>
  <si>
    <t>https://www.ft.dk/samling/20072/beslutningsforslag/b32/index.htm</t>
  </si>
  <si>
    <t>Dansk deltagelse med sømilitært bidrag til styrkelse af den maritime sikkerhed ved Afrikas Horn</t>
  </si>
  <si>
    <t>2007-2008 II B 33</t>
  </si>
  <si>
    <t>https://www.ft.dk/samling/20072/beslutningsforslag/b33/index.htm</t>
  </si>
  <si>
    <t>Udsendelse af et helikopterdetachement til det militære danske bidrag til den internationale sikkerhedsstyrke (ISAF) i Afghanistan</t>
  </si>
  <si>
    <t>2007-2008 II B 140</t>
  </si>
  <si>
    <t>https://www.ft.dk/samling/20072/beslutningsforslag/b140/index.htm</t>
  </si>
  <si>
    <t>Styrkelse af det danske bidrag til den internationale sikkerhedsstyrke (ISAF) i Afghanistan</t>
  </si>
  <si>
    <t>2008-2009 B 26</t>
  </si>
  <si>
    <t>https://www.ft.dk/samling/20081/beslutningsforslag/b24/index.htm</t>
  </si>
  <si>
    <t>Dansk styrkebidrag til NATO's rotationsordning til overvågning og afvisningsberedskab i islandsk luftrum som led i NATO's integrerede luftforsvar.</t>
  </si>
  <si>
    <t>NATO air defense (Iceland)</t>
  </si>
  <si>
    <t>2008-2009 B 35</t>
  </si>
  <si>
    <t>https://www.ft.dk/samling/20081/beslutningsforslag/b35/index.htm</t>
  </si>
  <si>
    <t>Dansk landmilitært bidrag til den internationale FN-styrke i Libanon</t>
  </si>
  <si>
    <t>2009-2010 B 41</t>
  </si>
  <si>
    <t>https://www.ft.dk/samling/20091/beslutningsforslag/b41/index.htm</t>
  </si>
  <si>
    <t>Dansk militært bidrag til NATO’s Operation Ocean Shield som led i den internationale indsats mod pirateri ud for Afrikas Horn</t>
  </si>
  <si>
    <t>Ocean Shield (anti-piracy Horn of Africa)</t>
  </si>
  <si>
    <t>2009-2010 B 59</t>
  </si>
  <si>
    <t>https://www.ft.dk/samling/20091/beslutningsforslag/b59/index.htm</t>
  </si>
  <si>
    <t>Dansk militært bidrag til en international militær indsats i Libyen</t>
  </si>
  <si>
    <t>2010-2011 I B 89</t>
  </si>
  <si>
    <t>https://www.ft.dk/samling/20101/beslutningsforslag/b89/index.htm</t>
  </si>
  <si>
    <t>Dansk militært bidrag til støtte for indsatsen i Mali</t>
  </si>
  <si>
    <t>2012-2013 B 49</t>
  </si>
  <si>
    <t>https://www.ft.dk/samling/20121/beslutningsforslag/b49/index.htm</t>
  </si>
  <si>
    <t>Dansk militært bidrag til FN’s fredsbevarende operation MINUSMA i Mali</t>
  </si>
  <si>
    <t>2013-2014 B 28</t>
  </si>
  <si>
    <t>https://www.ft.dk/samling/20131/beslutningsforslag/b28/index.htm</t>
  </si>
  <si>
    <t>Dansk bidrag til FN’s og OPCW’s mission i Syrien</t>
  </si>
  <si>
    <t>2013-2014 B 29</t>
  </si>
  <si>
    <t>https://www.ft.dk/samling/20131/beslutningsforslag/b29/index.htm</t>
  </si>
  <si>
    <t>Dansk militært bidrag til støtte for FN’s indsats i Den Centralafrikanske Republik</t>
  </si>
  <si>
    <t>2013-2014 B 67</t>
  </si>
  <si>
    <t>https://www.ft.dk/samling/20131/beslutningsforslag/b67/index.htm</t>
  </si>
  <si>
    <t>Dansk militært bidrag til støtte for indsatsen i Irak</t>
  </si>
  <si>
    <t>2013-2014 B 122</t>
  </si>
  <si>
    <t>https://www.ft.dk/samling/20131/beslutningsforslag/b122/index.htm</t>
  </si>
  <si>
    <t>Yderligere dansk militært bidrag til støtte for indsatsen mod ISIL</t>
  </si>
  <si>
    <t>2013-2014 B 123</t>
  </si>
  <si>
    <t>https://www.ft.dk/samling/20131/beslutningsforslag/b123/index.htm</t>
  </si>
  <si>
    <t>Dansk militært bidrag til NATO's Resolute Support Mission i Afghanistan</t>
  </si>
  <si>
    <t>2014-2015 I B 25</t>
  </si>
  <si>
    <t>https://www.ft.dk/samling/20141/beslutningsforslag/b25/index.htm</t>
  </si>
  <si>
    <t>Udsendelse af et supplerende dansk militært bidrag til støtte for indsatsen mod ISIL</t>
  </si>
  <si>
    <t>2015-2016 B 8</t>
  </si>
  <si>
    <t>https://www.ft.dk/samling/20151/beslutningsforslag/b8/index.htm</t>
  </si>
  <si>
    <t>Yderligere dansk militært bidrag til FN’s fredsbevarende operation MINUSMA i YMali</t>
  </si>
  <si>
    <t>2015-2016 B 26</t>
  </si>
  <si>
    <t>https://www.ft.dk/samling/20151/beslutningsforslag/b26/index.htm</t>
  </si>
  <si>
    <t>Udsendelse af yderligere danske militære bidrag til støtte for indsatsen mod ISIL i Irak og Syrien</t>
  </si>
  <si>
    <t>anti-Daesh (Iraq/Syria)</t>
  </si>
  <si>
    <t>2015-2016 B 108</t>
  </si>
  <si>
    <t>https://www.ft.dk/samling/20151/beslutningsforslag/b108/index.htm</t>
  </si>
  <si>
    <t>Dansk bidrag til en international maritim operation med henblik på borttransport af rester fra Libyens kemiske våbenlager</t>
  </si>
  <si>
    <t>Libya - OPCW plan for destruction of Libya's chemical weapons</t>
  </si>
  <si>
    <t>2015-2016 B 197</t>
  </si>
  <si>
    <t>https://www.ft.dk/samling/20151/beslutningsforslag/b197/index.htm</t>
  </si>
  <si>
    <t>Dansk militært bidrag til amerikansk hangarskibsgruppe, herunder til støtte for den internationale koalitions indsats mod ISIL i Irak og Syrien samt fremme af maritim sikkerhed</t>
  </si>
  <si>
    <t>2016-2017 B 56</t>
  </si>
  <si>
    <t>https://www.ft.dk/samling/20161/beslutningsforslag/b56/index.htm</t>
  </si>
  <si>
    <t>Dansk militært bidrag til NATO's fremskudte tilstedeværelse i Baltikum og Polen</t>
  </si>
  <si>
    <t>NATO enhanced Forward Presence (Baltics and Poland)</t>
  </si>
  <si>
    <t>2016-2017 B 150</t>
  </si>
  <si>
    <t>https://www.ft.dk/samling/20161/beslutningsforslag/b150/index.htm</t>
  </si>
  <si>
    <t>Danske militære bidrag til NATOs maritime Operation Sea Guardian i Middelhavet.</t>
  </si>
  <si>
    <t>Udsendelse af yderligere danske militære bidrag til støtte for indsatsen mod ISIL i Irak og Syrien.</t>
  </si>
  <si>
    <t>Danske militære bidrag til NATO-landes nationale flådestyrker, herunder til fremme af maritim sikkerhed og forsvar af flådestyrkerne.</t>
  </si>
  <si>
    <t>Danske militære bidrag til FN’s fredsbevarende mission i Mali, MINUSMA.</t>
  </si>
  <si>
    <t>Danske militære bidrag til »Operation Barkhane«</t>
  </si>
  <si>
    <t>Yemeni civil war</t>
  </si>
  <si>
    <t>Uphold Democracy (Haiti)</t>
  </si>
  <si>
    <t>Iraq, War on Terror, tsunami relief</t>
  </si>
  <si>
    <t>Iraq, War on Terror, hurricane recovery</t>
  </si>
  <si>
    <t>Allied Harmony (North Macedonia)</t>
  </si>
  <si>
    <t>disaster relief (Philippines)</t>
  </si>
  <si>
    <t>Eagle Eye (Kosovo) &amp; sanctions</t>
  </si>
  <si>
    <t xml:space="preserve">Enduring Freedom &amp; Active Endeavor (Mediterranean Sea) </t>
  </si>
  <si>
    <t>NATO air defense (Poland)</t>
  </si>
  <si>
    <t>Iraq- US intervention and accompanying Turkish forces into Northern Iraq</t>
  </si>
  <si>
    <t>CTF 150 (anti-piracy Horn of Africa)</t>
  </si>
  <si>
    <t>CTF 151 (anti-piracy Horn of Africa)</t>
  </si>
  <si>
    <t>EUNAVFOR Atalanta &amp; CTF 151 (anti-piracy Horn of Africa)</t>
  </si>
  <si>
    <t>EUNAVFOR Atalanta (anti-piracy Horn of Africa)</t>
  </si>
  <si>
    <t>United States Security Coordinator (USSC, Palestine)</t>
  </si>
  <si>
    <t>Sangaris (French mission Central African Republic)</t>
  </si>
  <si>
    <t>multiple (UNDOF (Golan Heights), MINUSMA (Mali) )</t>
  </si>
  <si>
    <t>PRIJEDLOG ODLUKE O SUDJELOVANJU ORUŽANIH SNAGA REPUBLIKE HRVATSKE U SKLOPU AKTIVNOSTI OJAČANE PREDNJE PRISUTNOSTI NATO-a U REPUBLICI LITVI</t>
  </si>
  <si>
    <t>PRIJEDLOG ODLUKE O SUDJELOVANJU ORUŽANIH SNAGA REPUBLIKE HRVATSKE U SKLOPU AKTIVNOSTI OJAČANE PREDNJE PRISUTNOSTI NATO-a U REPUBLICI POLJSKOJ</t>
  </si>
  <si>
    <t>https://www.sabor.hr/hr/prijedlog-odluke-o-sudjelovanju-oruzanih-snaga-republike-hrvatske-u-sklopu-aktivnosti-ojacane-0</t>
  </si>
  <si>
    <t>https://www.sabor.hr/hr/prijedlog-odluke-o-sudjelovanju-oruzanih-snaga-republike-hrvatske-u-sklopu-aktivnosti-ojacane</t>
  </si>
  <si>
    <t>PRIJEDLOG ODLUKE O SUDJELOVANJU ORUŽANIH SNAGA REPUBLIKE HRVATSKE U SKLOPU AKTIVNOSTI OJAČANE PREDNJE PRISUTNOSTI NATO-A U REPUBLICI POLJSKOJ</t>
  </si>
  <si>
    <t>https://www.sabor.hr/hr/prijedlog-odluke-o-sudjelovanju-oruzanih-snaga-republike-hrvatske-u-sklopu-aktivnosti-ojacane-1</t>
  </si>
  <si>
    <t>PRIJEDLOG ODLUKE O SUDJELOVANJU ORUŽANIH SNAGA REPUBLIKE HRVATSKE U SKLOPU AKTIVNOSTI OJAČANE PREDNJE PRISUTNOSTI NATO-A U REPUBLICI LITVI</t>
  </si>
  <si>
    <t>https://www.sabor.hr/hr/prijedlog-odluke-o-sudjelovanju-oruzanih-snaga-republike-hrvatske-u-sklopu-aktivnosti-ojacane-2</t>
  </si>
  <si>
    <t>IX-1507/2019</t>
  </si>
  <si>
    <t>IX-1096/2018</t>
  </si>
  <si>
    <t>no_votes_parl</t>
  </si>
  <si>
    <t>yes_votes_parl</t>
  </si>
  <si>
    <t>area_of_deployment</t>
  </si>
  <si>
    <t>partiesgov</t>
  </si>
  <si>
    <t>RCV</t>
  </si>
  <si>
    <t>document_ID</t>
  </si>
  <si>
    <t>document_ID_URL</t>
  </si>
  <si>
    <t>MINURSO; UNAMSIL; UNDOF; UNFICYP; UNIFIL; UNMEE; UNMIL; UNMISUD; UNOCI; UNOMIG</t>
  </si>
  <si>
    <t>MINURSO; MINUSTAH; UNFICYP; UNMEE; UNMIL; UNMIS; UNMOGIP; UNOCI; UNOMIG; UNTSO</t>
  </si>
  <si>
    <t>BINUB; UNAMA; UNIFIL; UNIOSIL; UNMIN</t>
  </si>
  <si>
    <t>MINURSO; MINUSTAH; UNDOF; UNFICYP; UNMEE; UNMIL; UNMIS; UNMOGIP; UNOCI; UNOMIG; UNTSO</t>
  </si>
  <si>
    <t>Multiple4</t>
  </si>
  <si>
    <t xml:space="preserve">BINUB; MINURCAT; UNAMA; UNIFIL; </t>
  </si>
  <si>
    <t>Multiple5</t>
  </si>
  <si>
    <t>MINURCAT; MINURSO; UNDOF; UNFICYP; UNIFIL; UNMIL; UNMIS; UNMOGIP</t>
  </si>
  <si>
    <t>Multiple6</t>
  </si>
  <si>
    <t>MINURSO; UNDOF; UNFICYP; UNIFIL; UNMIL; UNMISS; UNMOGIP</t>
  </si>
  <si>
    <t>Multiple7</t>
  </si>
  <si>
    <t>MINURSO; UNFICYP; UNIFIL; UNMIL; UNMISS; UNMOGIP</t>
  </si>
  <si>
    <t>Multiple8</t>
  </si>
  <si>
    <t>Multiple9</t>
  </si>
  <si>
    <t>MINURSO; UNIFIL; UNMOGIP</t>
  </si>
  <si>
    <t>NATO enhanced Forward Presence (Poland)</t>
  </si>
  <si>
    <t>Multiple10</t>
  </si>
  <si>
    <t>Multiple11</t>
  </si>
  <si>
    <t>Multiple12</t>
  </si>
  <si>
    <t>Multiple13</t>
  </si>
  <si>
    <t>Multiple14-1</t>
  </si>
  <si>
    <t>Multiple14-2</t>
  </si>
  <si>
    <t xml:space="preserve">EUPOL Kinshasa, Enduring Freedom, Active Endeavour, Resolute Behaviour, ISAF, Over the Horizon, MSU Kosobo, Joint Guardian, NATO HQ Skopje, UNMIK, CIU, Albit 2, NATO HQ Tirana, EUMM Bosnia, TIPH 2, UNMEE, Malta, Somalia and Sudan, Althea, EUPM Bosnia, EUPOL Proxima, </t>
  </si>
  <si>
    <t xml:space="preserve">Enduring Freedom, Active Endeavour, Resolute Behaviour, ISAF, Over the Horizon, MSU Kosovo, Joing Guardian, NATO HQ Skopje, UNMIK, CIU, Albit 2, NATO HQ Tirana, EUMM Bosnia, TIPH 2, UNMEE, Malta, Somalia and Sudan, Althea, EUPM Bosnia, EUPOL Proxima, </t>
  </si>
  <si>
    <t>Multiple16</t>
  </si>
  <si>
    <t>Multiple17</t>
  </si>
  <si>
    <t>Multiple18</t>
  </si>
  <si>
    <t>Multiple19</t>
  </si>
  <si>
    <t>Multiple20</t>
  </si>
  <si>
    <t>Multiple21</t>
  </si>
  <si>
    <t>Multiple22</t>
  </si>
  <si>
    <t>Multiple23</t>
  </si>
  <si>
    <t>Multiple24</t>
  </si>
  <si>
    <t>Multiple25</t>
  </si>
  <si>
    <t>Multiple26</t>
  </si>
  <si>
    <t>Multiple28</t>
  </si>
  <si>
    <t>Multiple29</t>
  </si>
  <si>
    <t>Multiple30</t>
  </si>
  <si>
    <t>Multiple31</t>
  </si>
  <si>
    <t>Multiple32</t>
  </si>
  <si>
    <t>Multiple33</t>
  </si>
  <si>
    <t>Multiple34</t>
  </si>
  <si>
    <t>Multiple35</t>
  </si>
  <si>
    <t>Multiple36</t>
  </si>
  <si>
    <t>Multiple37</t>
  </si>
  <si>
    <t>Multiple38</t>
  </si>
  <si>
    <t>Multiple39</t>
  </si>
  <si>
    <t>Multiple40</t>
  </si>
  <si>
    <t>Multiple41</t>
  </si>
  <si>
    <t>Multiple42</t>
  </si>
  <si>
    <t>Multiple43</t>
  </si>
  <si>
    <t>Multiple44</t>
  </si>
  <si>
    <t>Multiple45</t>
  </si>
  <si>
    <t>Multiple46</t>
  </si>
  <si>
    <t>Multiple47</t>
  </si>
  <si>
    <t>Multiple48</t>
  </si>
  <si>
    <t>Multiple49</t>
  </si>
  <si>
    <t>Multiple50</t>
  </si>
  <si>
    <t>Multiple51</t>
  </si>
  <si>
    <t>Multiple52</t>
  </si>
  <si>
    <t>Multiple53</t>
  </si>
  <si>
    <t>Multiple54</t>
  </si>
  <si>
    <t>Multiple55</t>
  </si>
  <si>
    <t>Multiple56</t>
  </si>
  <si>
    <t>Multiple57</t>
  </si>
  <si>
    <t>Multiple58</t>
  </si>
  <si>
    <t>Multiple59</t>
  </si>
  <si>
    <t>ISAF, KFOR, Atalanta, MINUSMA, EUNAVFOR MED operation SOPHIA, Ukraine training mission</t>
  </si>
  <si>
    <t>ISAF, KFOR, Atalanta, MINUSMA, EUNAVFOR MED operation SOPHIA, Inherent Resolve</t>
  </si>
  <si>
    <t>Multiple14</t>
  </si>
  <si>
    <t>Multiple15</t>
  </si>
  <si>
    <t>NATO mission to Afghanistan, US mission Enduring Freedom, Central and South Asia</t>
  </si>
  <si>
    <t>NRF (NATO Response Force) and NATO headquarters</t>
  </si>
  <si>
    <t>NATO missions in Afghanistan, Kosovo, Ocean Shield, and Atalanta</t>
  </si>
  <si>
    <t>NATO missions in Afghanistan, Kosovo, Ocean Shield, and Atalanta, Sangaris</t>
  </si>
  <si>
    <t>CZE</t>
  </si>
  <si>
    <t>TUR</t>
  </si>
  <si>
    <t>TBMM(TUR)</t>
  </si>
  <si>
    <t>Poslanecká sněmovna (House of Deputies)(CZE)</t>
  </si>
  <si>
    <t>Senát Parlamentu České republiky(CZE)</t>
  </si>
  <si>
    <t>Vote sur la prolongation de l’intervention en République de Côte d’Ivoire</t>
  </si>
  <si>
    <t>Vote sur la prolongation de l’intervention au Kosovo</t>
  </si>
  <si>
    <t>Vote sur la prolongation de l’intervention au Liban</t>
  </si>
  <si>
    <t>Vote sur la prolongation de l’opération EUFOR</t>
  </si>
  <si>
    <t>Vote sur la prolongation des opérations Boali et Épervier</t>
  </si>
  <si>
    <t>https://www.assemblee-nationale.fr/13/cri/2008-2009/20090140.asp#P807_241408</t>
  </si>
  <si>
    <t>Session ordinaire de 2008-2009 Compte rendu intégral Première séance du mercredi 28 janvier 2009</t>
  </si>
  <si>
    <t>AUL</t>
  </si>
  <si>
    <t>DEN</t>
  </si>
  <si>
    <t>SPN</t>
  </si>
  <si>
    <t>IRE</t>
  </si>
  <si>
    <t>LIT</t>
  </si>
  <si>
    <t>NTH</t>
  </si>
  <si>
    <t>SLO</t>
  </si>
  <si>
    <t>UKG</t>
  </si>
  <si>
    <t>Commons(UKG)</t>
  </si>
  <si>
    <t>Congreso de los Diputados(SPN)</t>
  </si>
  <si>
    <t>Joint session Senate-Chamber of Deputies(ROM)</t>
  </si>
  <si>
    <t>Tweede Kamer(NTH)</t>
  </si>
  <si>
    <t>Seimas(LIT)</t>
  </si>
  <si>
    <t>National Assembly(ROK)</t>
  </si>
  <si>
    <t>Dáil(IRE)</t>
  </si>
  <si>
    <t>Bundestag(GMY)</t>
  </si>
  <si>
    <t>Assemblée nationale(FRN)</t>
  </si>
  <si>
    <t>Sénat(FRN)</t>
  </si>
  <si>
    <t>Folketinget(DEN)</t>
  </si>
  <si>
    <t>Belgische Kamer van Volksvertegenwoordigers(BEL)</t>
  </si>
  <si>
    <t>Senate(AUL)</t>
  </si>
  <si>
    <t>LIB; NP(A)</t>
  </si>
  <si>
    <t>CD&amp;V; cdH; MR; Open Vld; PS</t>
  </si>
  <si>
    <t>PS; sp.a; MR; Open Vld; CD&amp;V; cdH</t>
  </si>
  <si>
    <t>CD&amp;V; MR; Open vld; N-VA</t>
  </si>
  <si>
    <t>ODS; CSSD; SZ</t>
  </si>
  <si>
    <t>SDP; KOK; RKP; VAS; VIHR</t>
  </si>
  <si>
    <t>KESK; SDP; RKP</t>
  </si>
  <si>
    <t>KESK; KOK; VIHR; RKP</t>
  </si>
  <si>
    <t>KOK; SDP; RKP; KD</t>
  </si>
  <si>
    <t>PS; PRG [MRG]</t>
  </si>
  <si>
    <t>UMP; NC [AC]</t>
  </si>
  <si>
    <t>PS; PRG; EELV</t>
  </si>
  <si>
    <t>PS; PRG</t>
  </si>
  <si>
    <t>FF; Lab</t>
  </si>
  <si>
    <t>FG; Lab; DLP</t>
  </si>
  <si>
    <t>FF; PD</t>
  </si>
  <si>
    <t>FF; Green; PD</t>
  </si>
  <si>
    <t>FG; Lab</t>
  </si>
  <si>
    <t>FG; IA</t>
  </si>
  <si>
    <t>LDP; NK; NCP</t>
  </si>
  <si>
    <t>LDP; NK</t>
  </si>
  <si>
    <t>BSDK (LSDP; LDDP; NDP; LRS); NS-SL</t>
  </si>
  <si>
    <t>PvdA; VVD; D66</t>
  </si>
  <si>
    <t>CDA; LPF; VVD</t>
  </si>
  <si>
    <t>CDA; VVD; D66</t>
  </si>
  <si>
    <t>CDA; VVD</t>
  </si>
  <si>
    <t>CDA; PvdA; CU</t>
  </si>
  <si>
    <t>VVD; CDA</t>
  </si>
  <si>
    <t>VVD; PvdA</t>
  </si>
  <si>
    <t>VVD; CDA; D66; CU</t>
  </si>
  <si>
    <t>PNT-CD; PSDR; PNL; PD; UDMR</t>
  </si>
  <si>
    <t>PNT-CD; PNL; UDMR; PD; PSDR</t>
  </si>
  <si>
    <t xml:space="preserve">PDSR; PSDR; PUR </t>
  </si>
  <si>
    <t>PD-L; PSD</t>
  </si>
  <si>
    <t>PSD; ALDE</t>
  </si>
  <si>
    <t>HZDS; SNS</t>
  </si>
  <si>
    <t>SDL; KDH; APR; ADS; NDS</t>
  </si>
  <si>
    <t>HZDS; SNS; ZRS</t>
  </si>
  <si>
    <t>SDKU; SDL; SOP; SMK</t>
  </si>
  <si>
    <t>SDKU; SMK; KDH; ANO</t>
  </si>
  <si>
    <t>SMER; HZDS; SNS</t>
  </si>
  <si>
    <t>SDKU; SaS; KDH; MOST-HID</t>
  </si>
  <si>
    <t>SMER; SNS; Most-Hid</t>
  </si>
  <si>
    <t>CP; LibDems</t>
  </si>
  <si>
    <t>EUNAVFOR MED (Meditarranean Sea)</t>
  </si>
  <si>
    <t>Národná Rada(SLO)</t>
  </si>
  <si>
    <t>House of Representatives(AUL)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</si>
</sst>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dd\-mm\-yy;@"/>
  </numFmts>
  <fonts count="20" x14ac:knownFonts="1">
    <font>
      <sz val="11"/>
      <color theme="1"/>
      <name val="Calibri"/>
      <family val="2"/>
      <scheme val="minor"/>
    </font>
    <font>
      <sz val="11"/>
      <color theme="1"/>
      <name val="Calibri"/>
      <family val="2"/>
      <scheme val="minor"/>
    </font>
    <font>
      <b/>
      <sz val="11"/>
      <name val="Calibri"/>
      <family val="2"/>
      <scheme val="minor"/>
    </font>
    <font>
      <sz val="11"/>
      <color indexed="8"/>
      <name val="Calibri"/>
      <family val="2"/>
    </font>
    <font>
      <sz val="11"/>
      <name val="Calibri"/>
      <family val="2"/>
      <scheme val="minor"/>
    </font>
    <font>
      <sz val="12"/>
      <color indexed="8"/>
      <name val="Calibri"/>
      <family val="2"/>
    </font>
    <font>
      <u/>
      <sz val="11"/>
      <color theme="10"/>
      <name val="Calibri"/>
      <family val="2"/>
      <scheme val="minor"/>
    </font>
    <font>
      <sz val="11"/>
      <color rgb="FFFF0000"/>
      <name val="Calibri"/>
      <family val="2"/>
      <scheme val="minor"/>
    </font>
    <font>
      <sz val="11"/>
      <color rgb="FF333333"/>
      <name val="Calibri"/>
      <family val="2"/>
      <scheme val="minor"/>
    </font>
    <font>
      <sz val="11"/>
      <color rgb="FF666666"/>
      <name val="Calibri"/>
      <family val="2"/>
      <scheme val="minor"/>
    </font>
    <font>
      <i/>
      <sz val="11"/>
      <name val="Calibri"/>
      <family val="2"/>
      <scheme val="minor"/>
    </font>
    <font>
      <sz val="11"/>
      <color rgb="FF000000"/>
      <name val="Calibri"/>
      <family val="2"/>
      <scheme val="minor"/>
    </font>
    <font>
      <sz val="11"/>
      <name val="Calibri"/>
      <family val="2"/>
    </font>
    <font>
      <sz val="11"/>
      <color rgb="FFFFFF00"/>
      <name val="Calibri"/>
      <family val="2"/>
      <scheme val="minor"/>
    </font>
    <font>
      <b/>
      <sz val="11"/>
      <color theme="1"/>
      <name val="Calibri"/>
      <family val="2"/>
      <scheme val="minor"/>
    </font>
    <font>
      <sz val="11"/>
      <color indexed="8"/>
      <name val="Calibri"/>
      <family val="2"/>
      <scheme val="minor"/>
    </font>
    <font>
      <sz val="11"/>
      <color rgb="FF454545"/>
      <name val="Calibri"/>
      <family val="2"/>
      <scheme val="minor"/>
    </font>
    <font>
      <sz val="11"/>
      <color rgb="FF0563C1"/>
      <name val="Calibri"/>
      <family val="2"/>
      <scheme val="minor"/>
    </font>
    <font>
      <sz val="11"/>
      <color rgb="FF212121"/>
      <name val="Arial"/>
      <family val="2"/>
      <charset val="238"/>
    </font>
    <font>
      <sz val="12"/>
      <color theme="1"/>
      <name val="Cambria"/>
      <family val="1"/>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1">
    <border>
      <left/>
      <right/>
      <top/>
      <bottom/>
      <diagonal/>
    </border>
  </borders>
  <cellStyleXfs count="11">
    <xf numFmtId="0" fontId="0" fillId="0" borderId="0"/>
    <xf numFmtId="9" fontId="1" fillId="0" borderId="0" applyFont="0" applyFill="0" applyBorder="0" applyAlignment="0" applyProtection="0"/>
    <xf numFmtId="0" fontId="3" fillId="0" borderId="0"/>
    <xf numFmtId="0" fontId="3" fillId="0" borderId="0"/>
    <xf numFmtId="0" fontId="5" fillId="0" borderId="0"/>
    <xf numFmtId="0" fontId="1" fillId="0" borderId="0"/>
    <xf numFmtId="0" fontId="1" fillId="0" borderId="0"/>
    <xf numFmtId="0" fontId="6" fillId="0" borderId="0" applyNumberFormat="0" applyFill="0" applyBorder="0" applyAlignment="0" applyProtection="0"/>
    <xf numFmtId="0" fontId="1" fillId="0" borderId="0"/>
    <xf numFmtId="0" fontId="1" fillId="0" borderId="0"/>
    <xf numFmtId="0" fontId="12" fillId="0" borderId="0"/>
  </cellStyleXfs>
  <cellXfs count="113">
    <xf numFmtId="0" fontId="0" fillId="0" borderId="0" xfId="0"/>
    <xf numFmtId="0" fontId="2"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horizontal="center" wrapText="1" shrinkToFit="1"/>
    </xf>
    <xf numFmtId="0" fontId="4" fillId="0" borderId="0" xfId="0" applyFont="1" applyAlignment="1">
      <alignment horizontal="center"/>
    </xf>
    <xf numFmtId="0" fontId="4" fillId="0" borderId="0" xfId="0" applyFont="1" applyAlignment="1">
      <alignment horizontal="left"/>
    </xf>
    <xf numFmtId="1" fontId="4" fillId="0" borderId="0" xfId="0" applyNumberFormat="1" applyFont="1" applyAlignment="1">
      <alignment horizontal="center"/>
    </xf>
    <xf numFmtId="0" fontId="4" fillId="0" borderId="0" xfId="2" applyFont="1" applyAlignment="1">
      <alignment horizontal="center"/>
    </xf>
    <xf numFmtId="0" fontId="4" fillId="0" borderId="0" xfId="2" applyFont="1" applyAlignment="1">
      <alignment horizontal="left"/>
    </xf>
    <xf numFmtId="1" fontId="4" fillId="0" borderId="0" xfId="2" applyNumberFormat="1" applyFont="1" applyAlignment="1">
      <alignment horizontal="center"/>
    </xf>
    <xf numFmtId="1" fontId="2" fillId="0" borderId="0" xfId="0" applyNumberFormat="1" applyFont="1" applyAlignment="1">
      <alignment horizontal="center" wrapText="1"/>
    </xf>
    <xf numFmtId="165" fontId="4" fillId="0" borderId="0" xfId="1" applyNumberFormat="1" applyFont="1" applyFill="1" applyBorder="1" applyAlignment="1">
      <alignment horizontal="center"/>
    </xf>
    <xf numFmtId="164" fontId="4" fillId="0" borderId="0" xfId="2" applyNumberFormat="1" applyFont="1" applyAlignment="1">
      <alignment horizontal="left"/>
    </xf>
    <xf numFmtId="14" fontId="2" fillId="0" borderId="0" xfId="0" applyNumberFormat="1" applyFont="1" applyAlignment="1">
      <alignment horizontal="center" wrapText="1"/>
    </xf>
    <xf numFmtId="1" fontId="4" fillId="0" borderId="0" xfId="2" applyNumberFormat="1" applyFont="1" applyAlignment="1">
      <alignment horizontal="center" vertical="center"/>
    </xf>
    <xf numFmtId="0" fontId="4" fillId="0" borderId="0" xfId="9" applyFont="1" applyAlignment="1">
      <alignment horizontal="left" vertical="center"/>
    </xf>
    <xf numFmtId="14" fontId="4" fillId="0" borderId="0" xfId="0" applyNumberFormat="1" applyFont="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vertical="center"/>
    </xf>
    <xf numFmtId="0" fontId="2" fillId="0" borderId="0" xfId="0" applyFont="1" applyAlignment="1">
      <alignment wrapText="1"/>
    </xf>
    <xf numFmtId="0" fontId="4" fillId="0" borderId="0" xfId="0" applyFont="1"/>
    <xf numFmtId="0" fontId="0" fillId="0" borderId="0" xfId="0" applyAlignment="1">
      <alignment horizontal="left"/>
    </xf>
    <xf numFmtId="14" fontId="4" fillId="0" borderId="0" xfId="0" applyNumberFormat="1" applyFont="1" applyAlignment="1">
      <alignment horizontal="center" vertical="center"/>
    </xf>
    <xf numFmtId="0" fontId="4" fillId="0" borderId="0" xfId="7" applyFont="1" applyFill="1" applyBorder="1" applyAlignment="1">
      <alignment horizontal="left"/>
    </xf>
    <xf numFmtId="0" fontId="14" fillId="0" borderId="0" xfId="0" applyFont="1" applyAlignment="1">
      <alignment horizontal="left"/>
    </xf>
    <xf numFmtId="49" fontId="0" fillId="0" borderId="0" xfId="0" applyNumberFormat="1" applyAlignment="1">
      <alignment horizontal="left"/>
    </xf>
    <xf numFmtId="49" fontId="14" fillId="0" borderId="0" xfId="0" applyNumberFormat="1" applyFont="1" applyAlignment="1">
      <alignment horizontal="left"/>
    </xf>
    <xf numFmtId="14" fontId="0" fillId="0" borderId="0" xfId="2" applyNumberFormat="1" applyFont="1" applyAlignment="1">
      <alignment horizontal="center"/>
    </xf>
    <xf numFmtId="0" fontId="6" fillId="0" borderId="0" xfId="7" applyFill="1" applyBorder="1" applyAlignment="1">
      <alignment horizontal="left"/>
    </xf>
    <xf numFmtId="49" fontId="1" fillId="0" borderId="0" xfId="8" applyNumberFormat="1" applyAlignment="1">
      <alignment horizontal="left"/>
    </xf>
    <xf numFmtId="1" fontId="1" fillId="0" borderId="0" xfId="8" applyNumberFormat="1" applyAlignment="1">
      <alignment horizontal="center"/>
    </xf>
    <xf numFmtId="0" fontId="1" fillId="0" borderId="0" xfId="8" applyAlignment="1">
      <alignment horizontal="center"/>
    </xf>
    <xf numFmtId="0" fontId="4" fillId="0" borderId="0" xfId="0" applyFont="1" applyAlignment="1">
      <alignment horizontal="left" vertical="center"/>
    </xf>
    <xf numFmtId="14" fontId="0" fillId="0" borderId="0" xfId="0" applyNumberFormat="1" applyAlignment="1">
      <alignment horizontal="center" vertical="center"/>
    </xf>
    <xf numFmtId="49" fontId="4" fillId="0" borderId="0" xfId="0" applyNumberFormat="1" applyFont="1" applyAlignment="1">
      <alignment horizontal="left" vertical="center"/>
    </xf>
    <xf numFmtId="0" fontId="7" fillId="0" borderId="0" xfId="0" applyFont="1"/>
    <xf numFmtId="0" fontId="0" fillId="2" borderId="0" xfId="0" applyFill="1"/>
    <xf numFmtId="0" fontId="0" fillId="2" borderId="0" xfId="0" applyFill="1" applyAlignment="1">
      <alignment horizontal="center"/>
    </xf>
    <xf numFmtId="0" fontId="0" fillId="2" borderId="0" xfId="0" applyFill="1" applyAlignment="1">
      <alignment horizontal="left"/>
    </xf>
    <xf numFmtId="165" fontId="4" fillId="2" borderId="0" xfId="1" applyNumberFormat="1" applyFont="1" applyFill="1" applyBorder="1" applyAlignment="1">
      <alignment horizontal="center"/>
    </xf>
    <xf numFmtId="0" fontId="7" fillId="2" borderId="0" xfId="0" applyFont="1" applyFill="1"/>
    <xf numFmtId="14" fontId="11" fillId="0" borderId="0" xfId="0" applyNumberFormat="1" applyFont="1" applyAlignment="1">
      <alignment horizontal="center"/>
    </xf>
    <xf numFmtId="0" fontId="11" fillId="0" borderId="0" xfId="0" applyFont="1" applyAlignment="1">
      <alignment horizontal="left" vertical="center"/>
    </xf>
    <xf numFmtId="14" fontId="1" fillId="0" borderId="0" xfId="8" applyNumberFormat="1" applyAlignment="1">
      <alignment horizontal="left"/>
    </xf>
    <xf numFmtId="14" fontId="0" fillId="0" borderId="0" xfId="8" applyNumberFormat="1" applyFont="1" applyAlignment="1">
      <alignment horizontal="left"/>
    </xf>
    <xf numFmtId="14" fontId="0" fillId="2" borderId="0" xfId="0" applyNumberFormat="1" applyFill="1" applyAlignment="1">
      <alignment horizontal="center"/>
    </xf>
    <xf numFmtId="166" fontId="1" fillId="0" borderId="0" xfId="2" applyNumberFormat="1" applyFont="1" applyAlignment="1">
      <alignment horizontal="left"/>
    </xf>
    <xf numFmtId="0" fontId="15" fillId="0" borderId="0" xfId="2" applyFont="1" applyAlignment="1">
      <alignment horizontal="left"/>
    </xf>
    <xf numFmtId="0" fontId="4" fillId="0" borderId="0" xfId="7" quotePrefix="1" applyFont="1" applyFill="1" applyBorder="1" applyAlignment="1">
      <alignment horizontal="left"/>
    </xf>
    <xf numFmtId="0" fontId="0" fillId="0" borderId="0" xfId="0" applyAlignment="1">
      <alignment horizontal="left" wrapText="1"/>
    </xf>
    <xf numFmtId="0" fontId="0" fillId="0" borderId="0" xfId="8" applyFont="1" applyAlignment="1">
      <alignment horizontal="left" wrapText="1"/>
    </xf>
    <xf numFmtId="0" fontId="0" fillId="0" borderId="0" xfId="8" applyFont="1" applyAlignment="1">
      <alignment horizontal="left"/>
    </xf>
    <xf numFmtId="49" fontId="0" fillId="0" borderId="0" xfId="8" applyNumberFormat="1" applyFont="1" applyAlignment="1">
      <alignment horizontal="left" wrapText="1"/>
    </xf>
    <xf numFmtId="0" fontId="11" fillId="0" borderId="0" xfId="0" applyFont="1"/>
    <xf numFmtId="0" fontId="4" fillId="0" borderId="0" xfId="0" applyFont="1" applyAlignment="1">
      <alignment horizontal="left" vertical="top"/>
    </xf>
    <xf numFmtId="0" fontId="11" fillId="0" borderId="0" xfId="9" applyFont="1" applyAlignment="1">
      <alignment horizontal="left" vertical="center"/>
    </xf>
    <xf numFmtId="0" fontId="0" fillId="0" borderId="0" xfId="6" applyFont="1" applyAlignment="1">
      <alignment horizontal="left"/>
    </xf>
    <xf numFmtId="0" fontId="0" fillId="0" borderId="0" xfId="2" applyFont="1" applyAlignment="1">
      <alignment horizontal="left"/>
    </xf>
    <xf numFmtId="1" fontId="0" fillId="0" borderId="0" xfId="0" applyNumberFormat="1" applyAlignment="1">
      <alignment horizontal="center"/>
    </xf>
    <xf numFmtId="1" fontId="0" fillId="2" borderId="0" xfId="0" applyNumberFormat="1" applyFill="1" applyAlignment="1">
      <alignment horizontal="center"/>
    </xf>
    <xf numFmtId="0" fontId="14" fillId="0" borderId="0" xfId="0" applyFont="1" applyAlignment="1">
      <alignment wrapText="1"/>
    </xf>
    <xf numFmtId="0" fontId="0" fillId="0" borderId="0" xfId="0" applyAlignment="1">
      <alignment wrapText="1"/>
    </xf>
    <xf numFmtId="0" fontId="0" fillId="0" borderId="0" xfId="3" applyFont="1" applyAlignment="1">
      <alignment horizontal="left"/>
    </xf>
    <xf numFmtId="0" fontId="0" fillId="0" borderId="0" xfId="2" applyFont="1" applyAlignment="1">
      <alignment horizontal="center"/>
    </xf>
    <xf numFmtId="0" fontId="0" fillId="0" borderId="0" xfId="8" applyFont="1" applyAlignment="1">
      <alignment horizontal="center"/>
    </xf>
    <xf numFmtId="165" fontId="0" fillId="0" borderId="0" xfId="1" applyNumberFormat="1" applyFont="1" applyFill="1" applyBorder="1" applyAlignment="1"/>
    <xf numFmtId="2" fontId="19" fillId="0" borderId="0" xfId="0" applyNumberFormat="1" applyFont="1" applyAlignment="1">
      <alignment vertical="center"/>
    </xf>
    <xf numFmtId="2" fontId="0" fillId="0" borderId="0" xfId="0" applyNumberFormat="1"/>
    <xf numFmtId="0" fontId="8" fillId="0" borderId="0" xfId="0" applyFont="1" applyAlignment="1">
      <alignment horizontal="left"/>
    </xf>
    <xf numFmtId="0" fontId="9" fillId="0" borderId="0" xfId="0" applyFont="1" applyAlignment="1">
      <alignment horizontal="left"/>
    </xf>
    <xf numFmtId="0" fontId="16" fillId="0" borderId="0" xfId="0" applyFont="1" applyAlignment="1">
      <alignment horizontal="center" vertical="center" shrinkToFit="1"/>
    </xf>
    <xf numFmtId="0" fontId="2" fillId="0" borderId="0" xfId="0" applyFont="1" applyAlignment="1">
      <alignment horizontal="left"/>
    </xf>
    <xf numFmtId="0" fontId="4" fillId="0" borderId="0" xfId="0" applyFont="1" applyAlignment="1">
      <alignment horizontal="center" shrinkToFit="1"/>
    </xf>
    <xf numFmtId="49" fontId="16" fillId="0" borderId="0" xfId="0" applyNumberFormat="1" applyFont="1" applyAlignment="1">
      <alignment horizontal="center" vertical="center" shrinkToFit="1"/>
    </xf>
    <xf numFmtId="0" fontId="10" fillId="0" borderId="0" xfId="0" applyFont="1" applyAlignment="1">
      <alignment horizontal="left"/>
    </xf>
    <xf numFmtId="165" fontId="1" fillId="0" borderId="0" xfId="1" applyNumberFormat="1" applyFont="1" applyFill="1" applyBorder="1" applyAlignment="1"/>
    <xf numFmtId="1" fontId="10" fillId="0" borderId="0" xfId="0" applyNumberFormat="1" applyFont="1" applyAlignment="1">
      <alignment horizontal="center"/>
    </xf>
    <xf numFmtId="0" fontId="10" fillId="0" borderId="0" xfId="0" applyFont="1" applyAlignment="1">
      <alignment horizontal="center"/>
    </xf>
    <xf numFmtId="0" fontId="11" fillId="0" borderId="0" xfId="0" applyFont="1" applyAlignment="1">
      <alignment horizontal="left"/>
    </xf>
    <xf numFmtId="0" fontId="18" fillId="0" borderId="0" xfId="0" applyFont="1" applyAlignment="1">
      <alignment vertical="center"/>
    </xf>
    <xf numFmtId="0" fontId="6" fillId="0" borderId="0" xfId="7" applyFill="1" applyBorder="1"/>
    <xf numFmtId="0" fontId="4" fillId="0" borderId="0" xfId="0" applyFont="1" applyAlignment="1">
      <alignment horizontal="left" wrapText="1"/>
    </xf>
    <xf numFmtId="0" fontId="0" fillId="3" borderId="0" xfId="0" applyFill="1"/>
    <xf numFmtId="0" fontId="0" fillId="0" borderId="0" xfId="3" applyFont="1"/>
    <xf numFmtId="0" fontId="1" fillId="0" borderId="0" xfId="2" applyFont="1" applyAlignment="1">
      <alignment horizontal="center"/>
    </xf>
    <xf numFmtId="0" fontId="6" fillId="0" borderId="0" xfId="7" applyFill="1" applyBorder="1" applyAlignment="1"/>
    <xf numFmtId="0" fontId="0" fillId="0" borderId="0" xfId="2" applyFont="1" applyAlignment="1">
      <alignment horizontal="left" wrapText="1"/>
    </xf>
    <xf numFmtId="0" fontId="0" fillId="0" borderId="0" xfId="3" applyFont="1" applyAlignment="1">
      <alignment horizontal="center"/>
    </xf>
    <xf numFmtId="0" fontId="0" fillId="0" borderId="0" xfId="0" applyAlignment="1">
      <alignment vertical="center"/>
    </xf>
    <xf numFmtId="0" fontId="0" fillId="0" borderId="0" xfId="0" applyAlignment="1">
      <alignment vertical="center" wrapText="1"/>
    </xf>
    <xf numFmtId="165" fontId="0" fillId="2" borderId="0" xfId="1" applyNumberFormat="1" applyFont="1" applyFill="1" applyBorder="1" applyAlignment="1"/>
    <xf numFmtId="165" fontId="4" fillId="0" borderId="0" xfId="0" applyNumberFormat="1" applyFont="1" applyAlignment="1">
      <alignment horizontal="center"/>
    </xf>
    <xf numFmtId="165" fontId="11" fillId="0" borderId="0" xfId="0" applyNumberFormat="1" applyFont="1"/>
    <xf numFmtId="0" fontId="7" fillId="0" borderId="0" xfId="0" applyFont="1" applyAlignment="1">
      <alignment horizontal="center"/>
    </xf>
    <xf numFmtId="0" fontId="0" fillId="0" borderId="0" xfId="0" applyAlignment="1">
      <alignment horizontal="center" vertical="center"/>
    </xf>
    <xf numFmtId="0" fontId="0" fillId="0" borderId="0" xfId="7" applyFont="1" applyFill="1" applyBorder="1" applyAlignment="1">
      <alignment horizontal="left"/>
    </xf>
    <xf numFmtId="0" fontId="11" fillId="0" borderId="0" xfId="0" applyFont="1" applyAlignment="1">
      <alignment horizontal="center"/>
    </xf>
    <xf numFmtId="0" fontId="4" fillId="0" borderId="0" xfId="0" applyFont="1" applyAlignment="1">
      <alignment horizontal="center" vertical="top"/>
    </xf>
    <xf numFmtId="0" fontId="0" fillId="0" borderId="0" xfId="0" applyAlignment="1">
      <alignment horizontal="left" vertical="top"/>
    </xf>
    <xf numFmtId="0" fontId="6" fillId="0" borderId="0" xfId="7" applyFill="1" applyBorder="1" applyAlignment="1">
      <alignment horizontal="left" vertical="center"/>
    </xf>
    <xf numFmtId="0" fontId="4" fillId="0" borderId="0" xfId="10" applyFont="1" applyAlignment="1">
      <alignment horizontal="left"/>
    </xf>
    <xf numFmtId="0" fontId="11" fillId="0" borderId="0" xfId="0" applyFont="1" applyAlignment="1">
      <alignment horizontal="center" vertical="center"/>
    </xf>
    <xf numFmtId="14" fontId="4" fillId="0" borderId="0" xfId="6" applyNumberFormat="1" applyFont="1" applyAlignment="1">
      <alignment horizontal="center" vertical="center"/>
    </xf>
    <xf numFmtId="49" fontId="0" fillId="0" borderId="0" xfId="0" applyNumberFormat="1" applyAlignment="1">
      <alignment horizontal="center"/>
    </xf>
    <xf numFmtId="1" fontId="0" fillId="0" borderId="0" xfId="0" applyNumberFormat="1" applyAlignment="1">
      <alignment horizontal="left"/>
    </xf>
    <xf numFmtId="0" fontId="15" fillId="0" borderId="0" xfId="3" applyFont="1" applyAlignment="1">
      <alignment horizontal="center"/>
    </xf>
    <xf numFmtId="0" fontId="15" fillId="0" borderId="0" xfId="3" applyFont="1" applyAlignment="1">
      <alignment horizontal="left"/>
    </xf>
    <xf numFmtId="0" fontId="0" fillId="0" borderId="0" xfId="0" quotePrefix="1" applyAlignment="1">
      <alignment horizontal="center"/>
    </xf>
    <xf numFmtId="0" fontId="0" fillId="0" borderId="0" xfId="4" applyFont="1" applyAlignment="1">
      <alignment horizontal="left"/>
    </xf>
    <xf numFmtId="0" fontId="0" fillId="0" borderId="0" xfId="4" applyFont="1" applyAlignment="1">
      <alignment horizontal="center"/>
    </xf>
    <xf numFmtId="14" fontId="0" fillId="0" borderId="0" xfId="6" applyNumberFormat="1" applyFont="1" applyAlignment="1">
      <alignment horizontal="center"/>
    </xf>
    <xf numFmtId="0" fontId="0" fillId="0" borderId="0" xfId="6" applyFont="1" applyAlignment="1">
      <alignment horizontal="center"/>
    </xf>
  </cellXfs>
  <cellStyles count="11">
    <cellStyle name="Гиперссылка" xfId="7" builtinId="8"/>
    <cellStyle name="Обычный" xfId="0" builtinId="0"/>
    <cellStyle name="Процентный" xfId="1" builtinId="5"/>
    <cellStyle name="Excel Built-in Normal" xfId="2" xr:uid="{00000000-0005-0000-0000-000000000000}"/>
    <cellStyle name="Normal 2" xfId="3" xr:uid="{00000000-0005-0000-0000-000002000000}"/>
    <cellStyle name="Normal 3 2" xfId="6" xr:uid="{00000000-0005-0000-0000-000003000000}"/>
    <cellStyle name="Normal 4 2" xfId="8" xr:uid="{00000000-0005-0000-0000-000004000000}"/>
    <cellStyle name="Normal 4 3" xfId="5" xr:uid="{00000000-0005-0000-0000-000005000000}"/>
    <cellStyle name="Standard 2" xfId="4" xr:uid="{00000000-0005-0000-0000-000008000000}"/>
    <cellStyle name="표준 2" xfId="9" xr:uid="{00000000-0005-0000-0000-000009000000}"/>
    <cellStyle name="표준 3" xfId="10"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edoc.sabor.hr/Views/AktView.aspx?type=HTML&amp;id=7622" TargetMode="External"/><Relationship Id="rId21" Type="http://schemas.openxmlformats.org/officeDocument/2006/relationships/hyperlink" Target="https://www.psp.cz/sqw/text/tiskt.sqw?O=3&amp;CT=784&amp;CT1=0" TargetMode="External"/><Relationship Id="rId324" Type="http://schemas.openxmlformats.org/officeDocument/2006/relationships/hyperlink" Target="https://www.camera.it/leg17/410?idSeduta=0755&amp;tipo=votazioni" TargetMode="External"/><Relationship Id="rId170" Type="http://schemas.openxmlformats.org/officeDocument/2006/relationships/hyperlink" Target="http://edoc.sabor.hr/Views/AktView.aspx?type=HTML&amp;id=23830" TargetMode="External"/><Relationship Id="rId268" Type="http://schemas.openxmlformats.org/officeDocument/2006/relationships/hyperlink" Target="http://www.senato.it/leg/15/BGT/Schede/Ddliter/27796.htm" TargetMode="External"/><Relationship Id="rId475" Type="http://schemas.openxmlformats.org/officeDocument/2006/relationships/hyperlink" Target="https://www.ft.dk/samling/20121/beslutningsforslag/b49/index.htm" TargetMode="External"/><Relationship Id="rId32" Type="http://schemas.openxmlformats.org/officeDocument/2006/relationships/hyperlink" Target="https://www.psp.cz/sqw/text/tiskt.sqw?O=4&amp;CT=757&amp;CT1=0" TargetMode="External"/><Relationship Id="rId74" Type="http://schemas.openxmlformats.org/officeDocument/2006/relationships/hyperlink" Target="https://www.senat.cz/xqw/xervlet/pssenat/hlasovani?action=tisk&amp;O=7&amp;T=23" TargetMode="External"/><Relationship Id="rId128" Type="http://schemas.openxmlformats.org/officeDocument/2006/relationships/hyperlink" Target="http://edoc.sabor.hr/Views/AktView.aspx?type=HTML&amp;id=2023099" TargetMode="External"/><Relationship Id="rId335" Type="http://schemas.openxmlformats.org/officeDocument/2006/relationships/hyperlink" Target="https://e-seimas.lrs.lt/portal/legalAct/lt/TAD/TAIS.50707" TargetMode="External"/><Relationship Id="rId377" Type="http://schemas.openxmlformats.org/officeDocument/2006/relationships/hyperlink" Target="https://e-seimas.lrs.lt/portal/legalAct/lt/TAD/TAIS.447165" TargetMode="External"/><Relationship Id="rId500" Type="http://schemas.openxmlformats.org/officeDocument/2006/relationships/hyperlink" Target="https://www.folketingstidende.dk/samling/19961/beslutningsforslag/B123/index.htm" TargetMode="External"/><Relationship Id="rId5" Type="http://schemas.openxmlformats.org/officeDocument/2006/relationships/hyperlink" Target="https://www.ourcommons.ca/Members/en/votes/39/1/9?view=party" TargetMode="External"/><Relationship Id="rId181" Type="http://schemas.openxmlformats.org/officeDocument/2006/relationships/hyperlink" Target="http://edoc.sabor.hr/Views/AktView.aspx?type=HTML&amp;id=2010175" TargetMode="External"/><Relationship Id="rId237" Type="http://schemas.openxmlformats.org/officeDocument/2006/relationships/hyperlink" Target="http://leg14.camera.it/_dati/leg14/lavori/schedela/trovaschedacamera_wai.asp?PDL=2215" TargetMode="External"/><Relationship Id="rId402" Type="http://schemas.openxmlformats.org/officeDocument/2006/relationships/hyperlink" Target="http://clerk.house.gov/evs/1991/roll009.xml" TargetMode="External"/><Relationship Id="rId279" Type="http://schemas.openxmlformats.org/officeDocument/2006/relationships/hyperlink" Target="https://www.camera.it/uri-res/N2Ls?urn:camera-it:parlamento:scheda.progetto.legge:camera;16.legislatura;3610" TargetMode="External"/><Relationship Id="rId444" Type="http://schemas.openxmlformats.org/officeDocument/2006/relationships/hyperlink" Target="http://www.cdep.ro/pls/steno/steno2015.stenograma?ids=3384&amp;idm=5&amp;idl=2" TargetMode="External"/><Relationship Id="rId486" Type="http://schemas.openxmlformats.org/officeDocument/2006/relationships/hyperlink" Target="https://www.ft.dk/samling/20161/beslutningsforslag/b56/index.htm" TargetMode="External"/><Relationship Id="rId43" Type="http://schemas.openxmlformats.org/officeDocument/2006/relationships/hyperlink" Target="https://www.psp.cz/sqw/text/tiskt.sqw?O=4&amp;CT=1113&amp;CT1=0" TargetMode="External"/><Relationship Id="rId139" Type="http://schemas.openxmlformats.org/officeDocument/2006/relationships/hyperlink" Target="http://edoc.sabor.hr/Views/AktView.aspx?type=HTML&amp;id=27112" TargetMode="External"/><Relationship Id="rId290" Type="http://schemas.openxmlformats.org/officeDocument/2006/relationships/hyperlink" Target="https://www.camera.it/uri-res/N2Ls?urn:camera-it:parlamento:scheda.progetto.legge:camera;16.legislatura;5713" TargetMode="External"/><Relationship Id="rId304" Type="http://schemas.openxmlformats.org/officeDocument/2006/relationships/hyperlink" Target="https://www.camera.it/uri-res/N2Ls?urn:camera-it:parlamento:scheda.progetto.legge:camera;17.legislatura;3953" TargetMode="External"/><Relationship Id="rId346" Type="http://schemas.openxmlformats.org/officeDocument/2006/relationships/hyperlink" Target="https://e-seimas.lrs.lt/portal/legalAct/lt/TAD/TAIS.128959?jfwid=-4syu6lvdg" TargetMode="External"/><Relationship Id="rId388" Type="http://schemas.openxmlformats.org/officeDocument/2006/relationships/hyperlink" Target="https://e-seimas.lrs.lt/portal/legalAct/lt/TAD/TAIS.64927" TargetMode="External"/><Relationship Id="rId511" Type="http://schemas.openxmlformats.org/officeDocument/2006/relationships/hyperlink" Target="https://www.folketingstidende.dk/samling/20011/beslutningsforslag/B65/index.htm" TargetMode="External"/><Relationship Id="rId85" Type="http://schemas.openxmlformats.org/officeDocument/2006/relationships/hyperlink" Target="https://www.senat.cz/xqw/xervlet/pssenat/hlasovani?action=tisk&amp;O=11&amp;T=129" TargetMode="External"/><Relationship Id="rId150" Type="http://schemas.openxmlformats.org/officeDocument/2006/relationships/hyperlink" Target="http://edoc.sabor.hr/Views/AktView.aspx?type=HTML&amp;id=24371" TargetMode="External"/><Relationship Id="rId192" Type="http://schemas.openxmlformats.org/officeDocument/2006/relationships/hyperlink" Target="https://www.oireachtas.ie/en/debates/debate/dail/2007-11-28/26/" TargetMode="External"/><Relationship Id="rId206" Type="http://schemas.openxmlformats.org/officeDocument/2006/relationships/hyperlink" Target="https://www.normattiva.it/atto/caricaDettaglioAtto?atto.dataPubblicazioneGazzetta=1994-08-31&amp;atto.codiceRedazionale=094G0563" TargetMode="External"/><Relationship Id="rId413" Type="http://schemas.openxmlformats.org/officeDocument/2006/relationships/hyperlink" Target="https://www.senate.gov/legislative/LIS/roll_call_lists/roll_call_vote_cfm.cfm?congress=103&amp;session=2&amp;vote=00323" TargetMode="External"/><Relationship Id="rId248" Type="http://schemas.openxmlformats.org/officeDocument/2006/relationships/hyperlink" Target="http://www.senato.it/japp/bgt/showdoc/frame.jsp?tipodoc=Resaula&amp;leg=14&amp;id=114257" TargetMode="External"/><Relationship Id="rId455" Type="http://schemas.openxmlformats.org/officeDocument/2006/relationships/hyperlink" Target="https://www.ft.dk/samling/20041/beslutningsforslag/b42/index.htm" TargetMode="External"/><Relationship Id="rId497" Type="http://schemas.openxmlformats.org/officeDocument/2006/relationships/hyperlink" Target="https://www.folketingstidende.dk/samling/19941/beslutningsforslag/B34/index.htm" TargetMode="External"/><Relationship Id="rId12" Type="http://schemas.openxmlformats.org/officeDocument/2006/relationships/hyperlink" Target="https://www.psp.cz/sqw/text/tiskt.sqw?o=8&amp;v=US&amp;ct=260" TargetMode="External"/><Relationship Id="rId108" Type="http://schemas.openxmlformats.org/officeDocument/2006/relationships/hyperlink" Target="https://www.eduskunta.fi/FI/Vaski/sivut/aanestys.aspx?aanestysnro=1&amp;istuntonro=121&amp;vuosi=2010" TargetMode="External"/><Relationship Id="rId315" Type="http://schemas.openxmlformats.org/officeDocument/2006/relationships/hyperlink" Target="https://www.camera.it/leg17/410?idSeduta=0905&amp;tipo=alfabetico_stenografico" TargetMode="External"/><Relationship Id="rId357" Type="http://schemas.openxmlformats.org/officeDocument/2006/relationships/hyperlink" Target="https://e-seimas.lrs.lt/portal/legalAct/lt/TAD/TAIS.197438?jfwid=-4syu6ltb9" TargetMode="External"/><Relationship Id="rId522" Type="http://schemas.openxmlformats.org/officeDocument/2006/relationships/hyperlink" Target="https://www.sabor.hr/hr/prijedlog-odluke-o-sudjelovanju-oruzanih-snaga-republike-hrvatske-u-sklopu-aktivnosti-ojacane" TargetMode="External"/><Relationship Id="rId54" Type="http://schemas.openxmlformats.org/officeDocument/2006/relationships/hyperlink" Target="https://www.psp.cz/sqw/historie.sqw?o=5&amp;t=641" TargetMode="External"/><Relationship Id="rId96" Type="http://schemas.openxmlformats.org/officeDocument/2006/relationships/hyperlink" Target="http://www.congreso.es/public_oficiales/L9/CONG/DS/CO/CO_031.PDF" TargetMode="External"/><Relationship Id="rId161" Type="http://schemas.openxmlformats.org/officeDocument/2006/relationships/hyperlink" Target="http://edoc.sabor.hr/Views/AktView.aspx?type=HTML&amp;id=20579" TargetMode="External"/><Relationship Id="rId217" Type="http://schemas.openxmlformats.org/officeDocument/2006/relationships/hyperlink" Target="http://leg13.camera.it/docesta/313/15804/documentotesto.asp?pdl=4041&amp;tab=1&amp;leg=13" TargetMode="External"/><Relationship Id="rId399" Type="http://schemas.openxmlformats.org/officeDocument/2006/relationships/hyperlink" Target="https://www.publicwhip.org.uk/division.php?date=2014-09-26&amp;house=commons&amp;number=53" TargetMode="External"/><Relationship Id="rId259" Type="http://schemas.openxmlformats.org/officeDocument/2006/relationships/hyperlink" Target="http://www.senato.it/leg/14/BGT/Schede/Ddliter/23216.htm" TargetMode="External"/><Relationship Id="rId424" Type="http://schemas.openxmlformats.org/officeDocument/2006/relationships/hyperlink" Target="http://www.cdep.ro/pls/steno/steno2015.stenograma?ids=5150&amp;idm=3&amp;idl=2" TargetMode="External"/><Relationship Id="rId466" Type="http://schemas.openxmlformats.org/officeDocument/2006/relationships/hyperlink" Target="https://www.ft.dk/samling/20071/beslutningsforslag/b6/index.htm" TargetMode="External"/><Relationship Id="rId23" Type="http://schemas.openxmlformats.org/officeDocument/2006/relationships/hyperlink" Target="https://www.psp.cz/sqw/text/tiskt.sqw?o=3&amp;v=US&amp;ct=2228" TargetMode="External"/><Relationship Id="rId119" Type="http://schemas.openxmlformats.org/officeDocument/2006/relationships/hyperlink" Target="http://edoc.sabor.hr/Views/AktView.aspx?type=HTML&amp;id=6895" TargetMode="External"/><Relationship Id="rId270" Type="http://schemas.openxmlformats.org/officeDocument/2006/relationships/hyperlink" Target="http://www.senato.it/leg/15/BGT/Schede/Ddliter/29601.htm" TargetMode="External"/><Relationship Id="rId326" Type="http://schemas.openxmlformats.org/officeDocument/2006/relationships/hyperlink" Target="http://www.senato.it/japp/bgt/showdoc/frame.jsp?tipodoc=Resaula&amp;leg=18&amp;id=1118000" TargetMode="External"/><Relationship Id="rId65" Type="http://schemas.openxmlformats.org/officeDocument/2006/relationships/hyperlink" Target="https://www.senat.cz/xqw/xervlet/pssenat/htmlhled?action=doc&amp;value=20237" TargetMode="External"/><Relationship Id="rId130" Type="http://schemas.openxmlformats.org/officeDocument/2006/relationships/hyperlink" Target="http://edoc.sabor.hr/Views/AktView.aspx?type=HTML&amp;id=2022843" TargetMode="External"/><Relationship Id="rId368" Type="http://schemas.openxmlformats.org/officeDocument/2006/relationships/hyperlink" Target="https://e-seimas.lrs.lt/portal/legalAct/lt/TAD/TAIS.219816" TargetMode="External"/><Relationship Id="rId172" Type="http://schemas.openxmlformats.org/officeDocument/2006/relationships/hyperlink" Target="http://edoc.sabor.hr/Views/AktView.aspx?type=HTML&amp;id=21071" TargetMode="External"/><Relationship Id="rId228" Type="http://schemas.openxmlformats.org/officeDocument/2006/relationships/hyperlink" Target="https://www.normattiva.it/do/atto/vediLavoriPreparatori?atto.dataPubblicazioneGazzetta=2000-03-07&amp;atto.codiceRedazionale=000G0088" TargetMode="External"/><Relationship Id="rId435" Type="http://schemas.openxmlformats.org/officeDocument/2006/relationships/hyperlink" Target="http://www.cdep.ro/pls/steno/steno2015.stenograma?ids=5417&amp;idm=4&amp;idl=2" TargetMode="External"/><Relationship Id="rId477" Type="http://schemas.openxmlformats.org/officeDocument/2006/relationships/hyperlink" Target="https://www.ft.dk/samling/20131/beslutningsforslag/b29/index.htm" TargetMode="External"/><Relationship Id="rId281" Type="http://schemas.openxmlformats.org/officeDocument/2006/relationships/hyperlink" Target="http://www.senato.it/leg/16/BGT/Schede/Ddliter/35695.htm" TargetMode="External"/><Relationship Id="rId337" Type="http://schemas.openxmlformats.org/officeDocument/2006/relationships/hyperlink" Target="https://e-seimas.lrs.lt/portal/legalAct/lt/TAD/TAIS.78966" TargetMode="External"/><Relationship Id="rId502" Type="http://schemas.openxmlformats.org/officeDocument/2006/relationships/hyperlink" Target="https://www.folketingstidende.dk/samling/19972/beslutningsforslag/B29/index.htm" TargetMode="External"/><Relationship Id="rId34" Type="http://schemas.openxmlformats.org/officeDocument/2006/relationships/hyperlink" Target="https://www.psp.cz/sqw/text/tiskt.sqw?O=4&amp;CT=757&amp;CT1=0" TargetMode="External"/><Relationship Id="rId76" Type="http://schemas.openxmlformats.org/officeDocument/2006/relationships/hyperlink" Target="https://www.senat.cz/xqw/xervlet/pssenat/hlasovani?action=tisk&amp;O=10&amp;T=67" TargetMode="External"/><Relationship Id="rId141" Type="http://schemas.openxmlformats.org/officeDocument/2006/relationships/hyperlink" Target="http://edoc.sabor.hr/Views/AktView.aspx?type=HTML&amp;id=26428" TargetMode="External"/><Relationship Id="rId379" Type="http://schemas.openxmlformats.org/officeDocument/2006/relationships/hyperlink" Target="https://e-seimas.lrs.lt/portal/legalAct/lt/TAD/6e3af8c085b911e495dc9901227533ee" TargetMode="External"/><Relationship Id="rId7" Type="http://schemas.openxmlformats.org/officeDocument/2006/relationships/hyperlink" Target="https://www.ourcommons.ca/Members/en/votes/41/1/6?view=party" TargetMode="External"/><Relationship Id="rId183" Type="http://schemas.openxmlformats.org/officeDocument/2006/relationships/hyperlink" Target="http://edoc.sabor.hr/Views/AktView.aspx?type=HTML&amp;id=2009952" TargetMode="External"/><Relationship Id="rId239" Type="http://schemas.openxmlformats.org/officeDocument/2006/relationships/hyperlink" Target="http://www.senato.it/leg/14/BGT/Schede/Ddliter/16490.htm" TargetMode="External"/><Relationship Id="rId390" Type="http://schemas.openxmlformats.org/officeDocument/2006/relationships/hyperlink" Target="https://www.tbmm.gov.tr/develop/owa/td_v2.sayfa_getir?sayfa=302:305&amp;v_meclis=1&amp;v_donem=22&amp;v_yasama_yili=&amp;v_cilt=8&amp;v_birlesim=051" TargetMode="External"/><Relationship Id="rId404" Type="http://schemas.openxmlformats.org/officeDocument/2006/relationships/hyperlink" Target="http://clerk.house.gov/evs/1999/roll049.xml" TargetMode="External"/><Relationship Id="rId446" Type="http://schemas.openxmlformats.org/officeDocument/2006/relationships/hyperlink" Target="http://www.cdep.ro/pls/steno/steno2015.stenograma?ids=4967&amp;idm=3&amp;idl=2" TargetMode="External"/><Relationship Id="rId250" Type="http://schemas.openxmlformats.org/officeDocument/2006/relationships/hyperlink" Target="https://www.camera.it/uri-res/N2Ls?urn:camera-it:parlamento:scheda.progetto.legge:camera;14.legislatura;4154" TargetMode="External"/><Relationship Id="rId292" Type="http://schemas.openxmlformats.org/officeDocument/2006/relationships/hyperlink" Target="http://www.senato.it/leg/17/BGT/Schede/Ddliter/43378.htm" TargetMode="External"/><Relationship Id="rId306" Type="http://schemas.openxmlformats.org/officeDocument/2006/relationships/hyperlink" Target="https://www.camera.it/leg17/410?idSeduta=0755&amp;tipo=alfabetico_stenografico" TargetMode="External"/><Relationship Id="rId488" Type="http://schemas.openxmlformats.org/officeDocument/2006/relationships/hyperlink" Target="https://www.ft.dk/samling/20171/beslutningsforslag/b49/index.htm" TargetMode="External"/><Relationship Id="rId45" Type="http://schemas.openxmlformats.org/officeDocument/2006/relationships/hyperlink" Target="https://www.psp.cz/sqw/text/tiskt.sqw?O=4&amp;CT=1268&amp;CT1=0" TargetMode="External"/><Relationship Id="rId87" Type="http://schemas.openxmlformats.org/officeDocument/2006/relationships/hyperlink" Target="http://www.congreso.es/votoplenoh/L9/20110322001.pdf" TargetMode="External"/><Relationship Id="rId110" Type="http://schemas.openxmlformats.org/officeDocument/2006/relationships/hyperlink" Target="https://www.eduskunta.fi/FI/Vaski/sivut/aanestys.aspx?aanestysnro=1&amp;istuntonro=173&amp;vuosi=2014" TargetMode="External"/><Relationship Id="rId348" Type="http://schemas.openxmlformats.org/officeDocument/2006/relationships/hyperlink" Target="https://e-seimas.lrs.lt/portal/legalAct/lt/TAD/TAIS.150030?jfwid=-4syu6luvc" TargetMode="External"/><Relationship Id="rId513" Type="http://schemas.openxmlformats.org/officeDocument/2006/relationships/hyperlink" Target="https://www.folketingstidende.dk/samling/20012/beslutningsforslag/B45/index.htm" TargetMode="External"/><Relationship Id="rId152" Type="http://schemas.openxmlformats.org/officeDocument/2006/relationships/hyperlink" Target="http://edoc.sabor.hr/Views/AktView.aspx?type=HTML&amp;id=22968" TargetMode="External"/><Relationship Id="rId194" Type="http://schemas.openxmlformats.org/officeDocument/2006/relationships/hyperlink" Target="https://www.oireachtas.ie/en/debates/debate/dail/2011-04-21/4/?highlight%5B0%5D=unifil&amp;highlight%5B1%5D=unifil&amp;highlight%5B2%5D=2011&amp;highlight%5B3%5D=unifil&amp;highlight%5B4%5D=unifil" TargetMode="External"/><Relationship Id="rId208" Type="http://schemas.openxmlformats.org/officeDocument/2006/relationships/hyperlink" Target="https://www.normattiva.it/do/atto/vediLavoriPreparatori?atto.dataPubblicazioneGazzetta=1995-06-09&amp;atto.codiceRedazionale=095G0258" TargetMode="External"/><Relationship Id="rId415" Type="http://schemas.openxmlformats.org/officeDocument/2006/relationships/hyperlink" Target="http://www.cdep.ro/pls/steno/steno2015.stenograma?ids=7744&amp;idm=3&amp;idl=1" TargetMode="External"/><Relationship Id="rId457" Type="http://schemas.openxmlformats.org/officeDocument/2006/relationships/hyperlink" Target="https://www.ft.dk/samling/20042/beslutningsforslag/b71/index.htm" TargetMode="External"/><Relationship Id="rId261" Type="http://schemas.openxmlformats.org/officeDocument/2006/relationships/hyperlink" Target="http://leg14.camera.it/_dati/leg14/lavori/schedela/trovaschedacamera_wai.asp?PDL=5637" TargetMode="External"/><Relationship Id="rId499" Type="http://schemas.openxmlformats.org/officeDocument/2006/relationships/hyperlink" Target="https://www.folketingstidende.dk/samling/19961/beslutningsforslag/B68/index.htm" TargetMode="External"/><Relationship Id="rId14" Type="http://schemas.openxmlformats.org/officeDocument/2006/relationships/hyperlink" Target="https://www.psp.cz/eknih/1993ps/tisky/t2003_00.htm" TargetMode="External"/><Relationship Id="rId56" Type="http://schemas.openxmlformats.org/officeDocument/2006/relationships/hyperlink" Target="https://www.psp.cz/sqw/text/tiskt.sqw?O=5&amp;CT=869&amp;CT1=0" TargetMode="External"/><Relationship Id="rId317" Type="http://schemas.openxmlformats.org/officeDocument/2006/relationships/hyperlink" Target="https://www.camera.it/leg17/410?idSeduta=0905&amp;tipo=alfabetico_stenografico" TargetMode="External"/><Relationship Id="rId359" Type="http://schemas.openxmlformats.org/officeDocument/2006/relationships/hyperlink" Target="https://e-seimas.lrs.lt/portal/legalAct/lt/TAD/TAIS.197440?jfwid=-4syu6lt58" TargetMode="External"/><Relationship Id="rId524" Type="http://schemas.openxmlformats.org/officeDocument/2006/relationships/hyperlink" Target="https://www.sabor.hr/hr/prijedlog-odluke-o-sudjelovanju-oruzanih-snaga-republike-hrvatske-u-sklopu-aktivnosti-ojacane-1" TargetMode="External"/><Relationship Id="rId98" Type="http://schemas.openxmlformats.org/officeDocument/2006/relationships/hyperlink" Target="http://www.congreso.es/public_oficiales/L8/CONG/DS/PL/PL_196.PDF" TargetMode="External"/><Relationship Id="rId121" Type="http://schemas.openxmlformats.org/officeDocument/2006/relationships/hyperlink" Target="http://edoc.sabor.hr/Views/AktView.aspx?type=HTML&amp;id=20942" TargetMode="External"/><Relationship Id="rId163" Type="http://schemas.openxmlformats.org/officeDocument/2006/relationships/hyperlink" Target="http://edoc.sabor.hr/Views/AktView.aspx?type=HTML&amp;id=2023104" TargetMode="External"/><Relationship Id="rId219" Type="http://schemas.openxmlformats.org/officeDocument/2006/relationships/hyperlink" Target="http://leg13.camera.it/docesta/313/15804/documentotesto.asp?pdl=4570&amp;tab=1&amp;leg=13" TargetMode="External"/><Relationship Id="rId370" Type="http://schemas.openxmlformats.org/officeDocument/2006/relationships/hyperlink" Target="https://e-seimas.lrs.lt/portal/legalAct/lt/TAD/TAIS.249439" TargetMode="External"/><Relationship Id="rId426" Type="http://schemas.openxmlformats.org/officeDocument/2006/relationships/hyperlink" Target="http://www.cdep.ro/pls/steno/steno2015.stenograma?ids=8156&amp;idm=2&amp;idl=2" TargetMode="External"/><Relationship Id="rId230" Type="http://schemas.openxmlformats.org/officeDocument/2006/relationships/hyperlink" Target="http://leg13.camera.it/docesta/313/15804/documentotesto.asp?pdl=7521&amp;tab=1&amp;leg=13" TargetMode="External"/><Relationship Id="rId468" Type="http://schemas.openxmlformats.org/officeDocument/2006/relationships/hyperlink" Target="https://www.ft.dk/samling/20072/beslutningsforslag/b33/index.htm" TargetMode="External"/><Relationship Id="rId25" Type="http://schemas.openxmlformats.org/officeDocument/2006/relationships/hyperlink" Target="https://www.psp.cz/sqw/text/tiskt.sqw?O=4&amp;CT=285&amp;CT1=0" TargetMode="External"/><Relationship Id="rId67" Type="http://schemas.openxmlformats.org/officeDocument/2006/relationships/hyperlink" Target="https://www.senat.cz/xqw/xervlet/pssenat/htmlhled?action=doc&amp;value=24925" TargetMode="External"/><Relationship Id="rId272" Type="http://schemas.openxmlformats.org/officeDocument/2006/relationships/hyperlink" Target="http://www.senato.it/leg/16/BGT/Schede/Ddliter/32341.htm" TargetMode="External"/><Relationship Id="rId328" Type="http://schemas.openxmlformats.org/officeDocument/2006/relationships/hyperlink" Target="https://e-seimas.lrs.lt/rs/legalact/TAK/TAIS.238862/" TargetMode="External"/><Relationship Id="rId132" Type="http://schemas.openxmlformats.org/officeDocument/2006/relationships/hyperlink" Target="http://edoc.sabor.hr/Views/AktView.aspx?type=HTML&amp;id=2022190" TargetMode="External"/><Relationship Id="rId174" Type="http://schemas.openxmlformats.org/officeDocument/2006/relationships/hyperlink" Target="http://edoc.sabor.hr/Views/AktView.aspx?type=HTML&amp;id=20196" TargetMode="External"/><Relationship Id="rId381" Type="http://schemas.openxmlformats.org/officeDocument/2006/relationships/hyperlink" Target="https://e-seimas.lrs.lt/portal/legalAct/lt/TAD/580a3140440f11e68f45bcf65e0a17ee" TargetMode="External"/><Relationship Id="rId241" Type="http://schemas.openxmlformats.org/officeDocument/2006/relationships/hyperlink" Target="http://leg14.camera.it/_dati/leg14/lavori/schedela/trovaschedacamera_wai.asp?PDL=2666" TargetMode="External"/><Relationship Id="rId437" Type="http://schemas.openxmlformats.org/officeDocument/2006/relationships/hyperlink" Target="http://www.cdep.ro/pls/steno/steno2015.stenograma?ids=5017&amp;idm=16&amp;idl=2" TargetMode="External"/><Relationship Id="rId479" Type="http://schemas.openxmlformats.org/officeDocument/2006/relationships/hyperlink" Target="https://www.ft.dk/samling/20131/beslutningsforslag/b122/index.htm" TargetMode="External"/><Relationship Id="rId36" Type="http://schemas.openxmlformats.org/officeDocument/2006/relationships/hyperlink" Target="https://www.psp.cz/sqw/text/tiskt.sqw?O=4&amp;CT=757&amp;CT1=0" TargetMode="External"/><Relationship Id="rId283" Type="http://schemas.openxmlformats.org/officeDocument/2006/relationships/hyperlink" Target="http://www.senato.it/service/PDF/PDFServer/BGT/527183.pdf" TargetMode="External"/><Relationship Id="rId339" Type="http://schemas.openxmlformats.org/officeDocument/2006/relationships/hyperlink" Target="https://e-seimas.lrs.lt/portal/legalAct/lt/TAD/TAIS.88322" TargetMode="External"/><Relationship Id="rId490" Type="http://schemas.openxmlformats.org/officeDocument/2006/relationships/hyperlink" Target="https://www.ft.dk/samling/20181/beslutningsforslag/b56/index.htm" TargetMode="External"/><Relationship Id="rId504" Type="http://schemas.openxmlformats.org/officeDocument/2006/relationships/hyperlink" Target="https://www.folketingstidende.dk/samling/19981/beslutningsforslag/B116/index.htm" TargetMode="External"/><Relationship Id="rId78" Type="http://schemas.openxmlformats.org/officeDocument/2006/relationships/hyperlink" Target="https://www.psp.cz/sqw/historie.sqw?o=6&amp;t=132" TargetMode="External"/><Relationship Id="rId101" Type="http://schemas.openxmlformats.org/officeDocument/2006/relationships/hyperlink" Target="https://www.eduskunta.fi/FI/Vaski/sivut/aanestys.aspx?aanestysnro=1&amp;istuntonro=80&amp;vuosi=2006" TargetMode="External"/><Relationship Id="rId143" Type="http://schemas.openxmlformats.org/officeDocument/2006/relationships/hyperlink" Target="http://edoc.sabor.hr/Views/AktView.aspx?type=HTML&amp;id=26425" TargetMode="External"/><Relationship Id="rId185" Type="http://schemas.openxmlformats.org/officeDocument/2006/relationships/hyperlink" Target="http://edoc.sabor.hr/Views/AktView.aspx?type=HTML&amp;id=2010793" TargetMode="External"/><Relationship Id="rId350" Type="http://schemas.openxmlformats.org/officeDocument/2006/relationships/hyperlink" Target="https://e-seimas.lrs.lt/portal/legalAct/lt/TAD/TAIS.158866?jfwid=-4syu6lujk" TargetMode="External"/><Relationship Id="rId406" Type="http://schemas.openxmlformats.org/officeDocument/2006/relationships/hyperlink" Target="http://clerk.house.gov/evs/1999/roll103.xml" TargetMode="External"/><Relationship Id="rId9" Type="http://schemas.openxmlformats.org/officeDocument/2006/relationships/hyperlink" Target="https://www.ourcommons.ca/Members/en/votes/41/2/252?view=result" TargetMode="External"/><Relationship Id="rId210" Type="http://schemas.openxmlformats.org/officeDocument/2006/relationships/hyperlink" Target="https://www.normattiva.it/do/atto/vediLavoriPreparatori?atto.dataPubblicazioneGazzetta=1997-03-28&amp;atto.codiceRedazionale=097G0104" TargetMode="External"/><Relationship Id="rId392" Type="http://schemas.openxmlformats.org/officeDocument/2006/relationships/hyperlink" Target="https://www.tbmm.gov.tr/develop/owa/td_v2.goruntule?sayfa_no_ilk=383&amp;sayfa_no_son=439&amp;sayfa_no=385&amp;v_meclis=1&amp;v_donem=19&amp;v_yasama_yili=&amp;v_cilt=26&amp;v_birlesim=051" TargetMode="External"/><Relationship Id="rId448" Type="http://schemas.openxmlformats.org/officeDocument/2006/relationships/hyperlink" Target="http://www.cdep.ro/pls/steno/steno2015.stenograma?ids=4916&amp;idm=3&amp;idl=2" TargetMode="External"/><Relationship Id="rId252" Type="http://schemas.openxmlformats.org/officeDocument/2006/relationships/hyperlink" Target="http://www.senato.it/leg/14/BGT/Schede/Ddliter/20860.htm" TargetMode="External"/><Relationship Id="rId294" Type="http://schemas.openxmlformats.org/officeDocument/2006/relationships/hyperlink" Target="https://www.camera.it/uri-res/N2Ls?urn:camera-it:parlamento:scheda.progetto.legge:camera;17.legislatura;2149" TargetMode="External"/><Relationship Id="rId308" Type="http://schemas.openxmlformats.org/officeDocument/2006/relationships/hyperlink" Target="https://www.camera.it/leg17/410?idSeduta=0755&amp;tipo=alfabetico_stenografico" TargetMode="External"/><Relationship Id="rId515" Type="http://schemas.openxmlformats.org/officeDocument/2006/relationships/hyperlink" Target="https://www.folketingstidende.dk/samling/20021/beslutningsforslag/B118/index.htm" TargetMode="External"/><Relationship Id="rId47" Type="http://schemas.openxmlformats.org/officeDocument/2006/relationships/hyperlink" Target="https://www.psp.cz/sqw/text/tiskt.sqw?O=5&amp;CT=71&amp;CT1=0" TargetMode="External"/><Relationship Id="rId89" Type="http://schemas.openxmlformats.org/officeDocument/2006/relationships/hyperlink" Target="https://app.congreso.es/votacionesWeb/InvocaReport?sesion=178&amp;votacion=1&amp;legislatura=10" TargetMode="External"/><Relationship Id="rId112" Type="http://schemas.openxmlformats.org/officeDocument/2006/relationships/hyperlink" Target="http://www.senat.fr/scrutin-public/2008/scr2008-97.html" TargetMode="External"/><Relationship Id="rId154" Type="http://schemas.openxmlformats.org/officeDocument/2006/relationships/hyperlink" Target="http://edoc.sabor.hr/Views/AktView.aspx?type=HTML&amp;id=22509" TargetMode="External"/><Relationship Id="rId361" Type="http://schemas.openxmlformats.org/officeDocument/2006/relationships/hyperlink" Target="https://e-seimas.lrs.lt/portal/legalAct/lt/TAD/TAIS.207746?jfwid=-4syu6lt18" TargetMode="External"/><Relationship Id="rId196" Type="http://schemas.openxmlformats.org/officeDocument/2006/relationships/hyperlink" Target="https://www.oireachtas.ie/en/debates/vote/dail/32/2017-07-13/120/?highlight%5B0%5D=defence" TargetMode="External"/><Relationship Id="rId417" Type="http://schemas.openxmlformats.org/officeDocument/2006/relationships/hyperlink" Target="http://www.cameradeputatilor.ro/pls/steno/steno2015.stenograma?ids=6564&amp;idm=8&amp;idl=2" TargetMode="External"/><Relationship Id="rId459" Type="http://schemas.openxmlformats.org/officeDocument/2006/relationships/hyperlink" Target="https://www.ft.dk/samling/20051/beslutningsforslag/b63/index.htm" TargetMode="External"/><Relationship Id="rId16" Type="http://schemas.openxmlformats.org/officeDocument/2006/relationships/hyperlink" Target="https://www.psp.cz/sqw/text/tiskt.sqw?O=3&amp;CT=153&amp;CT1=0" TargetMode="External"/><Relationship Id="rId221" Type="http://schemas.openxmlformats.org/officeDocument/2006/relationships/hyperlink" Target="http://leg13.camera.it/docesta/313/15804/documentotesto.asp?pdl=5117&amp;tab=1&amp;leg=13" TargetMode="External"/><Relationship Id="rId263" Type="http://schemas.openxmlformats.org/officeDocument/2006/relationships/hyperlink" Target="http://leg14.camera.it/_dati/leg14/lavori/schedela/trovaschedacamera_wai.asp?PDL=5948" TargetMode="External"/><Relationship Id="rId319" Type="http://schemas.openxmlformats.org/officeDocument/2006/relationships/hyperlink" Target="https://www.camera.it/leg17/410?idSeduta=0905&amp;tipo=alfabetico_stenografico" TargetMode="External"/><Relationship Id="rId470" Type="http://schemas.openxmlformats.org/officeDocument/2006/relationships/hyperlink" Target="https://www.ft.dk/samling/20081/beslutningsforslag/b24/index.htm" TargetMode="External"/><Relationship Id="rId526" Type="http://schemas.openxmlformats.org/officeDocument/2006/relationships/printerSettings" Target="../printerSettings/printerSettings1.bin"/><Relationship Id="rId58" Type="http://schemas.openxmlformats.org/officeDocument/2006/relationships/hyperlink" Target="https://www.psp.cz/sqw/historie.sqw?o=6&amp;t=132" TargetMode="External"/><Relationship Id="rId123" Type="http://schemas.openxmlformats.org/officeDocument/2006/relationships/hyperlink" Target="https://www.sabor.hr/hr/prijedlog-odluke-o-sudjelovanju-pripadnika-oruzanih-snaga-republike-hrvatske-u-misiji-potpore-miru" TargetMode="External"/><Relationship Id="rId330" Type="http://schemas.openxmlformats.org/officeDocument/2006/relationships/hyperlink" Target="https://e-seimas.lrs.lt/portal/legalAct/lt/TAK/TAIS.240305" TargetMode="External"/><Relationship Id="rId165" Type="http://schemas.openxmlformats.org/officeDocument/2006/relationships/hyperlink" Target="http://edoc.sabor.hr/Views/AktView.aspx?type=HTML&amp;id=2022188" TargetMode="External"/><Relationship Id="rId372" Type="http://schemas.openxmlformats.org/officeDocument/2006/relationships/hyperlink" Target="https://e-seimas.lrs.lt/portal/legalAct/lt/TAD/TAIS.257268" TargetMode="External"/><Relationship Id="rId428" Type="http://schemas.openxmlformats.org/officeDocument/2006/relationships/hyperlink" Target="http://www.cdep.ro/pls/steno/steno.stenograma?ids=5273&amp;idm=3&amp;idl=2" TargetMode="External"/><Relationship Id="rId232" Type="http://schemas.openxmlformats.org/officeDocument/2006/relationships/hyperlink" Target="http://documenti.camera.it/_dati/leg14/lavori/stenografici/sed041/pdfel.htm" TargetMode="External"/><Relationship Id="rId274" Type="http://schemas.openxmlformats.org/officeDocument/2006/relationships/hyperlink" Target="http://legislature.camera.it/chiosco.asp?source=/altre_sezionism/9801/9821/9822/documentotesto.asp&amp;content=/_dati/leg05/lavori/schedela/trovaschedacamera.asp?pdl=1410" TargetMode="External"/><Relationship Id="rId481" Type="http://schemas.openxmlformats.org/officeDocument/2006/relationships/hyperlink" Target="https://www.ft.dk/samling/20141/beslutningsforslag/b25/index.htm" TargetMode="External"/><Relationship Id="rId27" Type="http://schemas.openxmlformats.org/officeDocument/2006/relationships/hyperlink" Target="https://www.psp.cz/sqw/text/tiskt.sqw?O=4&amp;CT=368&amp;CT1=0" TargetMode="External"/><Relationship Id="rId69" Type="http://schemas.openxmlformats.org/officeDocument/2006/relationships/hyperlink" Target="https://www.senat.cz/xqw/xervlet/pssenat/hlasovani?action=tisk&amp;O=4&amp;T=375" TargetMode="External"/><Relationship Id="rId134" Type="http://schemas.openxmlformats.org/officeDocument/2006/relationships/hyperlink" Target="http://edoc.sabor.hr/Views/AktView.aspx?type=HTML&amp;id=2022187" TargetMode="External"/><Relationship Id="rId80" Type="http://schemas.openxmlformats.org/officeDocument/2006/relationships/hyperlink" Target="https://www.psp.cz/sqw/text/tiskt.sqw?O=5&amp;CT=347&amp;CT1=0" TargetMode="External"/><Relationship Id="rId176" Type="http://schemas.openxmlformats.org/officeDocument/2006/relationships/hyperlink" Target="http://edoc.sabor.hr/Views/AktView.aspx?type=HTML&amp;id=256" TargetMode="External"/><Relationship Id="rId341" Type="http://schemas.openxmlformats.org/officeDocument/2006/relationships/hyperlink" Target="https://e-seimas.lrs.lt/portal/legalAct/lt/TAD/TAIS.98062" TargetMode="External"/><Relationship Id="rId383" Type="http://schemas.openxmlformats.org/officeDocument/2006/relationships/hyperlink" Target="https://e-seimas.lrs.lt/portal/legalAct/lt/TAD/7a5026005d9611e7a53b83ca0142260e" TargetMode="External"/><Relationship Id="rId439" Type="http://schemas.openxmlformats.org/officeDocument/2006/relationships/hyperlink" Target="http://www.cdep.ro/pls/steno/steno2015.stenograma?ids=943&amp;idm=4&amp;idl=2" TargetMode="External"/><Relationship Id="rId201" Type="http://schemas.openxmlformats.org/officeDocument/2006/relationships/hyperlink" Target="http://www.senato.it/service/PDF/PDFServer/BGT/318069.pdf" TargetMode="External"/><Relationship Id="rId243" Type="http://schemas.openxmlformats.org/officeDocument/2006/relationships/hyperlink" Target="http://leg14.camera.it/chiosco.asp?source=&amp;position=Organi%20Parlamentari\Assemblea\Resoconti&amp;content=/_dati/leg14/lavori/stenografici/framedinam.asp?sedpag=sed197/s000r.htm" TargetMode="External"/><Relationship Id="rId285" Type="http://schemas.openxmlformats.org/officeDocument/2006/relationships/hyperlink" Target="https://www.camera.it/uri-res/N2Ls?urn:camera-it:parlamento:scheda.progetto.legge:camera;16.legislatura;4551" TargetMode="External"/><Relationship Id="rId450" Type="http://schemas.openxmlformats.org/officeDocument/2006/relationships/hyperlink" Target="http://www.cdep.ro/pls/steno/steno2015.stenograma?ids=5347&amp;idm=2&amp;idl=2" TargetMode="External"/><Relationship Id="rId506" Type="http://schemas.openxmlformats.org/officeDocument/2006/relationships/hyperlink" Target="https://www.folketingstidende.dk/samling/19981/beslutningsforslag/B146/index.htm" TargetMode="External"/><Relationship Id="rId38" Type="http://schemas.openxmlformats.org/officeDocument/2006/relationships/hyperlink" Target="https://www.psp.cz/sqw/text/tiskt.sqw?O=4&amp;CT=1113&amp;CT1=0" TargetMode="External"/><Relationship Id="rId103" Type="http://schemas.openxmlformats.org/officeDocument/2006/relationships/hyperlink" Target="https://www.eduskunta.fi/FI/Vaski/sivut/aanestys.aspx?aanestysnro=1&amp;istuntonro=98&amp;vuosi=2007" TargetMode="External"/><Relationship Id="rId310" Type="http://schemas.openxmlformats.org/officeDocument/2006/relationships/hyperlink" Target="https://www.camera.it/leg17/410?idSeduta=0755&amp;tipo=alfabetico_stenografico" TargetMode="External"/><Relationship Id="rId492" Type="http://schemas.openxmlformats.org/officeDocument/2006/relationships/hyperlink" Target="https://www.folketingstidende.dk/samling/19902/lovforslag/L63/19902_L63_BEH3_M12_referat.pdf" TargetMode="External"/><Relationship Id="rId91" Type="http://schemas.openxmlformats.org/officeDocument/2006/relationships/hyperlink" Target="https://app.congreso.es/votacionesWeb/InvocaReport?sesion=236&amp;votacion=50&amp;legislatura=10" TargetMode="External"/><Relationship Id="rId145" Type="http://schemas.openxmlformats.org/officeDocument/2006/relationships/hyperlink" Target="http://edoc.sabor.hr/Views/AktView.aspx?type=HTML&amp;id=25555" TargetMode="External"/><Relationship Id="rId187" Type="http://schemas.openxmlformats.org/officeDocument/2006/relationships/hyperlink" Target="https://www.oireachtas.ie/en/debates/debate/dail/1997-05-14/5/?highlight%5B0%5D=sfor" TargetMode="External"/><Relationship Id="rId352" Type="http://schemas.openxmlformats.org/officeDocument/2006/relationships/hyperlink" Target="https://e-seimas.lrs.lt/portal/legalAct/lt/TAD/TAIS.162897?jfwid=-4syu6lu8u" TargetMode="External"/><Relationship Id="rId394" Type="http://schemas.openxmlformats.org/officeDocument/2006/relationships/hyperlink" Target="https://www.tbmm.gov.tr/tutanaklar/TUTANAK/TBMM/d21/c022/tbmm21022043.pdf" TargetMode="External"/><Relationship Id="rId408" Type="http://schemas.openxmlformats.org/officeDocument/2006/relationships/hyperlink" Target="https://www.senate.gov/legislative/LIS/roll_call_lists/roll_call_vote_cfm.cfm?congress=107&amp;session=1&amp;vote=00281" TargetMode="External"/><Relationship Id="rId212" Type="http://schemas.openxmlformats.org/officeDocument/2006/relationships/hyperlink" Target="http://documenti.camera.it/_dati/leg13/lavori/stenografici/sed177/pdfel.htm" TargetMode="External"/><Relationship Id="rId254" Type="http://schemas.openxmlformats.org/officeDocument/2006/relationships/hyperlink" Target="http://www.senato.it/japp/bgt/showdoc/frame.jsp?tipodoc=Resaula&amp;leg=14&amp;id=111931" TargetMode="External"/><Relationship Id="rId49" Type="http://schemas.openxmlformats.org/officeDocument/2006/relationships/hyperlink" Target="https://www.psp.cz/sqw/text/tiskt.sqw?O=5&amp;CT=71&amp;CT1=0" TargetMode="External"/><Relationship Id="rId114" Type="http://schemas.openxmlformats.org/officeDocument/2006/relationships/hyperlink" Target="http://www.senat.fr/scrutin-public/2008/scr2008-99.html" TargetMode="External"/><Relationship Id="rId296" Type="http://schemas.openxmlformats.org/officeDocument/2006/relationships/hyperlink" Target="http://www.senato.it/leg/17/BGT/Schede/Ddliter/44826.htm" TargetMode="External"/><Relationship Id="rId461" Type="http://schemas.openxmlformats.org/officeDocument/2006/relationships/hyperlink" Target="https://www.ft.dk/samling/20051/beslutningsforslag/b139/index.htm" TargetMode="External"/><Relationship Id="rId517" Type="http://schemas.openxmlformats.org/officeDocument/2006/relationships/hyperlink" Target="https://www.folketingstidende.dk/samling/20031/beslutningsforslag/B1/index.htm" TargetMode="External"/><Relationship Id="rId60" Type="http://schemas.openxmlformats.org/officeDocument/2006/relationships/hyperlink" Target="https://www.psp.cz/sqw/text/tiskt.sqw?O=7&amp;CT=472&amp;CT1=0" TargetMode="External"/><Relationship Id="rId156" Type="http://schemas.openxmlformats.org/officeDocument/2006/relationships/hyperlink" Target="http://edoc.sabor.hr/Views/AktView.aspx?type=HTML&amp;id=22061" TargetMode="External"/><Relationship Id="rId198" Type="http://schemas.openxmlformats.org/officeDocument/2006/relationships/hyperlink" Target="https://www.oireachtas.ie/en/debates/debate/dail/1993-07-06/29/?highlight%5B0%5D=somalia&amp;highlight%5B1%5D=somalia&amp;highlight%5B2%5D=somalia&amp;highlight%5B3%5D=somalia&amp;highlight%5B4%5D=somalia" TargetMode="External"/><Relationship Id="rId321" Type="http://schemas.openxmlformats.org/officeDocument/2006/relationships/hyperlink" Target="https://www.camera.it/leg18/410?idSeduta=0202&amp;tipo=alfabetico_stenografico" TargetMode="External"/><Relationship Id="rId363" Type="http://schemas.openxmlformats.org/officeDocument/2006/relationships/hyperlink" Target="https://e-seimas.lrs.lt/portal/legalAct/lt/TAD/TAIS.209030" TargetMode="External"/><Relationship Id="rId419" Type="http://schemas.openxmlformats.org/officeDocument/2006/relationships/hyperlink" Target="http://www.cdep.ro/pls/steno/steno2015.stenograma?ids=5310&amp;idm=3&amp;idl=2" TargetMode="External"/><Relationship Id="rId223" Type="http://schemas.openxmlformats.org/officeDocument/2006/relationships/hyperlink" Target="http://documenti.camera.it/_dati/leg13/lavori/stenografici/sed518/pdfel.htm" TargetMode="External"/><Relationship Id="rId430" Type="http://schemas.openxmlformats.org/officeDocument/2006/relationships/hyperlink" Target="http://www.cdep.ro/pls/steno/steno2015.stenograma?ids=5382&amp;idm=3&amp;idl=2" TargetMode="External"/><Relationship Id="rId18" Type="http://schemas.openxmlformats.org/officeDocument/2006/relationships/hyperlink" Target="https://www.psp.cz/sqw/tisky.sqw?O=3&amp;T=176" TargetMode="External"/><Relationship Id="rId265" Type="http://schemas.openxmlformats.org/officeDocument/2006/relationships/hyperlink" Target="http://www.senato.it/leg/15/BGT/Schede/Ddliter/26767.htm" TargetMode="External"/><Relationship Id="rId472" Type="http://schemas.openxmlformats.org/officeDocument/2006/relationships/hyperlink" Target="https://www.ft.dk/samling/20091/beslutningsforslag/b41/index.htm" TargetMode="External"/><Relationship Id="rId125" Type="http://schemas.openxmlformats.org/officeDocument/2006/relationships/hyperlink" Target="http://edoc.sabor.hr/Views/AktView.aspx?type=HTML&amp;id=2023919" TargetMode="External"/><Relationship Id="rId167" Type="http://schemas.openxmlformats.org/officeDocument/2006/relationships/hyperlink" Target="http://edoc.sabor.hr/Views/AktView.aspx?type=HTML&amp;id=2020671" TargetMode="External"/><Relationship Id="rId332" Type="http://schemas.openxmlformats.org/officeDocument/2006/relationships/hyperlink" Target="https://e-seimas.lrs.lt/portal/legalAct/lt/TAD/TAIS.34600" TargetMode="External"/><Relationship Id="rId374" Type="http://schemas.openxmlformats.org/officeDocument/2006/relationships/hyperlink" Target="https://e-seimas.lrs.lt/portal/legalAct/lt/TAD/TAIS.323572" TargetMode="External"/><Relationship Id="rId71" Type="http://schemas.openxmlformats.org/officeDocument/2006/relationships/hyperlink" Target="https://www.senat.cz/xqw/xervlet/pssenat/hlasovani?action=tisk&amp;O=5&amp;T=236" TargetMode="External"/><Relationship Id="rId234" Type="http://schemas.openxmlformats.org/officeDocument/2006/relationships/hyperlink" Target="http://legislature.camera.it/chiosco.asp?source=/altre_sezionism/9499/10031/10032/documentotesto.asp&amp;content=/_dati/leg03/lavori/schedela/trovaschedacamera.asp?pdl=553" TargetMode="External"/><Relationship Id="rId2" Type="http://schemas.openxmlformats.org/officeDocument/2006/relationships/hyperlink" Target="https://www.dekamer.be/doc/PCRI/PDF/53/ip024.pdf" TargetMode="External"/><Relationship Id="rId29" Type="http://schemas.openxmlformats.org/officeDocument/2006/relationships/hyperlink" Target="https://www.psp.cz/sqw/text/tiskt.sqw?O=4&amp;CT=565&amp;CT1=0" TargetMode="External"/><Relationship Id="rId276" Type="http://schemas.openxmlformats.org/officeDocument/2006/relationships/hyperlink" Target="http://www.senato.it/leg/16/BGT/Schede/Ddliter/34425.htm" TargetMode="External"/><Relationship Id="rId441" Type="http://schemas.openxmlformats.org/officeDocument/2006/relationships/hyperlink" Target="http://www.cdep.ro/pls/steno/steno2015.stenograma?ids=1461&amp;idm=3&amp;idl=2" TargetMode="External"/><Relationship Id="rId483" Type="http://schemas.openxmlformats.org/officeDocument/2006/relationships/hyperlink" Target="https://www.ft.dk/samling/20151/beslutningsforslag/b26/index.htm" TargetMode="External"/><Relationship Id="rId40" Type="http://schemas.openxmlformats.org/officeDocument/2006/relationships/hyperlink" Target="https://www.psp.cz/sqw/text/tiskt.sqw?O=4&amp;CT=1113&amp;CT1=0" TargetMode="External"/><Relationship Id="rId136" Type="http://schemas.openxmlformats.org/officeDocument/2006/relationships/hyperlink" Target="http://edoc.sabor.hr/Views/AktView.aspx?type=HTML&amp;id=2021089" TargetMode="External"/><Relationship Id="rId178" Type="http://schemas.openxmlformats.org/officeDocument/2006/relationships/hyperlink" Target="http://edoc.sabor.hr/Views/AktView.aspx?type=HTML&amp;id=2010938" TargetMode="External"/><Relationship Id="rId301" Type="http://schemas.openxmlformats.org/officeDocument/2006/relationships/hyperlink" Target="https://www.camera.it/uri-res/N2Ls?urn:camera-it:parlamento:scheda.progetto.legge:camera;17.legislatura;3393" TargetMode="External"/><Relationship Id="rId343" Type="http://schemas.openxmlformats.org/officeDocument/2006/relationships/hyperlink" Target="https://e-seimas.lrs.lt/portal/legalAct/lt/TAD/TAIS.130164?jfwid=-1890mozpz8" TargetMode="External"/><Relationship Id="rId82" Type="http://schemas.openxmlformats.org/officeDocument/2006/relationships/hyperlink" Target="https://www.psp.cz/sqw/text/tiskt.sqw?O=5&amp;CT=347&amp;CT1=0" TargetMode="External"/><Relationship Id="rId203" Type="http://schemas.openxmlformats.org/officeDocument/2006/relationships/hyperlink" Target="https://www.camera.it/_dati/leg11/lavori/stenografici/stenografico/33726.pdf" TargetMode="External"/><Relationship Id="rId385" Type="http://schemas.openxmlformats.org/officeDocument/2006/relationships/hyperlink" Target="https://e-seimas.lrs.lt/portal/legalAct/lt/TAD/cec0ae11e6e611e7b4d1bdd5f1a9ff0e" TargetMode="External"/><Relationship Id="rId245" Type="http://schemas.openxmlformats.org/officeDocument/2006/relationships/hyperlink" Target="http://leg14.camera.it/_dati/leg14/lavori/schedela/trovaschedacamera_wai.asp?PDL=3564" TargetMode="External"/><Relationship Id="rId287" Type="http://schemas.openxmlformats.org/officeDocument/2006/relationships/hyperlink" Target="http://www.senato.it/leg/16/BGT/Schede/Ddliter/37900.htm" TargetMode="External"/><Relationship Id="rId410" Type="http://schemas.openxmlformats.org/officeDocument/2006/relationships/hyperlink" Target="https://www.senate.gov/legislative/LIS/roll_call_lists/roll_call_vote_cfm.cfm?congress=107&amp;session=2&amp;vote=00237" TargetMode="External"/><Relationship Id="rId452" Type="http://schemas.openxmlformats.org/officeDocument/2006/relationships/hyperlink" Target="https://zoek.officielebekendmakingen.nl/kst-27925-579.html" TargetMode="External"/><Relationship Id="rId494" Type="http://schemas.openxmlformats.org/officeDocument/2006/relationships/hyperlink" Target="https://www.folketingstidende.dk/samling/19921/beslutningsforslag/B79/index.htm" TargetMode="External"/><Relationship Id="rId508" Type="http://schemas.openxmlformats.org/officeDocument/2006/relationships/hyperlink" Target="https://www.folketingstidende.dk/samling/19981/beslutningsforslag/B151/index.htm" TargetMode="External"/><Relationship Id="rId105" Type="http://schemas.openxmlformats.org/officeDocument/2006/relationships/hyperlink" Target="https://www.eduskunta.fi/FI/Vaski/sivut/aanestys.aspx?aanestysnro=1&amp;istuntonro=35&amp;vuosi=2010" TargetMode="External"/><Relationship Id="rId147" Type="http://schemas.openxmlformats.org/officeDocument/2006/relationships/hyperlink" Target="http://edoc.sabor.hr/Views/AktView.aspx?type=HTML&amp;id=25480" TargetMode="External"/><Relationship Id="rId312" Type="http://schemas.openxmlformats.org/officeDocument/2006/relationships/hyperlink" Target="https://www.camera.it/leg17/410?idSeduta=0755&amp;tipo=alfabetico_stenografico" TargetMode="External"/><Relationship Id="rId354" Type="http://schemas.openxmlformats.org/officeDocument/2006/relationships/hyperlink" Target="https://e-seimas.lrs.lt/portal/legalAct/lt/TAD/TAIS.181583?jfwid=-4syu6ltx4" TargetMode="External"/><Relationship Id="rId51" Type="http://schemas.openxmlformats.org/officeDocument/2006/relationships/hyperlink" Target="https://www.psp.cz/sqw/text/tiskt.sqw?O=5&amp;CT=133&amp;CT1=0" TargetMode="External"/><Relationship Id="rId93" Type="http://schemas.openxmlformats.org/officeDocument/2006/relationships/hyperlink" Target="https://app.congreso.es/votacionesWeb/InvocaReport?sesion=159&amp;votacion=9&amp;legislatura=10" TargetMode="External"/><Relationship Id="rId189" Type="http://schemas.openxmlformats.org/officeDocument/2006/relationships/hyperlink" Target="https://www.oireachtas.ie/en/debates/debate/dail/2003-11-12/15/?highlight%5B0%5D=liberia&amp;highlight%5B1%5D=unmil" TargetMode="External"/><Relationship Id="rId396" Type="http://schemas.openxmlformats.org/officeDocument/2006/relationships/hyperlink" Target="https://www.publicwhip.org.uk/division.php?date=2003-03-18&amp;number=118&amp;display=allpossible" TargetMode="External"/><Relationship Id="rId214" Type="http://schemas.openxmlformats.org/officeDocument/2006/relationships/hyperlink" Target="http://leg13.camera.it/docesta/313/15804/documentotesto.asp?pdl=3788&amp;tab=1&amp;leg=13" TargetMode="External"/><Relationship Id="rId256" Type="http://schemas.openxmlformats.org/officeDocument/2006/relationships/hyperlink" Target="https://www.camera.it/uri-res/N2Ls?urn:camera-it:parlamento:scheda.progetto.legge:camera;14.legislatura;5088" TargetMode="External"/><Relationship Id="rId298" Type="http://schemas.openxmlformats.org/officeDocument/2006/relationships/hyperlink" Target="http://www.senato.it/leg/17/BGT/Schede/Ddliter/45465.htm" TargetMode="External"/><Relationship Id="rId421" Type="http://schemas.openxmlformats.org/officeDocument/2006/relationships/hyperlink" Target="http://www.cdep.ro/pls/steno/steno2015.stenograma?ids=5202&amp;idm=3&amp;idl=2" TargetMode="External"/><Relationship Id="rId463" Type="http://schemas.openxmlformats.org/officeDocument/2006/relationships/hyperlink" Target="https://www.ft.dk/samling/20061/beslutningsforslag/b61/index.htm" TargetMode="External"/><Relationship Id="rId519" Type="http://schemas.openxmlformats.org/officeDocument/2006/relationships/hyperlink" Target="https://www.folketingstidende.dk/samling/20031/beslutningsforslag/B56/index.htm" TargetMode="External"/><Relationship Id="rId116" Type="http://schemas.openxmlformats.org/officeDocument/2006/relationships/hyperlink" Target="http://edoc.sabor.hr/Views/AktView.aspx?type=HTML&amp;id=7835" TargetMode="External"/><Relationship Id="rId158" Type="http://schemas.openxmlformats.org/officeDocument/2006/relationships/hyperlink" Target="http://edoc.sabor.hr/Views/AktView.aspx?type=HTML&amp;id=21788" TargetMode="External"/><Relationship Id="rId323" Type="http://schemas.openxmlformats.org/officeDocument/2006/relationships/hyperlink" Target="http://www.senato.it/uri-res/N2Ls?urn:senato-it:parl:ddl:senato;15.legislatura;845" TargetMode="External"/><Relationship Id="rId20" Type="http://schemas.openxmlformats.org/officeDocument/2006/relationships/hyperlink" Target="https://www.psp.cz/sqw/text/tiskt.sqw?O=3&amp;CT=391&amp;CT1=0" TargetMode="External"/><Relationship Id="rId62" Type="http://schemas.openxmlformats.org/officeDocument/2006/relationships/hyperlink" Target="https://www.psp.cz/sqw/text/tiskt.sqw?O=7&amp;CT=786&amp;CT1=0" TargetMode="External"/><Relationship Id="rId365" Type="http://schemas.openxmlformats.org/officeDocument/2006/relationships/hyperlink" Target="https://e-seimas.lrs.lt/portal/legalAct/lt/TAD/TAIS.209716" TargetMode="External"/><Relationship Id="rId225" Type="http://schemas.openxmlformats.org/officeDocument/2006/relationships/hyperlink" Target="http://leg13.camera.it/docesta/313/15804/documentotesto.asp?pdl=6079&amp;tab=1&amp;leg=13" TargetMode="External"/><Relationship Id="rId267" Type="http://schemas.openxmlformats.org/officeDocument/2006/relationships/hyperlink" Target="http://leg15.camera.it/_dati/leg15/lavori/schedela/trovaschedacamera_wai.asp?PDL=2193" TargetMode="External"/><Relationship Id="rId432" Type="http://schemas.openxmlformats.org/officeDocument/2006/relationships/hyperlink" Target="http://www.cdep.ro/pls/steno/steno2015.stenograma?ids=5150&amp;idm=2&amp;idl=2" TargetMode="External"/><Relationship Id="rId474" Type="http://schemas.openxmlformats.org/officeDocument/2006/relationships/hyperlink" Target="https://www.ft.dk/samling/20101/beslutningsforslag/b89/index.htm" TargetMode="External"/><Relationship Id="rId127" Type="http://schemas.openxmlformats.org/officeDocument/2006/relationships/hyperlink" Target="http://edoc.sabor.hr/Views/AktView.aspx?type=HTML&amp;id=2023100" TargetMode="External"/><Relationship Id="rId31" Type="http://schemas.openxmlformats.org/officeDocument/2006/relationships/hyperlink" Target="https://www.psp.cz/sqw/text/tiskt.sqw?O=4&amp;CT=716&amp;CT1=0" TargetMode="External"/><Relationship Id="rId73" Type="http://schemas.openxmlformats.org/officeDocument/2006/relationships/hyperlink" Target="https://www.senat.cz/xqw/xervlet/pssenat/htmlhled?action=doc&amp;value=49224" TargetMode="External"/><Relationship Id="rId169" Type="http://schemas.openxmlformats.org/officeDocument/2006/relationships/hyperlink" Target="http://edoc.sabor.hr/Views/AktView.aspx?type=HTML&amp;id=27103" TargetMode="External"/><Relationship Id="rId334" Type="http://schemas.openxmlformats.org/officeDocument/2006/relationships/hyperlink" Target="https://e-seimas.lrs.lt/portal/legalAct/lt/TAD/TAIS.36093" TargetMode="External"/><Relationship Id="rId376" Type="http://schemas.openxmlformats.org/officeDocument/2006/relationships/hyperlink" Target="https://e-seimas.lrs.lt/portal/legalAct/lt/TAD/TAIS.425397" TargetMode="External"/><Relationship Id="rId4" Type="http://schemas.openxmlformats.org/officeDocument/2006/relationships/hyperlink" Target="http://parl.canadiana.ca/view/oop.proc_HOC_3402_3/129?r=0&amp;s=1" TargetMode="External"/><Relationship Id="rId180" Type="http://schemas.openxmlformats.org/officeDocument/2006/relationships/hyperlink" Target="http://edoc.sabor.hr/Views/AktView.aspx?type=HTML&amp;id=2010216" TargetMode="External"/><Relationship Id="rId236" Type="http://schemas.openxmlformats.org/officeDocument/2006/relationships/hyperlink" Target="http://www.senato.it/japp/bgt/showdoc/frame.jsp?tipodoc=Resaula&amp;leg=14&amp;id=8995" TargetMode="External"/><Relationship Id="rId278" Type="http://schemas.openxmlformats.org/officeDocument/2006/relationships/hyperlink" Target="https://www.camera.it/uri-res/N2Ls?urn:camera-it:parlamento:scheda.progetto.legge:camera;16.legislatura;3097" TargetMode="External"/><Relationship Id="rId401" Type="http://schemas.openxmlformats.org/officeDocument/2006/relationships/hyperlink" Target="https://www.senate.gov/legislative/LIS/roll_call_lists/roll_call_vote_cfm.cfm?congress=102&amp;session=1&amp;vote=00002" TargetMode="External"/><Relationship Id="rId443" Type="http://schemas.openxmlformats.org/officeDocument/2006/relationships/hyperlink" Target="http://www.cdep.ro/pls/steno/steno2015.stenograma?ids=2161&amp;idm=2&amp;idl=2" TargetMode="External"/><Relationship Id="rId303" Type="http://schemas.openxmlformats.org/officeDocument/2006/relationships/hyperlink" Target="http://www.senato.it/leg/17/BGT/Schede/Ddliter/46890.htm" TargetMode="External"/><Relationship Id="rId485" Type="http://schemas.openxmlformats.org/officeDocument/2006/relationships/hyperlink" Target="https://www.ft.dk/samling/20151/beslutningsforslag/b197/index.htm" TargetMode="External"/><Relationship Id="rId42" Type="http://schemas.openxmlformats.org/officeDocument/2006/relationships/hyperlink" Target="https://www.psp.cz/sqw/text/tiskt.sqw?O=4&amp;CT=1113&amp;CT1=0" TargetMode="External"/><Relationship Id="rId84" Type="http://schemas.openxmlformats.org/officeDocument/2006/relationships/hyperlink" Target="https://www.senat.cz/xqw/xervlet/pssenat/htmlhled?action=doc&amp;value=21140" TargetMode="External"/><Relationship Id="rId138" Type="http://schemas.openxmlformats.org/officeDocument/2006/relationships/hyperlink" Target="http://edoc.sabor.hr/Views/AktView.aspx?type=HTML&amp;id=2021086" TargetMode="External"/><Relationship Id="rId345" Type="http://schemas.openxmlformats.org/officeDocument/2006/relationships/hyperlink" Target="https://e-seimas.lrs.lt/portal/legalAct/lt/TAD/TAIS.114170" TargetMode="External"/><Relationship Id="rId387" Type="http://schemas.openxmlformats.org/officeDocument/2006/relationships/hyperlink" Target="https://e-seimas.lrs.lt/portal/legalAct/lt/TAD/123b5451226911eab86ff95170e24944" TargetMode="External"/><Relationship Id="rId510" Type="http://schemas.openxmlformats.org/officeDocument/2006/relationships/hyperlink" Target="https://www.folketingstidende.dk/samling/20011/beslutningsforslag/B5/index.htm" TargetMode="External"/><Relationship Id="rId191" Type="http://schemas.openxmlformats.org/officeDocument/2006/relationships/hyperlink" Target="https://www.oireachtas.ie/en/debates/debate/dail/2007-10-09/22/?highlight%5B0%5D=chad" TargetMode="External"/><Relationship Id="rId205" Type="http://schemas.openxmlformats.org/officeDocument/2006/relationships/hyperlink" Target="http://legislature.camera.it/chiosco.asp?source=/altre_sezionism/10221/10233/10234/documentotesto.asp&amp;content=/_dati/leg11/lavori/schedela/trovaschedacamera.asp?pdl=3690" TargetMode="External"/><Relationship Id="rId247" Type="http://schemas.openxmlformats.org/officeDocument/2006/relationships/hyperlink" Target="http://documenti.camera.it/_dati/leg14/lavori/stenografici/sed283/pdfel.htm" TargetMode="External"/><Relationship Id="rId412" Type="http://schemas.openxmlformats.org/officeDocument/2006/relationships/hyperlink" Target="https://clerk.house.gov/Votes/1994500" TargetMode="External"/><Relationship Id="rId107" Type="http://schemas.openxmlformats.org/officeDocument/2006/relationships/hyperlink" Target="https://www.eduskunta.fi/FI/Vaski/sivut/aanestys.aspx?aanestysnro=3&amp;istuntonro=35&amp;vuosi=2010" TargetMode="External"/><Relationship Id="rId289" Type="http://schemas.openxmlformats.org/officeDocument/2006/relationships/hyperlink" Target="https://www.camera.it/uri-res/N2Ls?urn:camera-it:parlamento:scheda.progetto.legge:camera;16.legislatura;5287" TargetMode="External"/><Relationship Id="rId454" Type="http://schemas.openxmlformats.org/officeDocument/2006/relationships/hyperlink" Target="https://www.ft.dk/samling/20191/beslutningsforslag/b7/index.htm" TargetMode="External"/><Relationship Id="rId496" Type="http://schemas.openxmlformats.org/officeDocument/2006/relationships/hyperlink" Target="https://www.folketingstidende.dk/samling/19931/beslutningsforslag/B84/index.htm" TargetMode="External"/><Relationship Id="rId11" Type="http://schemas.openxmlformats.org/officeDocument/2006/relationships/hyperlink" Target="https://www.ourcommons.ca/Members/en/votes/42/1/19?view=result" TargetMode="External"/><Relationship Id="rId53" Type="http://schemas.openxmlformats.org/officeDocument/2006/relationships/hyperlink" Target="https://www.psp.cz/sqw/text/tiskt.sqw?O=5&amp;CT=641&amp;CT1=0" TargetMode="External"/><Relationship Id="rId149" Type="http://schemas.openxmlformats.org/officeDocument/2006/relationships/hyperlink" Target="http://edoc.sabor.hr/Views/AktView.aspx?type=HTML&amp;id=24372" TargetMode="External"/><Relationship Id="rId314" Type="http://schemas.openxmlformats.org/officeDocument/2006/relationships/hyperlink" Target="https://www.camera.it/leg17/410?idSeduta=0755&amp;tipo=alfabetico_stenografico" TargetMode="External"/><Relationship Id="rId356" Type="http://schemas.openxmlformats.org/officeDocument/2006/relationships/hyperlink" Target="https://e-seimas.lrs.lt/portal/legalAct/lt/TAD/TAIS.187936?jfwid=-4syu6ltpu" TargetMode="External"/><Relationship Id="rId398" Type="http://schemas.openxmlformats.org/officeDocument/2006/relationships/hyperlink" Target="https://www.publicwhip.org.uk/division.php?date=2013-08-29&amp;house=commons&amp;number=70" TargetMode="External"/><Relationship Id="rId521" Type="http://schemas.openxmlformats.org/officeDocument/2006/relationships/hyperlink" Target="https://www.folketingstidende.dk/samling/20031/beslutningsforslag/B213/index.htm" TargetMode="External"/><Relationship Id="rId95" Type="http://schemas.openxmlformats.org/officeDocument/2006/relationships/hyperlink" Target="http://www.congreso.es/public_oficiales/L9/CONG/DS/CO/CO_031.PDF" TargetMode="External"/><Relationship Id="rId160" Type="http://schemas.openxmlformats.org/officeDocument/2006/relationships/hyperlink" Target="http://edoc.sabor.hr/Views/AktView.aspx?type=HTML&amp;id=20585" TargetMode="External"/><Relationship Id="rId216" Type="http://schemas.openxmlformats.org/officeDocument/2006/relationships/hyperlink" Target="http://leg13.camera.it/docesta/313/15804/documentotesto.asp?pdl=4273&amp;tab=1&amp;leg=13" TargetMode="External"/><Relationship Id="rId423" Type="http://schemas.openxmlformats.org/officeDocument/2006/relationships/hyperlink" Target="http://www.cdep.ro/pls/steno/steno2015.stenograma?ids=5173&amp;idm=8&amp;idl=2" TargetMode="External"/><Relationship Id="rId258" Type="http://schemas.openxmlformats.org/officeDocument/2006/relationships/hyperlink" Target="http://leg14.camera.it/_dati/leg14/lavori/schedela/trovaschedacamera_wai.asp?PDL=5949" TargetMode="External"/><Relationship Id="rId465" Type="http://schemas.openxmlformats.org/officeDocument/2006/relationships/hyperlink" Target="https://www.ft.dk/samling/20061/beslutningsforslag/b162/index.htm" TargetMode="External"/><Relationship Id="rId22" Type="http://schemas.openxmlformats.org/officeDocument/2006/relationships/hyperlink" Target="https://www.psp.cz/sqw/tisky.sqw?O=3&amp;T=1115" TargetMode="External"/><Relationship Id="rId64" Type="http://schemas.openxmlformats.org/officeDocument/2006/relationships/hyperlink" Target="https://www.psp.cz/sqw/text/tiskt.sqw?O=5&amp;CT=347&amp;CT1=0" TargetMode="External"/><Relationship Id="rId118" Type="http://schemas.openxmlformats.org/officeDocument/2006/relationships/hyperlink" Target="http://edoc.sabor.hr/Views/AktView.aspx?type=HTML&amp;id=23299" TargetMode="External"/><Relationship Id="rId325" Type="http://schemas.openxmlformats.org/officeDocument/2006/relationships/hyperlink" Target="https://www.camera.it/leg17/410?idSeduta=0755&amp;tipo=votazioni" TargetMode="External"/><Relationship Id="rId367" Type="http://schemas.openxmlformats.org/officeDocument/2006/relationships/hyperlink" Target="https://e-seimas.lrs.lt/portal/legalAct/lt/TAD/TAIS.219815" TargetMode="External"/><Relationship Id="rId171" Type="http://schemas.openxmlformats.org/officeDocument/2006/relationships/hyperlink" Target="http://edoc.sabor.hr/Views/AktView.aspx?type=HTML&amp;id=22969" TargetMode="External"/><Relationship Id="rId227" Type="http://schemas.openxmlformats.org/officeDocument/2006/relationships/hyperlink" Target="https://www.camera.it/uri-res/N2Ls?urn:camera-it:parlamento:scheda.progetto.legge:camera;13.legislatura;6497" TargetMode="External"/><Relationship Id="rId269" Type="http://schemas.openxmlformats.org/officeDocument/2006/relationships/hyperlink" Target="http://www.senato.it/leg/15/BGT/Schede/Ddliter/27796.htm" TargetMode="External"/><Relationship Id="rId434" Type="http://schemas.openxmlformats.org/officeDocument/2006/relationships/hyperlink" Target="http://www.cdep.ro/pls/steno/steno2015.stenograma?ids=5499&amp;idm=3&amp;idl=2" TargetMode="External"/><Relationship Id="rId476" Type="http://schemas.openxmlformats.org/officeDocument/2006/relationships/hyperlink" Target="https://www.ft.dk/samling/20131/beslutningsforslag/b28/index.htm" TargetMode="External"/><Relationship Id="rId33" Type="http://schemas.openxmlformats.org/officeDocument/2006/relationships/hyperlink" Target="https://www.psp.cz/sqw/text/tiskt.sqw?O=4&amp;CT=757&amp;CT1=0" TargetMode="External"/><Relationship Id="rId129" Type="http://schemas.openxmlformats.org/officeDocument/2006/relationships/hyperlink" Target="http://edoc.sabor.hr/Views/AktView.aspx?type=HTML&amp;id=2023098" TargetMode="External"/><Relationship Id="rId280" Type="http://schemas.openxmlformats.org/officeDocument/2006/relationships/hyperlink" Target="https://www.camera.it/uri-res/N2Ls?urn:camera-it:parlamento:scheda.progetto.legge:camera;16.legislatura;3996" TargetMode="External"/><Relationship Id="rId336" Type="http://schemas.openxmlformats.org/officeDocument/2006/relationships/hyperlink" Target="https://e-seimas.lrs.lt/portal/legalAct/lt/TAD/TAIS.77564" TargetMode="External"/><Relationship Id="rId501" Type="http://schemas.openxmlformats.org/officeDocument/2006/relationships/hyperlink" Target="https://www.folketingstidende.dk/samling/19971/beslutningsforslag/B114/index.htm" TargetMode="External"/><Relationship Id="rId75" Type="http://schemas.openxmlformats.org/officeDocument/2006/relationships/hyperlink" Target="https://www.senat.cz/xqw/xervlet/pssenat/htmlhled?action=doc&amp;value=52407" TargetMode="External"/><Relationship Id="rId140" Type="http://schemas.openxmlformats.org/officeDocument/2006/relationships/hyperlink" Target="http://edoc.sabor.hr/Views/AktView.aspx?type=HTML&amp;id=27106" TargetMode="External"/><Relationship Id="rId182" Type="http://schemas.openxmlformats.org/officeDocument/2006/relationships/hyperlink" Target="http://edoc.sabor.hr/Views/AktView.aspx?type=HTML&amp;id=2010021" TargetMode="External"/><Relationship Id="rId378" Type="http://schemas.openxmlformats.org/officeDocument/2006/relationships/hyperlink" Target="https://e-seimas.lrs.lt/portal/legalAct/lt/TAD/352ab340b02b11e3bf53dc70cf7669d9" TargetMode="External"/><Relationship Id="rId403" Type="http://schemas.openxmlformats.org/officeDocument/2006/relationships/hyperlink" Target="http://clerk.house.gov/evs/1993/roll183.xml" TargetMode="External"/><Relationship Id="rId6" Type="http://schemas.openxmlformats.org/officeDocument/2006/relationships/hyperlink" Target="https://www.ourcommons.ca/Members/en/votes/39/2/76?view=party" TargetMode="External"/><Relationship Id="rId238" Type="http://schemas.openxmlformats.org/officeDocument/2006/relationships/hyperlink" Target="http://www.senato.it/leg/14/BGT/Schede/Ddliter/16324.htm" TargetMode="External"/><Relationship Id="rId445" Type="http://schemas.openxmlformats.org/officeDocument/2006/relationships/hyperlink" Target="http://www.cdep.ro/pls/steno/steno2015.stenograma?ids=5024&amp;idl=2" TargetMode="External"/><Relationship Id="rId487" Type="http://schemas.openxmlformats.org/officeDocument/2006/relationships/hyperlink" Target="https://www.ft.dk/samling/20161/beslutningsforslag/b150/index.htm" TargetMode="External"/><Relationship Id="rId291" Type="http://schemas.openxmlformats.org/officeDocument/2006/relationships/hyperlink" Target="https://www.camera.it/uri-res/N2Ls?urn:camera-it:parlamento:scheda.progetto.legge:camera;17.legislatura;1670" TargetMode="External"/><Relationship Id="rId305" Type="http://schemas.openxmlformats.org/officeDocument/2006/relationships/hyperlink" Target="https://www.camera.it/leg17/410?idSeduta=0755&amp;tipo=alfabetico_stenografico" TargetMode="External"/><Relationship Id="rId347" Type="http://schemas.openxmlformats.org/officeDocument/2006/relationships/hyperlink" Target="https://e-seimas.lrs.lt/portal/legalAct/lt/TAD/TAIS.130166?jfwid=-4syu6lv4t" TargetMode="External"/><Relationship Id="rId512" Type="http://schemas.openxmlformats.org/officeDocument/2006/relationships/hyperlink" Target="https://www.folketingstidende.dk/samling/20012/beslutningsforslag/B37/index.htm" TargetMode="External"/><Relationship Id="rId44" Type="http://schemas.openxmlformats.org/officeDocument/2006/relationships/hyperlink" Target="https://www.psp.cz/sqw/text/tiskt.sqw?O=4&amp;CT=1234&amp;CT1=0" TargetMode="External"/><Relationship Id="rId86" Type="http://schemas.openxmlformats.org/officeDocument/2006/relationships/hyperlink" Target="http://www.congreso.es/votoplenoh/L9/20100422001.pdf" TargetMode="External"/><Relationship Id="rId151" Type="http://schemas.openxmlformats.org/officeDocument/2006/relationships/hyperlink" Target="http://edoc.sabor.hr/Views/AktView.aspx?type=HTML&amp;id=24121" TargetMode="External"/><Relationship Id="rId389" Type="http://schemas.openxmlformats.org/officeDocument/2006/relationships/hyperlink" Target="https://zoek.officielebekendmakingen.nl/kst-27925-358.html" TargetMode="External"/><Relationship Id="rId193" Type="http://schemas.openxmlformats.org/officeDocument/2006/relationships/hyperlink" Target="https://www.oireachtas.ie/en/debates/debate/dail/2009-03-05/5/?highlight%5B0%5D=minurcat&amp;highlight%5B1%5D=minurcat&amp;highlight%5B2%5D=minurcat&amp;highlight%5B3%5D=minurcat&amp;highlight%5B4%5D=minurcat" TargetMode="External"/><Relationship Id="rId207" Type="http://schemas.openxmlformats.org/officeDocument/2006/relationships/hyperlink" Target="https://www.camera.it/uri-res/N2Ls?urn:camera-it:parlamento:scheda.progetto.legge:camera;12.legislatura;2736" TargetMode="External"/><Relationship Id="rId249" Type="http://schemas.openxmlformats.org/officeDocument/2006/relationships/hyperlink" Target="http://documenti.camera.it/_dati/leg14/lavori/stenografici/sed298/pdfel.htm" TargetMode="External"/><Relationship Id="rId414" Type="http://schemas.openxmlformats.org/officeDocument/2006/relationships/hyperlink" Target="http://www.cdep.ro/pls/steno/eVot2015.Nominal?idv=21130" TargetMode="External"/><Relationship Id="rId456" Type="http://schemas.openxmlformats.org/officeDocument/2006/relationships/hyperlink" Target="https://www.ft.dk/samling/20041/beslutningsforslag/b43/index.htm" TargetMode="External"/><Relationship Id="rId498" Type="http://schemas.openxmlformats.org/officeDocument/2006/relationships/hyperlink" Target="https://www.folketingstidende.dk/samling/19951/beslutningsforslag/B60/index.htm" TargetMode="External"/><Relationship Id="rId13" Type="http://schemas.openxmlformats.org/officeDocument/2006/relationships/hyperlink" Target="https://www.psp.cz/eknih/1993ps/tisky/t0734_00.htm" TargetMode="External"/><Relationship Id="rId109" Type="http://schemas.openxmlformats.org/officeDocument/2006/relationships/hyperlink" Target="https://www.eduskunta.fi/FI/Vaski/sivut/aanestys.aspx?aanestysnro=1&amp;istuntonro=129&amp;vuosi=2014" TargetMode="External"/><Relationship Id="rId260" Type="http://schemas.openxmlformats.org/officeDocument/2006/relationships/hyperlink" Target="http://www.senato.it/leg/14/BGT/Schede/Ddliter/22413.htm" TargetMode="External"/><Relationship Id="rId316" Type="http://schemas.openxmlformats.org/officeDocument/2006/relationships/hyperlink" Target="https://www.camera.it/leg17/410?idSeduta=0905&amp;tipo=alfabetico_stenografico" TargetMode="External"/><Relationship Id="rId523" Type="http://schemas.openxmlformats.org/officeDocument/2006/relationships/hyperlink" Target="https://www.sabor.hr/hr/prijedlog-odluke-o-sudjelovanju-oruzanih-snaga-republike-hrvatske-u-sklopu-aktivnosti-ojacane-0" TargetMode="External"/><Relationship Id="rId55" Type="http://schemas.openxmlformats.org/officeDocument/2006/relationships/hyperlink" Target="https://www.psp.cz/sqw/text/tiskt.sqw?O=5&amp;CT=709&amp;CT1=0" TargetMode="External"/><Relationship Id="rId97" Type="http://schemas.openxmlformats.org/officeDocument/2006/relationships/hyperlink" Target="http://www.congreso.es/public_oficiales/L8/CONG/DS/PL/PL_175.PDF" TargetMode="External"/><Relationship Id="rId120" Type="http://schemas.openxmlformats.org/officeDocument/2006/relationships/hyperlink" Target="http://edoc.sabor.hr/Views/AktView.aspx?type=HTML&amp;id=21811" TargetMode="External"/><Relationship Id="rId358" Type="http://schemas.openxmlformats.org/officeDocument/2006/relationships/hyperlink" Target="https://e-seimas.lrs.lt/portal/legalAct/lt/TAD/TAIS.197439?jfwid=-4syu6lt7u" TargetMode="External"/><Relationship Id="rId162" Type="http://schemas.openxmlformats.org/officeDocument/2006/relationships/hyperlink" Target="http://edoc.sabor.hr/Views/AktView.aspx?type=HTML&amp;id=2023922" TargetMode="External"/><Relationship Id="rId218" Type="http://schemas.openxmlformats.org/officeDocument/2006/relationships/hyperlink" Target="http://www.senato.it/leg/13/BGT/Schede/Ddliter/9934.htm" TargetMode="External"/><Relationship Id="rId425" Type="http://schemas.openxmlformats.org/officeDocument/2006/relationships/hyperlink" Target="http://www.cdep.ro/pls/steno/steno2015.stenograma?ids=5055&amp;idm=4&amp;idl=2" TargetMode="External"/><Relationship Id="rId467" Type="http://schemas.openxmlformats.org/officeDocument/2006/relationships/hyperlink" Target="https://www.ft.dk/samling/20072/beslutningsforslag/b32/index.htm" TargetMode="External"/><Relationship Id="rId271" Type="http://schemas.openxmlformats.org/officeDocument/2006/relationships/hyperlink" Target="https://www.camera.it/uri-res/N2Ls?urn:camera-it:parlamento:scheda.progetto.legge:camera;16.legislatura;1802" TargetMode="External"/><Relationship Id="rId24" Type="http://schemas.openxmlformats.org/officeDocument/2006/relationships/hyperlink" Target="https://www.psp.cz/sqw/text/tiskt.sqw?O=4&amp;CT=57&amp;CT1=0" TargetMode="External"/><Relationship Id="rId66" Type="http://schemas.openxmlformats.org/officeDocument/2006/relationships/hyperlink" Target="https://www.senat.cz/xqw/xervlet/pssenat/htmlhled?action=doc&amp;value=20691" TargetMode="External"/><Relationship Id="rId131" Type="http://schemas.openxmlformats.org/officeDocument/2006/relationships/hyperlink" Target="http://edoc.sabor.hr/Views/AktView.aspx?type=HTML&amp;id=2022191" TargetMode="External"/><Relationship Id="rId327" Type="http://schemas.openxmlformats.org/officeDocument/2006/relationships/hyperlink" Target="https://e-seimas.lrs.lt/rs/legalact/TAK/TAIS.239039/" TargetMode="External"/><Relationship Id="rId369" Type="http://schemas.openxmlformats.org/officeDocument/2006/relationships/hyperlink" Target="https://e-seimas.lrs.lt/portal/legalAct/lt/TAD/TAIS.230913" TargetMode="External"/><Relationship Id="rId173" Type="http://schemas.openxmlformats.org/officeDocument/2006/relationships/hyperlink" Target="http://edoc.sabor.hr/Views/AktView.aspx?type=HTML&amp;id=20584" TargetMode="External"/><Relationship Id="rId229" Type="http://schemas.openxmlformats.org/officeDocument/2006/relationships/hyperlink" Target="https://www.normattiva.it/do/atto/vediLavoriPreparatori?atto.dataPubblicazioneGazzetta=2000-08-19&amp;atto.codiceRedazionale=000G0280" TargetMode="External"/><Relationship Id="rId380" Type="http://schemas.openxmlformats.org/officeDocument/2006/relationships/hyperlink" Target="https://e-seimas.lrs.lt/portal/legalAct/lt/TAD/e996a2e0ad3a11e59010bea026bdb259" TargetMode="External"/><Relationship Id="rId436" Type="http://schemas.openxmlformats.org/officeDocument/2006/relationships/hyperlink" Target="http://www.cdep.ro/pls/steno/steno2015.stenograma?ids=5417&amp;idm=3&amp;idl=2" TargetMode="External"/><Relationship Id="rId240" Type="http://schemas.openxmlformats.org/officeDocument/2006/relationships/hyperlink" Target="http://leg14.camera.it/_dati/leg14/lavori/schedela/trovaschedacamera_wai.asp?PDL=2254" TargetMode="External"/><Relationship Id="rId478" Type="http://schemas.openxmlformats.org/officeDocument/2006/relationships/hyperlink" Target="https://www.ft.dk/samling/20131/beslutningsforslag/b67/index.htm" TargetMode="External"/><Relationship Id="rId35" Type="http://schemas.openxmlformats.org/officeDocument/2006/relationships/hyperlink" Target="https://www.psp.cz/sqw/text/tiskt.sqw?O=4&amp;CT=757&amp;CT1=0" TargetMode="External"/><Relationship Id="rId77" Type="http://schemas.openxmlformats.org/officeDocument/2006/relationships/hyperlink" Target="https://www.psp.cz/sqw/historie.sqw?o=5&amp;t=641" TargetMode="External"/><Relationship Id="rId100" Type="http://schemas.openxmlformats.org/officeDocument/2006/relationships/hyperlink" Target="https://www.eduskunta.fi/FI/vaski/Poytakirja/Documents/ptk_40+1999.pdf" TargetMode="External"/><Relationship Id="rId282" Type="http://schemas.openxmlformats.org/officeDocument/2006/relationships/hyperlink" Target="https://leg16.camera.it/410?idSeduta=0452&amp;tipo=alfabetico_stenografico" TargetMode="External"/><Relationship Id="rId338" Type="http://schemas.openxmlformats.org/officeDocument/2006/relationships/hyperlink" Target="https://e-seimas.lrs.lt/portal/legalAct/lt/TAD/TAIS.83484" TargetMode="External"/><Relationship Id="rId503" Type="http://schemas.openxmlformats.org/officeDocument/2006/relationships/hyperlink" Target="https://www.folketingstidende.dk/samling/19981/beslutningsforslag/B4/index.htm" TargetMode="External"/><Relationship Id="rId8" Type="http://schemas.openxmlformats.org/officeDocument/2006/relationships/hyperlink" Target="https://www.ourcommons.ca/Members/en/votes/41/1/31?view=result" TargetMode="External"/><Relationship Id="rId142" Type="http://schemas.openxmlformats.org/officeDocument/2006/relationships/hyperlink" Target="http://edoc.sabor.hr/Views/AktView.aspx?type=HTML&amp;id=26427" TargetMode="External"/><Relationship Id="rId184" Type="http://schemas.openxmlformats.org/officeDocument/2006/relationships/hyperlink" Target="http://edoc.sabor.hr/Views/AktView.aspx?type=HTML&amp;id=7414" TargetMode="External"/><Relationship Id="rId391" Type="http://schemas.openxmlformats.org/officeDocument/2006/relationships/hyperlink" Target="https://www.tbmm.gov.tr/develop/owa/td_v2.goruntule?sayfa_no_ilk=115&amp;sayfa_no_son=115&amp;sayfa_no=115&amp;v_meclis=1&amp;v_donem=18&amp;v_yasama_yili=&amp;v_cilt=47&amp;v_birlesim=003" TargetMode="External"/><Relationship Id="rId405" Type="http://schemas.openxmlformats.org/officeDocument/2006/relationships/hyperlink" Target="https://www.senate.gov/legislative/LIS/roll_call_lists/roll_call_vote_cfm.cfm?congress=106&amp;session=1&amp;vote=00057" TargetMode="External"/><Relationship Id="rId447" Type="http://schemas.openxmlformats.org/officeDocument/2006/relationships/hyperlink" Target="http://www.cdep.ro/pls/steno/steno2015.stenograma?ids=4967&amp;idm=2&amp;idl=2" TargetMode="External"/><Relationship Id="rId251" Type="http://schemas.openxmlformats.org/officeDocument/2006/relationships/hyperlink" Target="http://www.senato.it/leg/14/BGT/Schede/Ddliter/20131.htm" TargetMode="External"/><Relationship Id="rId489" Type="http://schemas.openxmlformats.org/officeDocument/2006/relationships/hyperlink" Target="https://www.ft.dk/samling/20171/beslutningsforslag/b50/index.htm" TargetMode="External"/><Relationship Id="rId46" Type="http://schemas.openxmlformats.org/officeDocument/2006/relationships/hyperlink" Target="https://www.psp.cz/sqw/text/tiskt.sqw?O=5&amp;CT=71&amp;CT1=0" TargetMode="External"/><Relationship Id="rId293" Type="http://schemas.openxmlformats.org/officeDocument/2006/relationships/hyperlink" Target="http://www.senato.it/leg/17/BGT/Schede/Ddliter/43751.htm" TargetMode="External"/><Relationship Id="rId307" Type="http://schemas.openxmlformats.org/officeDocument/2006/relationships/hyperlink" Target="https://www.camera.it/leg17/410?idSeduta=0755&amp;tipo=alfabetico_stenografico" TargetMode="External"/><Relationship Id="rId349" Type="http://schemas.openxmlformats.org/officeDocument/2006/relationships/hyperlink" Target="https://e-seimas.lrs.lt/portal/legalAct/lt/TAD/TAIS.158706?jfwid=-4syu6lupq" TargetMode="External"/><Relationship Id="rId514" Type="http://schemas.openxmlformats.org/officeDocument/2006/relationships/hyperlink" Target="https://www.folketingstidende.dk/samling/20012/beslutningsforslag/B109/index.htm" TargetMode="External"/><Relationship Id="rId88" Type="http://schemas.openxmlformats.org/officeDocument/2006/relationships/hyperlink" Target="https://app.congreso.es/votacionesWeb/InvocaReport?sesion=81&amp;votacion=1&amp;legislatura=10" TargetMode="External"/><Relationship Id="rId111" Type="http://schemas.openxmlformats.org/officeDocument/2006/relationships/hyperlink" Target="http://www.senat.fr/scrutin-public/2007/scr2007-149.html" TargetMode="External"/><Relationship Id="rId153" Type="http://schemas.openxmlformats.org/officeDocument/2006/relationships/hyperlink" Target="http://edoc.sabor.hr/Views/AktView.aspx?type=HTML&amp;id=22967" TargetMode="External"/><Relationship Id="rId195" Type="http://schemas.openxmlformats.org/officeDocument/2006/relationships/hyperlink" Target="https://www.oireachtas.ie/en/debates/vote/dail/31/2013-07-18/3/?highlight%5B0%5D=defence" TargetMode="External"/><Relationship Id="rId209" Type="http://schemas.openxmlformats.org/officeDocument/2006/relationships/hyperlink" Target="http://leg13.camera.it/docesta/313/15804/documentotesto.asp?pdl=2064&amp;tab=1&amp;leg=13" TargetMode="External"/><Relationship Id="rId360" Type="http://schemas.openxmlformats.org/officeDocument/2006/relationships/hyperlink" Target="https://e-seimas.lrs.lt/portal/legalAct/lt/TAD/TAIS.207745?jfwid=-4syu6lt3a" TargetMode="External"/><Relationship Id="rId416" Type="http://schemas.openxmlformats.org/officeDocument/2006/relationships/hyperlink" Target="http://www.cdep.ro/pls/steno/steno2015.stenograma?ids=7620&amp;idm=2&amp;idl=1" TargetMode="External"/><Relationship Id="rId220" Type="http://schemas.openxmlformats.org/officeDocument/2006/relationships/hyperlink" Target="http://www.senato.it/leg/13/BGT/Schede/Ddliter/10364.htm" TargetMode="External"/><Relationship Id="rId458" Type="http://schemas.openxmlformats.org/officeDocument/2006/relationships/hyperlink" Target="https://www.ft.dk/samling/20042/beslutningsforslag/b89/index.htm" TargetMode="External"/><Relationship Id="rId15" Type="http://schemas.openxmlformats.org/officeDocument/2006/relationships/hyperlink" Target="https://www.psp.cz/eknih/1996ps/tisky/t010600.htm" TargetMode="External"/><Relationship Id="rId57" Type="http://schemas.openxmlformats.org/officeDocument/2006/relationships/hyperlink" Target="https://www.psp.cz/sqw/text/tiskt.sqw?O=6&amp;CT=132&amp;CT1=0" TargetMode="External"/><Relationship Id="rId262" Type="http://schemas.openxmlformats.org/officeDocument/2006/relationships/hyperlink" Target="https://www.camera.it/uri-res/N2Ls?urn:camera-it:parlamento:scheda.progetto.legge:camera;14.legislatura;5594" TargetMode="External"/><Relationship Id="rId318" Type="http://schemas.openxmlformats.org/officeDocument/2006/relationships/hyperlink" Target="https://www.camera.it/leg17/410?idSeduta=0905&amp;tipo=alfabetico_stenografico" TargetMode="External"/><Relationship Id="rId525" Type="http://schemas.openxmlformats.org/officeDocument/2006/relationships/hyperlink" Target="https://www.sabor.hr/hr/prijedlog-odluke-o-sudjelovanju-oruzanih-snaga-republike-hrvatske-u-sklopu-aktivnosti-ojacane-2" TargetMode="External"/><Relationship Id="rId99" Type="http://schemas.openxmlformats.org/officeDocument/2006/relationships/hyperlink" Target="https://www.eduskunta.fi/FI/vaski/Poytakirja/Documents/ptk_139+1995.pdf" TargetMode="External"/><Relationship Id="rId122" Type="http://schemas.openxmlformats.org/officeDocument/2006/relationships/hyperlink" Target="http://edoc.sabor.hr/Views/AktView.aspx?type=HTML&amp;id=3538" TargetMode="External"/><Relationship Id="rId164" Type="http://schemas.openxmlformats.org/officeDocument/2006/relationships/hyperlink" Target="http://edoc.sabor.hr/Views/AktView.aspx?type=HTML&amp;id=2023101" TargetMode="External"/><Relationship Id="rId371" Type="http://schemas.openxmlformats.org/officeDocument/2006/relationships/hyperlink" Target="https://e-seimas.lrs.lt/portal/legalAct/lt/TAD/TAIS.254724" TargetMode="External"/><Relationship Id="rId427" Type="http://schemas.openxmlformats.org/officeDocument/2006/relationships/hyperlink" Target="http://www.cdep.ro/pls/steno/steno.stenograma?ids=5263&amp;idm=3&amp;idl=2" TargetMode="External"/><Relationship Id="rId469" Type="http://schemas.openxmlformats.org/officeDocument/2006/relationships/hyperlink" Target="https://www.ft.dk/samling/20072/beslutningsforslag/b140/index.htm" TargetMode="External"/><Relationship Id="rId26" Type="http://schemas.openxmlformats.org/officeDocument/2006/relationships/hyperlink" Target="https://www.psp.cz/sqw/text/tiskt.sqw?O=4&amp;CT=319&amp;CT1=0" TargetMode="External"/><Relationship Id="rId231" Type="http://schemas.openxmlformats.org/officeDocument/2006/relationships/hyperlink" Target="http://www.senato.it/leg/13/BGT/Schede/Ddliter/13131.htm" TargetMode="External"/><Relationship Id="rId273" Type="http://schemas.openxmlformats.org/officeDocument/2006/relationships/hyperlink" Target="http://leg15.camera.it/_dati/leg15/lavori/schedela/trovaschedacamera_wai.asp?PDL=3395" TargetMode="External"/><Relationship Id="rId329" Type="http://schemas.openxmlformats.org/officeDocument/2006/relationships/hyperlink" Target="https://e-seimas.lrs.lt/rs/legalact/TAK/TAIS.239970/" TargetMode="External"/><Relationship Id="rId480" Type="http://schemas.openxmlformats.org/officeDocument/2006/relationships/hyperlink" Target="https://www.ft.dk/samling/20131/beslutningsforslag/b123/index.htm" TargetMode="External"/><Relationship Id="rId68" Type="http://schemas.openxmlformats.org/officeDocument/2006/relationships/hyperlink" Target="https://www.senat.cz/xqw/xervlet/pssenat/htmlhled?action=doc&amp;value=27759" TargetMode="External"/><Relationship Id="rId133" Type="http://schemas.openxmlformats.org/officeDocument/2006/relationships/hyperlink" Target="http://edoc.sabor.hr/Views/AktView.aspx?type=HTML&amp;id=2022189" TargetMode="External"/><Relationship Id="rId175" Type="http://schemas.openxmlformats.org/officeDocument/2006/relationships/hyperlink" Target="http://edoc.sabor.hr/Views/AktView.aspx?type=HTML&amp;id=7416" TargetMode="External"/><Relationship Id="rId340" Type="http://schemas.openxmlformats.org/officeDocument/2006/relationships/hyperlink" Target="https://e-seimas.lrs.lt/portal/legalAct/lt/TAD/TAIS.89107" TargetMode="External"/><Relationship Id="rId200" Type="http://schemas.openxmlformats.org/officeDocument/2006/relationships/hyperlink" Target="https://www.camera.it/_dati/leg10/lavori/stenografici/sed0574/sed0574.pdf" TargetMode="External"/><Relationship Id="rId382" Type="http://schemas.openxmlformats.org/officeDocument/2006/relationships/hyperlink" Target="https://e-seimas.lrs.lt/portal/legalAct/lt/TAD/880c1432440f11e68f45bcf65e0a17ee" TargetMode="External"/><Relationship Id="rId438" Type="http://schemas.openxmlformats.org/officeDocument/2006/relationships/hyperlink" Target="http://www.cdep.ro/pls/steno/steno2015.stenograma?ids=1028&amp;idm=4&amp;idl=2" TargetMode="External"/><Relationship Id="rId242" Type="http://schemas.openxmlformats.org/officeDocument/2006/relationships/hyperlink" Target="http://www.senato.it/leg/14/BGT/Schede/Ddliter/17671.htm" TargetMode="External"/><Relationship Id="rId284" Type="http://schemas.openxmlformats.org/officeDocument/2006/relationships/hyperlink" Target="http://www.senato.it/leg/16/BGT/Schede/Ddliter/37144.htm" TargetMode="External"/><Relationship Id="rId491" Type="http://schemas.openxmlformats.org/officeDocument/2006/relationships/hyperlink" Target="https://www.folketingstidende.dk/samling/19891/beslutningsforslag/B81/19891_B81_BEH2_M103_referat.pdf" TargetMode="External"/><Relationship Id="rId505" Type="http://schemas.openxmlformats.org/officeDocument/2006/relationships/hyperlink" Target="https://www.folketingstidende.dk/samling/19981/beslutningsforslag/B128/index.htm" TargetMode="External"/><Relationship Id="rId37" Type="http://schemas.openxmlformats.org/officeDocument/2006/relationships/hyperlink" Target="https://www.psp.cz/sqw/text/tiskt.sqw?O=4&amp;CT=861&amp;CT1=0" TargetMode="External"/><Relationship Id="rId79" Type="http://schemas.openxmlformats.org/officeDocument/2006/relationships/hyperlink" Target="https://www.psp.cz/sqw/text/tiskt.sqw?O=5&amp;CT=347&amp;CT1=0" TargetMode="External"/><Relationship Id="rId102" Type="http://schemas.openxmlformats.org/officeDocument/2006/relationships/hyperlink" Target="https://www.eduskunta.fi/FI/Vaski/sivut/aanestys.aspx?aanestysnro=2&amp;istuntonro=98&amp;vuosi=2007" TargetMode="External"/><Relationship Id="rId144" Type="http://schemas.openxmlformats.org/officeDocument/2006/relationships/hyperlink" Target="http://edoc.sabor.hr/Views/AktView.aspx?type=HTML&amp;id=25576" TargetMode="External"/><Relationship Id="rId90" Type="http://schemas.openxmlformats.org/officeDocument/2006/relationships/hyperlink" Target="https://app.congreso.es/votacionesWeb/InvocaReport?sesion=218&amp;votacion=2&amp;legislatura=10" TargetMode="External"/><Relationship Id="rId186" Type="http://schemas.openxmlformats.org/officeDocument/2006/relationships/hyperlink" Target="https://www.oireachtas.ie/en/debates/debate/dail/1999-10-12/13/?highlight%5B0%5D=unamet&amp;highlight%5B1%5D=unamet" TargetMode="External"/><Relationship Id="rId351" Type="http://schemas.openxmlformats.org/officeDocument/2006/relationships/hyperlink" Target="https://e-seimas.lrs.lt/portal/legalAct/lt/TAD/TAIS.158886?jfwid=-4syu6luc8" TargetMode="External"/><Relationship Id="rId393" Type="http://schemas.openxmlformats.org/officeDocument/2006/relationships/hyperlink" Target="https://www.tbmm.gov.tr/tutanaklar/TUTANAK/TBMM/d21/c003/tbmm21003020.pdf" TargetMode="External"/><Relationship Id="rId407" Type="http://schemas.openxmlformats.org/officeDocument/2006/relationships/hyperlink" Target="http://clerk.house.gov/evs/2001/roll342.xml" TargetMode="External"/><Relationship Id="rId449" Type="http://schemas.openxmlformats.org/officeDocument/2006/relationships/hyperlink" Target="http://www.cdep.ro/pls/steno/steno2015.stenograma?ids=4916&amp;idm=5&amp;idl=2" TargetMode="External"/><Relationship Id="rId211" Type="http://schemas.openxmlformats.org/officeDocument/2006/relationships/hyperlink" Target="http://www.senato.it/service/PDF/PDFServer/BGT/4817.pdf" TargetMode="External"/><Relationship Id="rId253" Type="http://schemas.openxmlformats.org/officeDocument/2006/relationships/hyperlink" Target="http://leg14.camera.it/_dati/leg14/lavori/schedela/trovaschedacamera_wai.asp?PDL=4725" TargetMode="External"/><Relationship Id="rId295" Type="http://schemas.openxmlformats.org/officeDocument/2006/relationships/hyperlink" Target="https://www.camera.it/uri-res/N2Ls?urn:camera-it:parlamento:scheda.progetto.legge:camera;17.legislatura;2598" TargetMode="External"/><Relationship Id="rId309" Type="http://schemas.openxmlformats.org/officeDocument/2006/relationships/hyperlink" Target="https://www.camera.it/leg17/410?idSeduta=0755&amp;tipo=alfabetico_stenografico" TargetMode="External"/><Relationship Id="rId460" Type="http://schemas.openxmlformats.org/officeDocument/2006/relationships/hyperlink" Target="https://www.ft.dk/samling/20051/beslutningsforslag/b64/index.htm" TargetMode="External"/><Relationship Id="rId516" Type="http://schemas.openxmlformats.org/officeDocument/2006/relationships/hyperlink" Target="https://www.folketingstidende.dk/samling/20021/beslutningsforslag/B165/index.htm" TargetMode="External"/><Relationship Id="rId48" Type="http://schemas.openxmlformats.org/officeDocument/2006/relationships/hyperlink" Target="https://www.psp.cz/sqw/text/tiskt.sqw?O=5&amp;CT=71&amp;CT1=0" TargetMode="External"/><Relationship Id="rId113" Type="http://schemas.openxmlformats.org/officeDocument/2006/relationships/hyperlink" Target="http://www.senat.fr/scrutin-public/2008/scr2008-98.html" TargetMode="External"/><Relationship Id="rId320" Type="http://schemas.openxmlformats.org/officeDocument/2006/relationships/hyperlink" Target="https://www.camera.it/leg18/410?idSeduta=0202&amp;tipo=alfabetico_stenografico" TargetMode="External"/><Relationship Id="rId155" Type="http://schemas.openxmlformats.org/officeDocument/2006/relationships/hyperlink" Target="http://edoc.sabor.hr/Views/AktView.aspx?type=HTML&amp;id=22498" TargetMode="External"/><Relationship Id="rId197" Type="http://schemas.openxmlformats.org/officeDocument/2006/relationships/hyperlink" Target="https://www.oireachtas.ie/en/debates/vote/dail/32/2019-06-20/101/?highlight%5B0%5D=defence" TargetMode="External"/><Relationship Id="rId362" Type="http://schemas.openxmlformats.org/officeDocument/2006/relationships/hyperlink" Target="https://e-seimas.lrs.lt/portal/legalAct/lt/TAD/TAIS.207566?jfwid=-4syu6lsuf" TargetMode="External"/><Relationship Id="rId418" Type="http://schemas.openxmlformats.org/officeDocument/2006/relationships/hyperlink" Target="http://www.cdep.ro/pls/steno/steno2015.stenograma?ids=5621&amp;idm=2&amp;idl=2" TargetMode="External"/><Relationship Id="rId222" Type="http://schemas.openxmlformats.org/officeDocument/2006/relationships/hyperlink" Target="http://documenti.camera.it/_dati/leg13/lavori/stenografici/sed513/pdfel.htm" TargetMode="External"/><Relationship Id="rId264" Type="http://schemas.openxmlformats.org/officeDocument/2006/relationships/hyperlink" Target="http://leg15.camera.it/_dati/leg15/lavori/schedela/trovaschedacamera_wai.asp?PDL=1608" TargetMode="External"/><Relationship Id="rId471" Type="http://schemas.openxmlformats.org/officeDocument/2006/relationships/hyperlink" Target="https://www.ft.dk/samling/20081/beslutningsforslag/b35/index.htm" TargetMode="External"/><Relationship Id="rId17" Type="http://schemas.openxmlformats.org/officeDocument/2006/relationships/hyperlink" Target="https://www.psp.cz/sqw/text/tiskt.sqw?O=3&amp;CT=148&amp;CT1=0" TargetMode="External"/><Relationship Id="rId59" Type="http://schemas.openxmlformats.org/officeDocument/2006/relationships/hyperlink" Target="https://www.psp.cz/sqw/text/tiskt.sqw?O=7&amp;CT=348&amp;CT1=0" TargetMode="External"/><Relationship Id="rId124" Type="http://schemas.openxmlformats.org/officeDocument/2006/relationships/hyperlink" Target="http://edoc.sabor.hr/Views/AktView.aspx?id=2023923" TargetMode="External"/><Relationship Id="rId70" Type="http://schemas.openxmlformats.org/officeDocument/2006/relationships/hyperlink" Target="https://www.senat.cz/xqw/xervlet/pssenat/htmlhled?action=doc&amp;value=28359" TargetMode="External"/><Relationship Id="rId166" Type="http://schemas.openxmlformats.org/officeDocument/2006/relationships/hyperlink" Target="http://edoc.sabor.hr/Views/AktView.aspx?type=HTML&amp;id=2021088" TargetMode="External"/><Relationship Id="rId331" Type="http://schemas.openxmlformats.org/officeDocument/2006/relationships/hyperlink" Target="https://e-seimas.lrs.lt/rs/legalact/TAK/TAIS.240213/" TargetMode="External"/><Relationship Id="rId373" Type="http://schemas.openxmlformats.org/officeDocument/2006/relationships/hyperlink" Target="https://e-seimas.lrs.lt/portal/legalAct/lt/TAD/TAIS.300012" TargetMode="External"/><Relationship Id="rId429" Type="http://schemas.openxmlformats.org/officeDocument/2006/relationships/hyperlink" Target="http://www.cdep.ro/pls/steno/steno2015.stenograma?ids=5382&amp;idm=5&amp;idl=2" TargetMode="External"/><Relationship Id="rId1" Type="http://schemas.openxmlformats.org/officeDocument/2006/relationships/hyperlink" Target="https://www.dekamer.be/doc/PCRI/PDF/54/ip005.pdf" TargetMode="External"/><Relationship Id="rId233" Type="http://schemas.openxmlformats.org/officeDocument/2006/relationships/hyperlink" Target="http://www.senato.it/service/PDF/PDFServer/BGT/8505.pdf" TargetMode="External"/><Relationship Id="rId440" Type="http://schemas.openxmlformats.org/officeDocument/2006/relationships/hyperlink" Target="http://www.cdep.ro/pls/steno/steno2015.stenograma?ids=1241&amp;idm=3&amp;idl=2" TargetMode="External"/><Relationship Id="rId28" Type="http://schemas.openxmlformats.org/officeDocument/2006/relationships/hyperlink" Target="https://www.psp.cz/sqw/text/tiskt.sqw?O=4&amp;CT=493&amp;CT1=0" TargetMode="External"/><Relationship Id="rId275" Type="http://schemas.openxmlformats.org/officeDocument/2006/relationships/hyperlink" Target="http://www.senato.it/leg/16/BGT/Schede/Ddliter/34047.htm" TargetMode="External"/><Relationship Id="rId300" Type="http://schemas.openxmlformats.org/officeDocument/2006/relationships/hyperlink" Target="http://www.senato.it/leg/17/BGT/Schede/Ddliter/45833.htm" TargetMode="External"/><Relationship Id="rId482" Type="http://schemas.openxmlformats.org/officeDocument/2006/relationships/hyperlink" Target="https://www.ft.dk/samling/20151/beslutningsforslag/b8/index.htm" TargetMode="External"/><Relationship Id="rId81" Type="http://schemas.openxmlformats.org/officeDocument/2006/relationships/hyperlink" Target="https://www.psp.cz/sqw/text/tiskt.sqw?O=5&amp;CT=347&amp;CT1=0" TargetMode="External"/><Relationship Id="rId135" Type="http://schemas.openxmlformats.org/officeDocument/2006/relationships/hyperlink" Target="http://edoc.sabor.hr/Views/AktView.aspx?type=HTML&amp;id=2021626" TargetMode="External"/><Relationship Id="rId177" Type="http://schemas.openxmlformats.org/officeDocument/2006/relationships/hyperlink" Target="http://edoc.sabor.hr/Views/AktView.aspx?type=HTML&amp;id=230" TargetMode="External"/><Relationship Id="rId342" Type="http://schemas.openxmlformats.org/officeDocument/2006/relationships/hyperlink" Target="https://e-seimas.lrs.lt/portal/legalAct/lt/TAD/TAIS.98060" TargetMode="External"/><Relationship Id="rId384" Type="http://schemas.openxmlformats.org/officeDocument/2006/relationships/hyperlink" Target="https://e-seimas.lrs.lt/portal/legalAct/lt/TAD/112217e1b23411e7a80ef1cff7d455dd" TargetMode="External"/><Relationship Id="rId202" Type="http://schemas.openxmlformats.org/officeDocument/2006/relationships/hyperlink" Target="https://www.camera.it/_dati/leg10/lavori/stenografici/sed0609/sed0609.pdf" TargetMode="External"/><Relationship Id="rId244" Type="http://schemas.openxmlformats.org/officeDocument/2006/relationships/hyperlink" Target="http://www.senato.it/japp/bgt/showdoc/frame.jsp?tipodoc=Resaula&amp;leg=14&amp;id=29024&amp;part=doc_dc-ressomm_rs" TargetMode="External"/><Relationship Id="rId39" Type="http://schemas.openxmlformats.org/officeDocument/2006/relationships/hyperlink" Target="https://www.psp.cz/sqw/text/tiskt.sqw?O=4&amp;CT=1113&amp;CT1=0" TargetMode="External"/><Relationship Id="rId286" Type="http://schemas.openxmlformats.org/officeDocument/2006/relationships/hyperlink" Target="https://www.camera.it/uri-res/N2Ls?urn:camera-it:parlamento:scheda.progetto.legge:camera;16.legislatura;4864" TargetMode="External"/><Relationship Id="rId451" Type="http://schemas.openxmlformats.org/officeDocument/2006/relationships/hyperlink" Target="http://www.cdep.ro/pls/steno/steno2015.stenograma?ids=5494&amp;idm=2&amp;idl=2" TargetMode="External"/><Relationship Id="rId493" Type="http://schemas.openxmlformats.org/officeDocument/2006/relationships/hyperlink" Target="https://www.folketingstidende.dk/samling/19911/beslutningsforslag/B95/index.htm" TargetMode="External"/><Relationship Id="rId507" Type="http://schemas.openxmlformats.org/officeDocument/2006/relationships/hyperlink" Target="https://www.folketingstidende.dk/samling/19981/beslutningsforslag/B148/index.htm" TargetMode="External"/><Relationship Id="rId50" Type="http://schemas.openxmlformats.org/officeDocument/2006/relationships/hyperlink" Target="https://www.psp.cz/sqw/text/tiskt.sqw?O=5&amp;CT=71&amp;CT1=0" TargetMode="External"/><Relationship Id="rId104" Type="http://schemas.openxmlformats.org/officeDocument/2006/relationships/hyperlink" Target="https://www.eduskunta.fi/FI/Vaski/sivut/aanestys.aspx?aanestysnro=1&amp;istuntonro=20&amp;vuosi=2009" TargetMode="External"/><Relationship Id="rId146" Type="http://schemas.openxmlformats.org/officeDocument/2006/relationships/hyperlink" Target="http://edoc.sabor.hr/Views/AktView.aspx?type=HTML&amp;id=25481" TargetMode="External"/><Relationship Id="rId188" Type="http://schemas.openxmlformats.org/officeDocument/2006/relationships/hyperlink" Target="https://www.oireachtas.ie/en/debates/debate/dail/1999-07-01/22/?highlight%5B0%5D=vote&amp;highlight%5B1%5D=kfor&amp;highlight%5B2%5D=kfor&amp;highlight%5B3%5D=kfor&amp;highlight%5B4%5D=kfor&amp;highlight%5B5%5D=kfor" TargetMode="External"/><Relationship Id="rId311" Type="http://schemas.openxmlformats.org/officeDocument/2006/relationships/hyperlink" Target="https://www.camera.it/leg17/410?idSeduta=0755&amp;tipo=alfabetico_stenografico" TargetMode="External"/><Relationship Id="rId353" Type="http://schemas.openxmlformats.org/officeDocument/2006/relationships/hyperlink" Target="https://e-seimas.lrs.lt/portal/legalAct/lt/TAD/TAIS.181582?jfwid=-4syu6lu0a" TargetMode="External"/><Relationship Id="rId395" Type="http://schemas.openxmlformats.org/officeDocument/2006/relationships/hyperlink" Target="https://www.publicwhip.org.uk/division.php?date=2011-03-21&amp;house=commons&amp;number=235" TargetMode="External"/><Relationship Id="rId409" Type="http://schemas.openxmlformats.org/officeDocument/2006/relationships/hyperlink" Target="http://clerk.house.gov/evs/2002/roll455.xml" TargetMode="External"/><Relationship Id="rId92" Type="http://schemas.openxmlformats.org/officeDocument/2006/relationships/hyperlink" Target="https://app.congreso.es/votacionesWeb/InvocaReport?sesion=279&amp;votacion=4&amp;legislatura=10" TargetMode="External"/><Relationship Id="rId213" Type="http://schemas.openxmlformats.org/officeDocument/2006/relationships/hyperlink" Target="http://www.senato.it/leg/13/BGT/Schede/Ddliter/9290.htm" TargetMode="External"/><Relationship Id="rId420" Type="http://schemas.openxmlformats.org/officeDocument/2006/relationships/hyperlink" Target="http://www.cdep.ro/pls/steno/steno2015.stenograma?ids=5301&amp;idm=2&amp;idl=2" TargetMode="External"/><Relationship Id="rId255" Type="http://schemas.openxmlformats.org/officeDocument/2006/relationships/hyperlink" Target="http://leg14.camera.it/chiosco.asp?source=&amp;position=Organi%20Parlamentari\Assemblea\Resoconti&amp;content=/_dati/leg14/lavori/stenografici/framedinam.asp?sedpag=sed311/s000r.htm" TargetMode="External"/><Relationship Id="rId297" Type="http://schemas.openxmlformats.org/officeDocument/2006/relationships/hyperlink" Target="https://www.camera.it/uri-res/N2Ls?urn:camera-it:parlamento:scheda.progetto.legge:camera;17.legislatura;2893" TargetMode="External"/><Relationship Id="rId462" Type="http://schemas.openxmlformats.org/officeDocument/2006/relationships/hyperlink" Target="https://www.ft.dk/samling/20051/beslutningsforslag/b146/index.htm" TargetMode="External"/><Relationship Id="rId518" Type="http://schemas.openxmlformats.org/officeDocument/2006/relationships/hyperlink" Target="https://www.folketingstidende.dk/samling/20031/beslutningsforslag/B56/index.htm" TargetMode="External"/><Relationship Id="rId115" Type="http://schemas.openxmlformats.org/officeDocument/2006/relationships/hyperlink" Target="http://www.senat.fr/scrutin-public/2008/scr2008-100.html" TargetMode="External"/><Relationship Id="rId157" Type="http://schemas.openxmlformats.org/officeDocument/2006/relationships/hyperlink" Target="http://edoc.sabor.hr/Views/AktView.aspx?type=HTML&amp;id=21810" TargetMode="External"/><Relationship Id="rId322" Type="http://schemas.openxmlformats.org/officeDocument/2006/relationships/hyperlink" Target="https://www.camera.it/uri-res/N2Ls?urn:camera-it:parlamento:scheda.progetto.legge:camera;15.legislatura;1288" TargetMode="External"/><Relationship Id="rId364" Type="http://schemas.openxmlformats.org/officeDocument/2006/relationships/hyperlink" Target="https://e-seimas.lrs.lt/portal/legalAct/lt/TAD/TAIS.209031" TargetMode="External"/><Relationship Id="rId61" Type="http://schemas.openxmlformats.org/officeDocument/2006/relationships/hyperlink" Target="https://www.psp.cz/sqw/text/tiskt.sqw?O=7&amp;CT=472&amp;CT1=0" TargetMode="External"/><Relationship Id="rId199" Type="http://schemas.openxmlformats.org/officeDocument/2006/relationships/hyperlink" Target="https://www.camera.it/_dati/leg10/lavori/stenografici/sed0514/sed0514.pdf" TargetMode="External"/><Relationship Id="rId19" Type="http://schemas.openxmlformats.org/officeDocument/2006/relationships/hyperlink" Target="https://www.psp.cz/sqw/text/tiskt.sqw?O=3&amp;CT=250&amp;CT1=0" TargetMode="External"/><Relationship Id="rId224" Type="http://schemas.openxmlformats.org/officeDocument/2006/relationships/hyperlink" Target="http://documenti.camera.it/_dati/leg13/lavori/stenografici/sed537/pdfel.htm" TargetMode="External"/><Relationship Id="rId266" Type="http://schemas.openxmlformats.org/officeDocument/2006/relationships/hyperlink" Target="http://www.senato.it/service/PDF/PDFServer/BGT/253523.pdf" TargetMode="External"/><Relationship Id="rId431" Type="http://schemas.openxmlformats.org/officeDocument/2006/relationships/hyperlink" Target="http://www.cdep.ro/pls/steno/steno2015.stenograma?ids=5457&amp;idm=2&amp;idl=2" TargetMode="External"/><Relationship Id="rId473" Type="http://schemas.openxmlformats.org/officeDocument/2006/relationships/hyperlink" Target="https://www.ft.dk/samling/20091/beslutningsforslag/b59/index.htm" TargetMode="External"/><Relationship Id="rId30" Type="http://schemas.openxmlformats.org/officeDocument/2006/relationships/hyperlink" Target="https://www.psp.cz/sqw/text/tiskt.sqw?O=4&amp;CT=694&amp;CT1=0" TargetMode="External"/><Relationship Id="rId126" Type="http://schemas.openxmlformats.org/officeDocument/2006/relationships/hyperlink" Target="http://edoc.sabor.hr/Views/AktView.aspx?type=HTML&amp;id=2023103" TargetMode="External"/><Relationship Id="rId168" Type="http://schemas.openxmlformats.org/officeDocument/2006/relationships/hyperlink" Target="http://edoc.sabor.hr/Views/AktView.aspx?type=HTML&amp;id=27111" TargetMode="External"/><Relationship Id="rId333" Type="http://schemas.openxmlformats.org/officeDocument/2006/relationships/hyperlink" Target="https://e-seimas.lrs.lt/portal/legalAct/lt/TAD/TAIS.36093" TargetMode="External"/><Relationship Id="rId72" Type="http://schemas.openxmlformats.org/officeDocument/2006/relationships/hyperlink" Target="https://www.senat.cz/xqw/xervlet/pssenat/hlasovani?action=tisk&amp;O=6&amp;T=16" TargetMode="External"/><Relationship Id="rId375" Type="http://schemas.openxmlformats.org/officeDocument/2006/relationships/hyperlink" Target="https://e-seimas.lrs.lt/portal/legalAct/lt/TAD/TAIS.375713?jfwid=7nbkjfkjf" TargetMode="External"/><Relationship Id="rId3" Type="http://schemas.openxmlformats.org/officeDocument/2006/relationships/hyperlink" Target="https://www.dekamer.be/doc/PCRI/PDF/54/ip118.pdf" TargetMode="External"/><Relationship Id="rId235" Type="http://schemas.openxmlformats.org/officeDocument/2006/relationships/hyperlink" Target="http://leg14.camera.it/chiosco.asp?source=&amp;position=Organi%20Parlamentari\Assemblea\Resoconti&amp;content=/_dati/leg14/lavori/stenografici/framedinam.asp?sedpag=sed057/s000r.htm" TargetMode="External"/><Relationship Id="rId277" Type="http://schemas.openxmlformats.org/officeDocument/2006/relationships/hyperlink" Target="https://www.camera.it/uri-res/N2Ls?urn:camera-it:parlamento:scheda.progetto.legge:camera;16.legislatura;3016" TargetMode="External"/><Relationship Id="rId400" Type="http://schemas.openxmlformats.org/officeDocument/2006/relationships/hyperlink" Target="https://www.publicwhip.org.uk/division.php?date=2015-12-02&amp;house=commons&amp;number=139" TargetMode="External"/><Relationship Id="rId442" Type="http://schemas.openxmlformats.org/officeDocument/2006/relationships/hyperlink" Target="http://www.cdep.ro/pls/steno/steno2015.stenograma?ids=5452&amp;idm=5&amp;idl=2" TargetMode="External"/><Relationship Id="rId484" Type="http://schemas.openxmlformats.org/officeDocument/2006/relationships/hyperlink" Target="https://www.ft.dk/samling/20151/beslutningsforslag/b108/index.htm" TargetMode="External"/><Relationship Id="rId137" Type="http://schemas.openxmlformats.org/officeDocument/2006/relationships/hyperlink" Target="http://edoc.sabor.hr/Views/AktView.aspx?type=HTML&amp;id=2021087" TargetMode="External"/><Relationship Id="rId302" Type="http://schemas.openxmlformats.org/officeDocument/2006/relationships/hyperlink" Target="http://www.senato.it/leg/17/BGT/Schede/Ddliter/46217.htm" TargetMode="External"/><Relationship Id="rId344" Type="http://schemas.openxmlformats.org/officeDocument/2006/relationships/hyperlink" Target="https://e-seimas.lrs.lt/portal/legalAct/lt/TAD/TAIS.114051?jfwid=-4syu6m28s" TargetMode="External"/><Relationship Id="rId41" Type="http://schemas.openxmlformats.org/officeDocument/2006/relationships/hyperlink" Target="https://www.psp.cz/sqw/text/tiskt.sqw?O=4&amp;CT=1113&amp;CT1=0" TargetMode="External"/><Relationship Id="rId83" Type="http://schemas.openxmlformats.org/officeDocument/2006/relationships/hyperlink" Target="https://www.psp.cz/sqw/text/tiskt.sqw?O=5&amp;CT=347&amp;CT1=0" TargetMode="External"/><Relationship Id="rId179" Type="http://schemas.openxmlformats.org/officeDocument/2006/relationships/hyperlink" Target="http://edoc.sabor.hr/Views/AktView.aspx?type=HTML&amp;id=2010350" TargetMode="External"/><Relationship Id="rId386" Type="http://schemas.openxmlformats.org/officeDocument/2006/relationships/hyperlink" Target="https://e-seimas.lrs.lt/portal/legalAct/lt/TAD/9efa3eb3e32711e8bcacfff937113a43" TargetMode="External"/><Relationship Id="rId190" Type="http://schemas.openxmlformats.org/officeDocument/2006/relationships/hyperlink" Target="https://www.oireachtas.ie/en/debates/debate/dail/2004-11-25/17/?highlight%5B0%5D=althea&amp;highlight%5B1%5D=althea" TargetMode="External"/><Relationship Id="rId204" Type="http://schemas.openxmlformats.org/officeDocument/2006/relationships/hyperlink" Target="http://legislature.camera.it/chiosco.asp?source=/altre_sezionism/10221/10233/10234/documentotesto.asp&amp;content=/_dati/leg11/lavori/schedela/trovaschedacamera.asp?pdl=2156" TargetMode="External"/><Relationship Id="rId246" Type="http://schemas.openxmlformats.org/officeDocument/2006/relationships/hyperlink" Target="http://www.senato.it/japp/bgt/showdoc/frame.jsp?tipodoc=Resaula&amp;leg=14&amp;id=114249" TargetMode="External"/><Relationship Id="rId288" Type="http://schemas.openxmlformats.org/officeDocument/2006/relationships/hyperlink" Target="http://www.senato.it/leg/16/BGT/Schede/Ddliter/38368.htm" TargetMode="External"/><Relationship Id="rId411" Type="http://schemas.openxmlformats.org/officeDocument/2006/relationships/hyperlink" Target="http://clerk.house.gov/evs/2011/roll493.xml" TargetMode="External"/><Relationship Id="rId453" Type="http://schemas.openxmlformats.org/officeDocument/2006/relationships/hyperlink" Target="https://www.ft.dk/samling/20191/beslutningsforslag/b6/index.htm" TargetMode="External"/><Relationship Id="rId509" Type="http://schemas.openxmlformats.org/officeDocument/2006/relationships/hyperlink" Target="https://www.folketingstidende.dk/samling/20001/beslutningsforslag/B33/index.htm" TargetMode="External"/><Relationship Id="rId106" Type="http://schemas.openxmlformats.org/officeDocument/2006/relationships/hyperlink" Target="https://www.eduskunta.fi/FI/Vaski/sivut/aanestys.aspx?aanestysnro=2&amp;istuntonro=35&amp;vuosi=2010" TargetMode="External"/><Relationship Id="rId313" Type="http://schemas.openxmlformats.org/officeDocument/2006/relationships/hyperlink" Target="https://www.camera.it/leg17/410?idSeduta=0755&amp;tipo=alfabetico_stenografico" TargetMode="External"/><Relationship Id="rId495" Type="http://schemas.openxmlformats.org/officeDocument/2006/relationships/hyperlink" Target="https://www.folketingstidende.dk/samling/19921/beslutningsforslag/B99/index.htm" TargetMode="External"/><Relationship Id="rId10" Type="http://schemas.openxmlformats.org/officeDocument/2006/relationships/hyperlink" Target="https://www.ourcommons.ca/Members/en/votes/41/2/368?view=result" TargetMode="External"/><Relationship Id="rId52" Type="http://schemas.openxmlformats.org/officeDocument/2006/relationships/hyperlink" Target="https://www.psp.cz/sqw/text/tiskt.sqw?O=5&amp;CT=492&amp;CT1=0" TargetMode="External"/><Relationship Id="rId94" Type="http://schemas.openxmlformats.org/officeDocument/2006/relationships/hyperlink" Target="http://www.congreso.es/public_oficiales/L12/CONG/DS/CO/DSCD-12-CO-412.PDF" TargetMode="External"/><Relationship Id="rId148" Type="http://schemas.openxmlformats.org/officeDocument/2006/relationships/hyperlink" Target="http://edoc.sabor.hr/Views/AktView.aspx?type=HTML&amp;id=25479" TargetMode="External"/><Relationship Id="rId355" Type="http://schemas.openxmlformats.org/officeDocument/2006/relationships/hyperlink" Target="https://e-seimas.lrs.lt/portal/legalAct/lt/TAD/TAIS.185389?jfwid=-4syu6ltu6" TargetMode="External"/><Relationship Id="rId397" Type="http://schemas.openxmlformats.org/officeDocument/2006/relationships/hyperlink" Target="https://www.publicwhip.org.uk/division.php?date=2010-09-09&amp;house=commons&amp;number=60" TargetMode="External"/><Relationship Id="rId520" Type="http://schemas.openxmlformats.org/officeDocument/2006/relationships/hyperlink" Target="https://www.folketingstidende.dk/samling/20031/beslutningsforslag/B210/index.htm" TargetMode="External"/><Relationship Id="rId215" Type="http://schemas.openxmlformats.org/officeDocument/2006/relationships/hyperlink" Target="http://leg13.camera.it/docesta/313/15804/documentotesto.asp?pdl=3833&amp;tab=1&amp;leg=13" TargetMode="External"/><Relationship Id="rId257" Type="http://schemas.openxmlformats.org/officeDocument/2006/relationships/hyperlink" Target="http://leg14.camera.it/_dati/leg14/lavori/schedela/trovaschedacamera_wai.asp?PDL=5126" TargetMode="External"/><Relationship Id="rId422" Type="http://schemas.openxmlformats.org/officeDocument/2006/relationships/hyperlink" Target="http://www.cdep.ro/pls/steno/steno2015.stenograma?ids=5173&amp;idm=7&amp;idl=2" TargetMode="External"/><Relationship Id="rId464" Type="http://schemas.openxmlformats.org/officeDocument/2006/relationships/hyperlink" Target="https://www.ft.dk/samling/20061/beslutningsforslag/b161/index.htm" TargetMode="External"/><Relationship Id="rId299" Type="http://schemas.openxmlformats.org/officeDocument/2006/relationships/hyperlink" Target="https://www.camera.it/uri-res/N2Ls?urn:camera-it:parlamento:scheda.progetto.legge:camera;17.legislatura;3249" TargetMode="External"/><Relationship Id="rId63" Type="http://schemas.openxmlformats.org/officeDocument/2006/relationships/hyperlink" Target="https://www.psp.cz/sqw/text/tiskt.sqw?O=7&amp;CT=1121&amp;CT1=0" TargetMode="External"/><Relationship Id="rId159" Type="http://schemas.openxmlformats.org/officeDocument/2006/relationships/hyperlink" Target="http://edoc.sabor.hr/Views/AktView.aspx?type=HTML&amp;id=21157" TargetMode="External"/><Relationship Id="rId366" Type="http://schemas.openxmlformats.org/officeDocument/2006/relationships/hyperlink" Target="https://e-seimas.lrs.lt/portal/legalAct/lt/TAD/TAIS.212028?jfwid=7nbkjfem3" TargetMode="External"/><Relationship Id="rId226" Type="http://schemas.openxmlformats.org/officeDocument/2006/relationships/hyperlink" Target="https://www.camera.it/uri-res/N2Ls?urn:camera-it:parlamento:scheda.progetto.legge:camera;13.legislatura;6149" TargetMode="External"/><Relationship Id="rId433" Type="http://schemas.openxmlformats.org/officeDocument/2006/relationships/hyperlink" Target="http://www.cdep.ro/pls/steno/steno2015.stenograma?ids=5554&amp;idm=3&amp;idl=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022"/>
  <sheetViews>
    <sheetView tabSelected="1" zoomScaleNormal="80" workbookViewId="0">
      <pane ySplit="1" topLeftCell="A2" activePane="bottomLeft" state="frozen"/>
      <selection pane="bottomLeft" activeCell="H4" sqref="H4"/>
    </sheetView>
  </sheetViews>
  <sheetFormatPr baseColWidth="10" defaultColWidth="11.5" defaultRowHeight="15" x14ac:dyDescent="0.2"/>
  <cols>
    <col min="1" max="1" width="7.6640625" customWidth="1"/>
    <col min="2" max="3" width="11.5" style="17" customWidth="1"/>
    <col min="4" max="4" width="10.83203125" style="22" customWidth="1"/>
    <col min="5" max="5" width="30.33203125" style="22" customWidth="1"/>
    <col min="6" max="6" width="11.5" style="17" customWidth="1"/>
    <col min="7" max="7" width="11.5" style="18" customWidth="1"/>
    <col min="8" max="8" width="47.83203125" style="22" customWidth="1"/>
    <col min="9" max="9" width="11.5" style="17" customWidth="1"/>
    <col min="10" max="10" width="66.1640625" style="50" customWidth="1"/>
    <col min="11" max="11" width="5.5" style="17" customWidth="1"/>
    <col min="12" max="12" width="5.5" style="59" customWidth="1"/>
    <col min="13" max="13" width="52.5" style="22" customWidth="1"/>
    <col min="14" max="14" width="20.83203125" style="22" customWidth="1"/>
    <col min="15" max="15" width="26.5" style="22" customWidth="1"/>
    <col min="16" max="16" width="15.83203125" style="22" customWidth="1"/>
    <col min="17" max="17" width="11.5" style="22" customWidth="1"/>
    <col min="18" max="28" width="11.5" style="17" customWidth="1"/>
    <col min="29" max="29" width="8" customWidth="1"/>
    <col min="30" max="31" width="11.5" customWidth="1"/>
  </cols>
  <sheetData>
    <row r="1" spans="1:30" s="62" customFormat="1" ht="64" x14ac:dyDescent="0.2">
      <c r="A1" s="20" t="s">
        <v>0</v>
      </c>
      <c r="B1" s="1" t="s">
        <v>4</v>
      </c>
      <c r="C1" s="1" t="s">
        <v>17</v>
      </c>
      <c r="D1" s="2" t="s">
        <v>1</v>
      </c>
      <c r="E1" s="2" t="s">
        <v>2877</v>
      </c>
      <c r="F1" s="1" t="s">
        <v>18</v>
      </c>
      <c r="G1" s="13" t="s">
        <v>3</v>
      </c>
      <c r="H1" s="2" t="s">
        <v>5</v>
      </c>
      <c r="I1" s="1" t="s">
        <v>19</v>
      </c>
      <c r="J1" s="2" t="s">
        <v>11</v>
      </c>
      <c r="K1" s="1" t="s">
        <v>20</v>
      </c>
      <c r="L1" s="10" t="s">
        <v>2878</v>
      </c>
      <c r="M1" s="2" t="s">
        <v>10</v>
      </c>
      <c r="N1" s="2" t="s">
        <v>2876</v>
      </c>
      <c r="O1" s="2" t="s">
        <v>12</v>
      </c>
      <c r="P1" s="2" t="s">
        <v>2879</v>
      </c>
      <c r="Q1" s="2" t="s">
        <v>2880</v>
      </c>
      <c r="R1" s="10" t="s">
        <v>13</v>
      </c>
      <c r="S1" s="10" t="s">
        <v>14</v>
      </c>
      <c r="T1" s="10" t="s">
        <v>15</v>
      </c>
      <c r="U1" s="1" t="s">
        <v>2</v>
      </c>
      <c r="V1" s="1" t="s">
        <v>16</v>
      </c>
      <c r="W1" s="3" t="s">
        <v>2875</v>
      </c>
      <c r="X1" s="3" t="s">
        <v>2874</v>
      </c>
      <c r="Y1" s="3" t="s">
        <v>6</v>
      </c>
      <c r="Z1" s="3" t="s">
        <v>7</v>
      </c>
      <c r="AA1" s="3" t="s">
        <v>8</v>
      </c>
      <c r="AB1" s="3" t="s">
        <v>9</v>
      </c>
      <c r="AC1" s="61" t="s">
        <v>2540</v>
      </c>
      <c r="AD1" s="61" t="s">
        <v>2532</v>
      </c>
    </row>
    <row r="2" spans="1:30" ht="14.5" customHeight="1" x14ac:dyDescent="0.2">
      <c r="A2" t="s">
        <v>2968</v>
      </c>
      <c r="B2" s="7">
        <v>1</v>
      </c>
      <c r="C2" s="4">
        <v>0</v>
      </c>
      <c r="D2" s="63" t="s">
        <v>21</v>
      </c>
      <c r="E2" s="58" t="s">
        <v>22</v>
      </c>
      <c r="F2" s="64">
        <f t="shared" ref="F2:F32" si="0">YEAR(G2)</f>
        <v>1991</v>
      </c>
      <c r="G2" s="28">
        <v>33260</v>
      </c>
      <c r="H2" s="8" t="s">
        <v>3035</v>
      </c>
      <c r="I2" s="64">
        <v>0</v>
      </c>
      <c r="J2" s="22" t="s">
        <v>29</v>
      </c>
      <c r="K2" s="17">
        <v>0</v>
      </c>
      <c r="L2" s="59" t="s">
        <v>485</v>
      </c>
      <c r="M2" s="48" t="s">
        <v>23</v>
      </c>
      <c r="N2" s="48" t="s">
        <v>2121</v>
      </c>
      <c r="O2" s="8"/>
      <c r="P2" s="22" t="s">
        <v>25</v>
      </c>
      <c r="Q2" s="29" t="s">
        <v>24</v>
      </c>
      <c r="R2" s="9">
        <v>1</v>
      </c>
      <c r="S2" s="9">
        <v>0</v>
      </c>
      <c r="T2" s="9">
        <v>0</v>
      </c>
      <c r="U2" s="7">
        <v>0</v>
      </c>
      <c r="V2" s="7">
        <v>0</v>
      </c>
      <c r="W2" s="17" t="s">
        <v>26</v>
      </c>
      <c r="X2" s="17" t="s">
        <v>26</v>
      </c>
      <c r="Y2" s="17" t="s">
        <v>26</v>
      </c>
      <c r="Z2" s="6"/>
      <c r="AA2" s="11"/>
      <c r="AB2" s="11"/>
      <c r="AC2" s="66"/>
      <c r="AD2" s="68"/>
    </row>
    <row r="3" spans="1:30" ht="14.5" customHeight="1" x14ac:dyDescent="0.2">
      <c r="A3" t="s">
        <v>2968</v>
      </c>
      <c r="B3" s="17">
        <v>1</v>
      </c>
      <c r="C3" s="17">
        <v>0</v>
      </c>
      <c r="D3" s="63" t="s">
        <v>27</v>
      </c>
      <c r="E3" s="58" t="s">
        <v>2989</v>
      </c>
      <c r="F3" s="64">
        <f t="shared" si="0"/>
        <v>2003</v>
      </c>
      <c r="G3" s="28">
        <v>37700</v>
      </c>
      <c r="H3" s="58" t="s">
        <v>2988</v>
      </c>
      <c r="I3" s="64">
        <v>0</v>
      </c>
      <c r="J3" s="22" t="s">
        <v>33</v>
      </c>
      <c r="K3" s="17">
        <v>1</v>
      </c>
      <c r="L3" s="59">
        <v>1</v>
      </c>
      <c r="M3" s="48" t="s">
        <v>30</v>
      </c>
      <c r="N3" t="s">
        <v>2121</v>
      </c>
      <c r="P3" s="22" t="s">
        <v>34</v>
      </c>
      <c r="Q3" s="29" t="s">
        <v>35</v>
      </c>
      <c r="R3" s="17">
        <v>1</v>
      </c>
      <c r="S3" s="17">
        <v>0</v>
      </c>
      <c r="T3" s="17">
        <v>0</v>
      </c>
      <c r="U3" s="17">
        <v>0</v>
      </c>
      <c r="V3" s="17">
        <v>0</v>
      </c>
      <c r="W3" s="64">
        <v>37</v>
      </c>
      <c r="X3" s="64">
        <v>32</v>
      </c>
      <c r="Y3" s="64">
        <v>0</v>
      </c>
      <c r="Z3" s="6">
        <f t="shared" ref="Z3:Z66" si="1">SUM(W3:Y3)</f>
        <v>69</v>
      </c>
      <c r="AA3" s="11">
        <f t="shared" ref="AA3:AA66" si="2">W3/Z3</f>
        <v>0.53623188405797106</v>
      </c>
      <c r="AB3" s="11">
        <f t="shared" ref="AB3:AB66" si="3">X3/Z3</f>
        <v>0.46376811594202899</v>
      </c>
      <c r="AC3" s="66">
        <f t="shared" ref="AC3:AC66" si="4">IF(K3=1,AB3,AA3)</f>
        <v>0.46376811594202899</v>
      </c>
      <c r="AD3" s="67">
        <f t="shared" ref="AD3:AD66" si="5">SUM((MAX(W3,X3,Y3)-0.5*(SUM(W3+X3+Y3)-MAX(W3,X3,Y3)))/SUM(W3+X3+Y3))</f>
        <v>0.30434782608695654</v>
      </c>
    </row>
    <row r="4" spans="1:30" ht="14.5" customHeight="1" x14ac:dyDescent="0.2">
      <c r="A4" t="s">
        <v>2968</v>
      </c>
      <c r="B4" s="17">
        <v>1</v>
      </c>
      <c r="C4" s="17">
        <v>0</v>
      </c>
      <c r="D4" s="63" t="s">
        <v>27</v>
      </c>
      <c r="E4" s="58" t="s">
        <v>2989</v>
      </c>
      <c r="F4" s="64">
        <f t="shared" si="0"/>
        <v>2003</v>
      </c>
      <c r="G4" s="28">
        <v>37700</v>
      </c>
      <c r="H4" s="8" t="s">
        <v>3035</v>
      </c>
      <c r="I4" s="64">
        <v>0</v>
      </c>
      <c r="J4" s="22" t="s">
        <v>28</v>
      </c>
      <c r="K4" s="17">
        <v>0</v>
      </c>
      <c r="L4" s="59">
        <v>1</v>
      </c>
      <c r="M4" s="48" t="s">
        <v>30</v>
      </c>
      <c r="N4" t="s">
        <v>2121</v>
      </c>
      <c r="P4" s="22" t="s">
        <v>32</v>
      </c>
      <c r="Q4" s="29" t="s">
        <v>31</v>
      </c>
      <c r="R4" s="17">
        <v>1</v>
      </c>
      <c r="S4" s="17">
        <v>0</v>
      </c>
      <c r="T4" s="17">
        <v>0</v>
      </c>
      <c r="U4" s="17">
        <v>0</v>
      </c>
      <c r="V4" s="17">
        <v>0</v>
      </c>
      <c r="W4" s="64">
        <v>80</v>
      </c>
      <c r="X4" s="65">
        <v>63</v>
      </c>
      <c r="Y4" s="64">
        <v>0</v>
      </c>
      <c r="Z4" s="6">
        <f t="shared" si="1"/>
        <v>143</v>
      </c>
      <c r="AA4" s="11">
        <f t="shared" si="2"/>
        <v>0.55944055944055948</v>
      </c>
      <c r="AB4" s="11">
        <f t="shared" si="3"/>
        <v>0.44055944055944057</v>
      </c>
      <c r="AC4" s="66">
        <f t="shared" si="4"/>
        <v>0.55944055944055948</v>
      </c>
      <c r="AD4" s="67">
        <f t="shared" si="5"/>
        <v>0.33916083916083917</v>
      </c>
    </row>
    <row r="5" spans="1:30" ht="14.5" customHeight="1" x14ac:dyDescent="0.2">
      <c r="A5" t="s">
        <v>36</v>
      </c>
      <c r="B5" s="7">
        <v>1</v>
      </c>
      <c r="C5" s="4">
        <v>0</v>
      </c>
      <c r="D5" s="63" t="s">
        <v>37</v>
      </c>
      <c r="E5" s="58" t="s">
        <v>2990</v>
      </c>
      <c r="F5" s="64">
        <f t="shared" si="0"/>
        <v>2011</v>
      </c>
      <c r="G5" s="28">
        <v>40623</v>
      </c>
      <c r="H5" s="58" t="s">
        <v>2987</v>
      </c>
      <c r="I5" s="64">
        <v>0</v>
      </c>
      <c r="J5" s="22" t="s">
        <v>38</v>
      </c>
      <c r="K5" s="17">
        <v>0</v>
      </c>
      <c r="L5" s="59">
        <v>1</v>
      </c>
      <c r="M5" s="48" t="s">
        <v>949</v>
      </c>
      <c r="N5" s="48" t="s">
        <v>2629</v>
      </c>
      <c r="O5" s="8"/>
      <c r="P5" s="8" t="s">
        <v>39</v>
      </c>
      <c r="Q5" s="29" t="s">
        <v>40</v>
      </c>
      <c r="R5" s="9">
        <v>1</v>
      </c>
      <c r="S5" s="9">
        <v>0</v>
      </c>
      <c r="T5" s="9">
        <v>0</v>
      </c>
      <c r="U5" s="7">
        <v>0</v>
      </c>
      <c r="V5" s="7">
        <v>0</v>
      </c>
      <c r="W5" s="64">
        <v>125</v>
      </c>
      <c r="X5" s="65">
        <v>0</v>
      </c>
      <c r="Y5" s="64">
        <v>1</v>
      </c>
      <c r="Z5" s="6">
        <f t="shared" si="1"/>
        <v>126</v>
      </c>
      <c r="AA5" s="11">
        <f t="shared" si="2"/>
        <v>0.99206349206349209</v>
      </c>
      <c r="AB5" s="11">
        <f t="shared" si="3"/>
        <v>0</v>
      </c>
      <c r="AC5" s="66">
        <f t="shared" si="4"/>
        <v>0.99206349206349209</v>
      </c>
      <c r="AD5" s="67">
        <f t="shared" si="5"/>
        <v>0.98809523809523814</v>
      </c>
    </row>
    <row r="6" spans="1:30" ht="14.5" customHeight="1" x14ac:dyDescent="0.2">
      <c r="A6" t="s">
        <v>36</v>
      </c>
      <c r="B6" s="17">
        <v>1</v>
      </c>
      <c r="C6" s="17">
        <v>0</v>
      </c>
      <c r="D6" s="63" t="s">
        <v>41</v>
      </c>
      <c r="E6" s="58" t="s">
        <v>2991</v>
      </c>
      <c r="F6" s="64">
        <f t="shared" si="0"/>
        <v>2013</v>
      </c>
      <c r="G6" s="28">
        <v>41291</v>
      </c>
      <c r="H6" s="58" t="s">
        <v>2987</v>
      </c>
      <c r="I6" s="64">
        <v>0</v>
      </c>
      <c r="J6" s="12" t="s">
        <v>42</v>
      </c>
      <c r="K6" s="7">
        <v>0</v>
      </c>
      <c r="L6" s="59">
        <v>1</v>
      </c>
      <c r="M6" s="48" t="s">
        <v>2542</v>
      </c>
      <c r="N6" s="48" t="s">
        <v>2629</v>
      </c>
      <c r="O6" s="8"/>
      <c r="P6" s="8" t="s">
        <v>43</v>
      </c>
      <c r="Q6" s="29" t="s">
        <v>44</v>
      </c>
      <c r="R6" s="9">
        <v>1</v>
      </c>
      <c r="S6" s="9">
        <v>0</v>
      </c>
      <c r="T6" s="9">
        <v>0</v>
      </c>
      <c r="U6" s="7">
        <v>0</v>
      </c>
      <c r="V6" s="7">
        <v>0</v>
      </c>
      <c r="W6" s="64">
        <v>98</v>
      </c>
      <c r="X6" s="65">
        <v>1</v>
      </c>
      <c r="Y6" s="64">
        <v>22</v>
      </c>
      <c r="Z6" s="6">
        <f t="shared" si="1"/>
        <v>121</v>
      </c>
      <c r="AA6" s="11">
        <f t="shared" si="2"/>
        <v>0.80991735537190079</v>
      </c>
      <c r="AB6" s="11">
        <f t="shared" si="3"/>
        <v>8.2644628099173556E-3</v>
      </c>
      <c r="AC6" s="66">
        <f t="shared" si="4"/>
        <v>0.80991735537190079</v>
      </c>
      <c r="AD6" s="67">
        <f t="shared" si="5"/>
        <v>0.71487603305785119</v>
      </c>
    </row>
    <row r="7" spans="1:30" ht="14.5" customHeight="1" x14ac:dyDescent="0.2">
      <c r="A7" t="s">
        <v>36</v>
      </c>
      <c r="B7" s="17">
        <v>1</v>
      </c>
      <c r="C7" s="17">
        <v>0</v>
      </c>
      <c r="D7" s="63" t="s">
        <v>45</v>
      </c>
      <c r="E7" s="58" t="s">
        <v>2991</v>
      </c>
      <c r="F7" s="64">
        <f t="shared" si="0"/>
        <v>2014</v>
      </c>
      <c r="G7" s="28">
        <v>41908</v>
      </c>
      <c r="H7" s="58" t="s">
        <v>2987</v>
      </c>
      <c r="I7" s="64">
        <v>0</v>
      </c>
      <c r="J7" s="22" t="s">
        <v>46</v>
      </c>
      <c r="K7" s="17">
        <v>0</v>
      </c>
      <c r="L7" s="59">
        <v>1</v>
      </c>
      <c r="M7" s="48" t="s">
        <v>2544</v>
      </c>
      <c r="N7" s="22" t="s">
        <v>2121</v>
      </c>
      <c r="P7" s="22" t="s">
        <v>47</v>
      </c>
      <c r="Q7" s="29" t="s">
        <v>48</v>
      </c>
      <c r="R7" s="17">
        <v>1</v>
      </c>
      <c r="S7" s="17">
        <v>0</v>
      </c>
      <c r="T7" s="17">
        <v>0</v>
      </c>
      <c r="U7" s="17">
        <v>0</v>
      </c>
      <c r="V7" s="17">
        <v>0</v>
      </c>
      <c r="W7" s="64">
        <v>114</v>
      </c>
      <c r="X7" s="65">
        <v>2</v>
      </c>
      <c r="Y7" s="64">
        <v>10</v>
      </c>
      <c r="Z7" s="6">
        <f t="shared" si="1"/>
        <v>126</v>
      </c>
      <c r="AA7" s="11">
        <f t="shared" si="2"/>
        <v>0.90476190476190477</v>
      </c>
      <c r="AB7" s="11">
        <f t="shared" si="3"/>
        <v>1.5873015873015872E-2</v>
      </c>
      <c r="AC7" s="66">
        <f t="shared" si="4"/>
        <v>0.90476190476190477</v>
      </c>
      <c r="AD7" s="67">
        <f t="shared" si="5"/>
        <v>0.8571428571428571</v>
      </c>
    </row>
    <row r="8" spans="1:30" ht="14.5" customHeight="1" x14ac:dyDescent="0.2">
      <c r="A8" t="s">
        <v>36</v>
      </c>
      <c r="B8" s="17">
        <v>1</v>
      </c>
      <c r="C8" s="17">
        <v>0</v>
      </c>
      <c r="D8" s="58" t="s">
        <v>49</v>
      </c>
      <c r="E8" s="58" t="s">
        <v>2992</v>
      </c>
      <c r="F8" s="64">
        <f t="shared" si="0"/>
        <v>2016</v>
      </c>
      <c r="G8" s="28">
        <v>42551</v>
      </c>
      <c r="H8" s="58" t="s">
        <v>2987</v>
      </c>
      <c r="I8" s="64">
        <v>0</v>
      </c>
      <c r="J8" s="22" t="s">
        <v>50</v>
      </c>
      <c r="K8" s="17">
        <v>0</v>
      </c>
      <c r="L8" s="59">
        <v>1</v>
      </c>
      <c r="M8" s="48" t="s">
        <v>2543</v>
      </c>
      <c r="N8" s="22" t="s">
        <v>2121</v>
      </c>
      <c r="P8" s="22" t="s">
        <v>51</v>
      </c>
      <c r="Q8" s="29" t="s">
        <v>52</v>
      </c>
      <c r="R8" s="17">
        <v>1</v>
      </c>
      <c r="S8" s="17">
        <v>0</v>
      </c>
      <c r="T8" s="17">
        <v>0</v>
      </c>
      <c r="U8" s="17">
        <v>0</v>
      </c>
      <c r="V8" s="17">
        <v>0</v>
      </c>
      <c r="W8" s="64">
        <v>88</v>
      </c>
      <c r="X8" s="64">
        <v>21</v>
      </c>
      <c r="Y8" s="64">
        <v>18</v>
      </c>
      <c r="Z8" s="6">
        <f t="shared" si="1"/>
        <v>127</v>
      </c>
      <c r="AA8" s="11">
        <f t="shared" si="2"/>
        <v>0.69291338582677164</v>
      </c>
      <c r="AB8" s="11">
        <f t="shared" si="3"/>
        <v>0.16535433070866143</v>
      </c>
      <c r="AC8" s="66">
        <f t="shared" si="4"/>
        <v>0.69291338582677164</v>
      </c>
      <c r="AD8" s="67">
        <f t="shared" si="5"/>
        <v>0.53937007874015752</v>
      </c>
    </row>
    <row r="9" spans="1:30" ht="14.5" customHeight="1" x14ac:dyDescent="0.2">
      <c r="A9" t="s">
        <v>53</v>
      </c>
      <c r="B9" s="17">
        <v>1</v>
      </c>
      <c r="C9" s="17">
        <v>1</v>
      </c>
      <c r="D9" s="22" t="s">
        <v>57</v>
      </c>
      <c r="E9" s="22" t="s">
        <v>54</v>
      </c>
      <c r="F9" s="64">
        <f t="shared" si="0"/>
        <v>1990</v>
      </c>
      <c r="G9" s="18">
        <v>33169</v>
      </c>
      <c r="H9" s="22" t="s">
        <v>55</v>
      </c>
      <c r="I9" s="64">
        <v>0</v>
      </c>
      <c r="J9" s="22" t="s">
        <v>58</v>
      </c>
      <c r="K9" s="17">
        <v>0</v>
      </c>
      <c r="L9" s="59">
        <v>1</v>
      </c>
      <c r="M9" s="22" t="s">
        <v>23</v>
      </c>
      <c r="N9" s="48" t="s">
        <v>2121</v>
      </c>
      <c r="Q9" s="29" t="s">
        <v>59</v>
      </c>
      <c r="R9" s="17">
        <v>1</v>
      </c>
      <c r="S9" s="17">
        <v>0</v>
      </c>
      <c r="T9" s="17">
        <v>0</v>
      </c>
      <c r="U9" s="17">
        <v>0</v>
      </c>
      <c r="V9" s="17">
        <v>0</v>
      </c>
      <c r="W9" s="17">
        <v>170</v>
      </c>
      <c r="X9" s="17">
        <v>33</v>
      </c>
      <c r="Y9" s="17">
        <v>0</v>
      </c>
      <c r="Z9" s="17">
        <f t="shared" si="1"/>
        <v>203</v>
      </c>
      <c r="AA9" s="11">
        <f t="shared" si="2"/>
        <v>0.83743842364532017</v>
      </c>
      <c r="AB9" s="11">
        <f t="shared" si="3"/>
        <v>0.1625615763546798</v>
      </c>
      <c r="AC9" s="66">
        <f t="shared" si="4"/>
        <v>0.83743842364532017</v>
      </c>
      <c r="AD9" s="67">
        <f t="shared" si="5"/>
        <v>0.75615763546798032</v>
      </c>
    </row>
    <row r="10" spans="1:30" ht="14.5" customHeight="1" x14ac:dyDescent="0.2">
      <c r="A10" t="s">
        <v>53</v>
      </c>
      <c r="B10" s="17">
        <v>1</v>
      </c>
      <c r="C10" s="17">
        <v>0</v>
      </c>
      <c r="D10" s="22" t="s">
        <v>60</v>
      </c>
      <c r="E10" s="22" t="s">
        <v>61</v>
      </c>
      <c r="F10" s="64">
        <f t="shared" si="0"/>
        <v>2006</v>
      </c>
      <c r="G10" s="18">
        <v>38852</v>
      </c>
      <c r="H10" s="22" t="s">
        <v>55</v>
      </c>
      <c r="I10" s="64">
        <v>0</v>
      </c>
      <c r="J10" s="69" t="s">
        <v>62</v>
      </c>
      <c r="K10" s="17">
        <v>0</v>
      </c>
      <c r="L10" s="59">
        <v>1</v>
      </c>
      <c r="M10" s="22" t="s">
        <v>129</v>
      </c>
      <c r="N10" s="22" t="s">
        <v>422</v>
      </c>
      <c r="P10" s="22" t="s">
        <v>63</v>
      </c>
      <c r="Q10" s="29" t="s">
        <v>64</v>
      </c>
      <c r="R10" s="17">
        <v>1</v>
      </c>
      <c r="S10" s="17">
        <v>0</v>
      </c>
      <c r="T10" s="17">
        <v>0</v>
      </c>
      <c r="U10" s="17">
        <v>0</v>
      </c>
      <c r="V10" s="17">
        <v>1</v>
      </c>
      <c r="W10" s="17">
        <v>149</v>
      </c>
      <c r="X10" s="17">
        <v>145</v>
      </c>
      <c r="Y10" s="17">
        <v>0</v>
      </c>
      <c r="Z10" s="17">
        <f t="shared" si="1"/>
        <v>294</v>
      </c>
      <c r="AA10" s="11">
        <f t="shared" si="2"/>
        <v>0.50680272108843538</v>
      </c>
      <c r="AB10" s="11">
        <f t="shared" si="3"/>
        <v>0.49319727891156462</v>
      </c>
      <c r="AC10" s="66">
        <f t="shared" si="4"/>
        <v>0.50680272108843538</v>
      </c>
      <c r="AD10" s="67">
        <f t="shared" si="5"/>
        <v>0.26020408163265307</v>
      </c>
    </row>
    <row r="11" spans="1:30" ht="14.5" customHeight="1" x14ac:dyDescent="0.2">
      <c r="A11" t="s">
        <v>53</v>
      </c>
      <c r="B11" s="17">
        <v>1</v>
      </c>
      <c r="C11" s="17">
        <v>0</v>
      </c>
      <c r="D11" s="22" t="s">
        <v>60</v>
      </c>
      <c r="E11" s="22" t="s">
        <v>61</v>
      </c>
      <c r="F11" s="64">
        <f t="shared" si="0"/>
        <v>2008</v>
      </c>
      <c r="G11" s="18">
        <v>39520</v>
      </c>
      <c r="H11" s="22" t="s">
        <v>55</v>
      </c>
      <c r="I11" s="64">
        <v>0</v>
      </c>
      <c r="J11" s="69" t="s">
        <v>65</v>
      </c>
      <c r="K11" s="17">
        <v>0</v>
      </c>
      <c r="L11" s="59">
        <v>1</v>
      </c>
      <c r="M11" s="22" t="s">
        <v>129</v>
      </c>
      <c r="N11" s="22" t="s">
        <v>422</v>
      </c>
      <c r="P11" s="22" t="s">
        <v>66</v>
      </c>
      <c r="Q11" s="29" t="s">
        <v>67</v>
      </c>
      <c r="R11" s="17">
        <v>1</v>
      </c>
      <c r="S11" s="17">
        <v>0</v>
      </c>
      <c r="T11" s="17">
        <v>0</v>
      </c>
      <c r="U11" s="17">
        <v>0</v>
      </c>
      <c r="V11" s="17">
        <v>1</v>
      </c>
      <c r="W11" s="17">
        <v>197</v>
      </c>
      <c r="X11" s="17">
        <v>77</v>
      </c>
      <c r="Y11" s="17">
        <v>4</v>
      </c>
      <c r="Z11" s="17">
        <f t="shared" si="1"/>
        <v>278</v>
      </c>
      <c r="AA11" s="11">
        <f t="shared" si="2"/>
        <v>0.70863309352517989</v>
      </c>
      <c r="AB11" s="11">
        <f t="shared" si="3"/>
        <v>0.27697841726618705</v>
      </c>
      <c r="AC11" s="66">
        <f t="shared" si="4"/>
        <v>0.70863309352517989</v>
      </c>
      <c r="AD11" s="67">
        <f t="shared" si="5"/>
        <v>0.56294964028776984</v>
      </c>
    </row>
    <row r="12" spans="1:30" ht="14.5" customHeight="1" x14ac:dyDescent="0.2">
      <c r="A12" t="s">
        <v>53</v>
      </c>
      <c r="B12" s="17">
        <v>1</v>
      </c>
      <c r="C12" s="17">
        <v>0</v>
      </c>
      <c r="D12" s="22" t="s">
        <v>68</v>
      </c>
      <c r="E12" s="22" t="s">
        <v>61</v>
      </c>
      <c r="F12" s="64">
        <f t="shared" si="0"/>
        <v>2011</v>
      </c>
      <c r="G12" s="18">
        <v>40708</v>
      </c>
      <c r="H12" s="22" t="s">
        <v>55</v>
      </c>
      <c r="I12" s="64">
        <v>0</v>
      </c>
      <c r="J12" s="69" t="s">
        <v>69</v>
      </c>
      <c r="K12" s="17">
        <v>0</v>
      </c>
      <c r="L12" s="59">
        <v>1</v>
      </c>
      <c r="M12" s="22" t="s">
        <v>949</v>
      </c>
      <c r="N12" s="48" t="s">
        <v>2629</v>
      </c>
      <c r="P12" s="22" t="s">
        <v>70</v>
      </c>
      <c r="Q12" s="29" t="s">
        <v>71</v>
      </c>
      <c r="R12" s="17">
        <v>1</v>
      </c>
      <c r="S12" s="17">
        <v>0</v>
      </c>
      <c r="T12" s="17">
        <v>0</v>
      </c>
      <c r="U12" s="17">
        <v>0</v>
      </c>
      <c r="V12" s="17">
        <v>1</v>
      </c>
      <c r="W12" s="17">
        <v>294</v>
      </c>
      <c r="X12" s="17">
        <v>1</v>
      </c>
      <c r="Y12" s="17">
        <v>0</v>
      </c>
      <c r="Z12" s="17">
        <f t="shared" si="1"/>
        <v>295</v>
      </c>
      <c r="AA12" s="11">
        <f t="shared" si="2"/>
        <v>0.99661016949152548</v>
      </c>
      <c r="AB12" s="11">
        <f t="shared" si="3"/>
        <v>3.3898305084745762E-3</v>
      </c>
      <c r="AC12" s="66">
        <f t="shared" si="4"/>
        <v>0.99661016949152548</v>
      </c>
      <c r="AD12" s="67">
        <f t="shared" si="5"/>
        <v>0.9949152542372881</v>
      </c>
    </row>
    <row r="13" spans="1:30" ht="14.5" customHeight="1" x14ac:dyDescent="0.2">
      <c r="A13" t="s">
        <v>53</v>
      </c>
      <c r="B13" s="17">
        <v>1</v>
      </c>
      <c r="C13" s="17">
        <v>0</v>
      </c>
      <c r="D13" s="22" t="s">
        <v>68</v>
      </c>
      <c r="E13" s="22" t="s">
        <v>61</v>
      </c>
      <c r="F13" s="64">
        <f t="shared" si="0"/>
        <v>2011</v>
      </c>
      <c r="G13" s="18">
        <v>40811</v>
      </c>
      <c r="H13" s="22" t="s">
        <v>55</v>
      </c>
      <c r="I13" s="64">
        <v>0</v>
      </c>
      <c r="J13" s="69" t="s">
        <v>72</v>
      </c>
      <c r="K13" s="17">
        <v>0</v>
      </c>
      <c r="L13" s="59">
        <v>1</v>
      </c>
      <c r="M13" s="22" t="s">
        <v>949</v>
      </c>
      <c r="N13" s="48" t="s">
        <v>2629</v>
      </c>
      <c r="P13" s="22" t="s">
        <v>73</v>
      </c>
      <c r="Q13" s="29" t="s">
        <v>74</v>
      </c>
      <c r="R13" s="17">
        <v>1</v>
      </c>
      <c r="S13" s="17">
        <v>0</v>
      </c>
      <c r="T13" s="17">
        <v>0</v>
      </c>
      <c r="U13" s="17">
        <v>0</v>
      </c>
      <c r="V13" s="17">
        <v>1</v>
      </c>
      <c r="W13" s="17">
        <v>188</v>
      </c>
      <c r="X13" s="17">
        <v>98</v>
      </c>
      <c r="Y13" s="17">
        <v>0</v>
      </c>
      <c r="Z13" s="17">
        <f t="shared" si="1"/>
        <v>286</v>
      </c>
      <c r="AA13" s="11">
        <f t="shared" si="2"/>
        <v>0.65734265734265729</v>
      </c>
      <c r="AB13" s="11">
        <f t="shared" si="3"/>
        <v>0.34265734265734266</v>
      </c>
      <c r="AC13" s="66">
        <f t="shared" si="4"/>
        <v>0.65734265734265729</v>
      </c>
      <c r="AD13" s="67">
        <f t="shared" si="5"/>
        <v>0.48601398601398599</v>
      </c>
    </row>
    <row r="14" spans="1:30" ht="14.5" customHeight="1" x14ac:dyDescent="0.2">
      <c r="A14" t="s">
        <v>53</v>
      </c>
      <c r="B14" s="17">
        <v>1</v>
      </c>
      <c r="C14" s="17">
        <v>0</v>
      </c>
      <c r="D14" s="22" t="s">
        <v>68</v>
      </c>
      <c r="E14" s="22" t="s">
        <v>61</v>
      </c>
      <c r="F14" s="64">
        <f t="shared" si="0"/>
        <v>2014</v>
      </c>
      <c r="G14" s="18">
        <v>41919</v>
      </c>
      <c r="H14" s="22" t="s">
        <v>55</v>
      </c>
      <c r="I14" s="64">
        <v>0</v>
      </c>
      <c r="J14" s="69" t="s">
        <v>75</v>
      </c>
      <c r="K14" s="17">
        <v>0</v>
      </c>
      <c r="L14" s="59">
        <v>1</v>
      </c>
      <c r="M14" s="22" t="s">
        <v>2544</v>
      </c>
      <c r="N14" s="22" t="s">
        <v>2121</v>
      </c>
      <c r="P14" s="70" t="s">
        <v>76</v>
      </c>
      <c r="Q14" s="29" t="s">
        <v>77</v>
      </c>
      <c r="R14" s="17">
        <v>1</v>
      </c>
      <c r="S14" s="17">
        <v>0</v>
      </c>
      <c r="T14" s="17">
        <v>0</v>
      </c>
      <c r="U14" s="17">
        <v>0</v>
      </c>
      <c r="V14" s="17">
        <v>0</v>
      </c>
      <c r="W14" s="17">
        <v>157</v>
      </c>
      <c r="X14" s="17">
        <v>134</v>
      </c>
      <c r="Y14" s="17">
        <v>0</v>
      </c>
      <c r="Z14" s="17">
        <f t="shared" si="1"/>
        <v>291</v>
      </c>
      <c r="AA14" s="11">
        <f t="shared" si="2"/>
        <v>0.53951890034364258</v>
      </c>
      <c r="AB14" s="11">
        <f t="shared" si="3"/>
        <v>0.46048109965635736</v>
      </c>
      <c r="AC14" s="66">
        <f t="shared" si="4"/>
        <v>0.53951890034364258</v>
      </c>
      <c r="AD14" s="67">
        <f t="shared" si="5"/>
        <v>0.30927835051546393</v>
      </c>
    </row>
    <row r="15" spans="1:30" ht="14.5" customHeight="1" x14ac:dyDescent="0.2">
      <c r="A15" t="s">
        <v>53</v>
      </c>
      <c r="B15" s="17">
        <v>1</v>
      </c>
      <c r="C15" s="17">
        <v>0</v>
      </c>
      <c r="D15" s="22" t="s">
        <v>68</v>
      </c>
      <c r="E15" s="22" t="s">
        <v>61</v>
      </c>
      <c r="F15" s="64">
        <f t="shared" si="0"/>
        <v>2015</v>
      </c>
      <c r="G15" s="18">
        <v>42093</v>
      </c>
      <c r="H15" s="22" t="s">
        <v>55</v>
      </c>
      <c r="I15" s="64">
        <v>0</v>
      </c>
      <c r="J15" s="69" t="s">
        <v>78</v>
      </c>
      <c r="K15" s="17">
        <v>0</v>
      </c>
      <c r="L15" s="59">
        <v>1</v>
      </c>
      <c r="M15" s="22" t="s">
        <v>2544</v>
      </c>
      <c r="N15" s="22" t="s">
        <v>2121</v>
      </c>
      <c r="P15" s="22" t="s">
        <v>79</v>
      </c>
      <c r="Q15" s="29" t="s">
        <v>80</v>
      </c>
      <c r="R15" s="17">
        <v>1</v>
      </c>
      <c r="S15" s="17">
        <v>0</v>
      </c>
      <c r="T15" s="17">
        <v>0</v>
      </c>
      <c r="U15" s="17">
        <v>0</v>
      </c>
      <c r="V15" s="17">
        <v>1</v>
      </c>
      <c r="W15" s="17">
        <v>142</v>
      </c>
      <c r="X15" s="17">
        <v>129</v>
      </c>
      <c r="Y15" s="17">
        <v>0</v>
      </c>
      <c r="Z15" s="17">
        <f t="shared" si="1"/>
        <v>271</v>
      </c>
      <c r="AA15" s="11">
        <f t="shared" si="2"/>
        <v>0.52398523985239853</v>
      </c>
      <c r="AB15" s="11">
        <f t="shared" si="3"/>
        <v>0.47601476014760147</v>
      </c>
      <c r="AC15" s="66">
        <f t="shared" si="4"/>
        <v>0.52398523985239853</v>
      </c>
      <c r="AD15" s="67">
        <f t="shared" si="5"/>
        <v>0.2859778597785978</v>
      </c>
    </row>
    <row r="16" spans="1:30" ht="14.5" customHeight="1" x14ac:dyDescent="0.2">
      <c r="A16" t="s">
        <v>53</v>
      </c>
      <c r="B16" s="17">
        <v>1</v>
      </c>
      <c r="C16" s="17">
        <v>0</v>
      </c>
      <c r="D16" s="22" t="s">
        <v>81</v>
      </c>
      <c r="E16" s="22" t="s">
        <v>82</v>
      </c>
      <c r="F16" s="64">
        <f t="shared" si="0"/>
        <v>2016</v>
      </c>
      <c r="G16" s="18">
        <v>42437</v>
      </c>
      <c r="H16" s="22" t="s">
        <v>55</v>
      </c>
      <c r="I16" s="64">
        <v>0</v>
      </c>
      <c r="J16" s="69" t="s">
        <v>83</v>
      </c>
      <c r="K16" s="17">
        <v>0</v>
      </c>
      <c r="L16" s="59">
        <v>1</v>
      </c>
      <c r="M16" s="22" t="s">
        <v>2544</v>
      </c>
      <c r="N16" s="22" t="s">
        <v>2121</v>
      </c>
      <c r="P16" s="22" t="s">
        <v>84</v>
      </c>
      <c r="Q16" s="29" t="s">
        <v>85</v>
      </c>
      <c r="R16" s="17">
        <v>1</v>
      </c>
      <c r="S16" s="17">
        <v>0</v>
      </c>
      <c r="T16" s="17">
        <v>0</v>
      </c>
      <c r="U16" s="17">
        <v>0</v>
      </c>
      <c r="V16" s="17">
        <v>1</v>
      </c>
      <c r="W16" s="17">
        <v>178</v>
      </c>
      <c r="X16" s="17">
        <v>147</v>
      </c>
      <c r="Y16" s="17">
        <v>0</v>
      </c>
      <c r="Z16" s="17">
        <f t="shared" si="1"/>
        <v>325</v>
      </c>
      <c r="AA16" s="11">
        <f t="shared" si="2"/>
        <v>0.5476923076923077</v>
      </c>
      <c r="AB16" s="11">
        <f t="shared" si="3"/>
        <v>0.4523076923076923</v>
      </c>
      <c r="AC16" s="66">
        <f t="shared" si="4"/>
        <v>0.5476923076923077</v>
      </c>
      <c r="AD16" s="67">
        <f t="shared" si="5"/>
        <v>0.32153846153846155</v>
      </c>
    </row>
    <row r="17" spans="1:95" ht="14.5" customHeight="1" x14ac:dyDescent="0.2">
      <c r="A17" s="21" t="s">
        <v>476</v>
      </c>
      <c r="B17" s="4">
        <v>0</v>
      </c>
      <c r="C17" s="4">
        <v>0</v>
      </c>
      <c r="D17" s="5" t="s">
        <v>477</v>
      </c>
      <c r="E17" s="5" t="s">
        <v>478</v>
      </c>
      <c r="F17" s="4">
        <f t="shared" si="0"/>
        <v>2002</v>
      </c>
      <c r="G17" s="16">
        <v>37468</v>
      </c>
      <c r="H17" s="22" t="s">
        <v>479</v>
      </c>
      <c r="I17" s="4">
        <v>0</v>
      </c>
      <c r="J17" s="5" t="s">
        <v>480</v>
      </c>
      <c r="K17" s="71">
        <v>0</v>
      </c>
      <c r="L17" s="59">
        <v>1</v>
      </c>
      <c r="M17" s="22" t="s">
        <v>2545</v>
      </c>
      <c r="N17" t="s">
        <v>2634</v>
      </c>
      <c r="O17" s="72"/>
      <c r="P17" s="5" t="s">
        <v>481</v>
      </c>
      <c r="Q17" s="29" t="s">
        <v>482</v>
      </c>
      <c r="R17" s="6">
        <v>1</v>
      </c>
      <c r="S17" s="6">
        <v>0</v>
      </c>
      <c r="T17" s="6">
        <v>0</v>
      </c>
      <c r="U17" s="4">
        <v>1</v>
      </c>
      <c r="V17" s="4">
        <v>0</v>
      </c>
      <c r="W17" s="73">
        <v>89</v>
      </c>
      <c r="X17" s="73">
        <v>0</v>
      </c>
      <c r="Y17" s="73">
        <v>3</v>
      </c>
      <c r="Z17" s="73">
        <f t="shared" si="1"/>
        <v>92</v>
      </c>
      <c r="AA17" s="11">
        <f t="shared" si="2"/>
        <v>0.96739130434782605</v>
      </c>
      <c r="AB17" s="11">
        <f t="shared" si="3"/>
        <v>0</v>
      </c>
      <c r="AC17" s="66">
        <f t="shared" si="4"/>
        <v>0.96739130434782605</v>
      </c>
      <c r="AD17" s="67">
        <f t="shared" si="5"/>
        <v>0.95108695652173914</v>
      </c>
    </row>
    <row r="18" spans="1:95" ht="14.5" customHeight="1" x14ac:dyDescent="0.2">
      <c r="A18" s="21" t="s">
        <v>476</v>
      </c>
      <c r="B18" s="4">
        <v>0</v>
      </c>
      <c r="C18" s="4">
        <v>0</v>
      </c>
      <c r="D18" s="5" t="s">
        <v>477</v>
      </c>
      <c r="E18" s="5" t="s">
        <v>478</v>
      </c>
      <c r="F18" s="4">
        <f t="shared" si="0"/>
        <v>2002</v>
      </c>
      <c r="G18" s="16">
        <v>37518</v>
      </c>
      <c r="H18" s="22" t="s">
        <v>479</v>
      </c>
      <c r="I18" s="4">
        <v>0</v>
      </c>
      <c r="J18" s="5" t="s">
        <v>491</v>
      </c>
      <c r="K18" s="74" t="s">
        <v>485</v>
      </c>
      <c r="L18" s="59">
        <v>1</v>
      </c>
      <c r="M18" s="22" t="s">
        <v>2546</v>
      </c>
      <c r="N18" s="22" t="s">
        <v>2629</v>
      </c>
      <c r="O18" s="72"/>
      <c r="P18" s="5" t="s">
        <v>492</v>
      </c>
      <c r="Q18" s="29" t="s">
        <v>493</v>
      </c>
      <c r="R18" s="6">
        <v>1</v>
      </c>
      <c r="S18" s="6">
        <v>0</v>
      </c>
      <c r="T18" s="6">
        <v>0</v>
      </c>
      <c r="U18" s="4">
        <v>1</v>
      </c>
      <c r="V18" s="4">
        <v>1</v>
      </c>
      <c r="W18" s="73">
        <v>83</v>
      </c>
      <c r="X18" s="73">
        <v>0</v>
      </c>
      <c r="Y18" s="73">
        <v>0</v>
      </c>
      <c r="Z18" s="73">
        <f t="shared" si="1"/>
        <v>83</v>
      </c>
      <c r="AA18" s="11">
        <f t="shared" si="2"/>
        <v>1</v>
      </c>
      <c r="AB18" s="11">
        <f t="shared" si="3"/>
        <v>0</v>
      </c>
      <c r="AC18" s="66">
        <f t="shared" si="4"/>
        <v>1</v>
      </c>
      <c r="AD18" s="67">
        <f t="shared" si="5"/>
        <v>1</v>
      </c>
    </row>
    <row r="19" spans="1:95" s="36" customFormat="1" ht="15.75" customHeight="1" x14ac:dyDescent="0.2">
      <c r="A19" s="21" t="s">
        <v>476</v>
      </c>
      <c r="B19" s="4">
        <v>0</v>
      </c>
      <c r="C19" s="4">
        <v>0</v>
      </c>
      <c r="D19" s="5" t="s">
        <v>477</v>
      </c>
      <c r="E19" s="5" t="s">
        <v>478</v>
      </c>
      <c r="F19" s="4">
        <f t="shared" si="0"/>
        <v>2002</v>
      </c>
      <c r="G19" s="16">
        <v>37602</v>
      </c>
      <c r="H19" s="22" t="s">
        <v>479</v>
      </c>
      <c r="I19" s="4">
        <v>0</v>
      </c>
      <c r="J19" s="5" t="s">
        <v>488</v>
      </c>
      <c r="K19" s="74" t="s">
        <v>485</v>
      </c>
      <c r="L19" s="59">
        <v>1</v>
      </c>
      <c r="M19" s="22" t="s">
        <v>129</v>
      </c>
      <c r="N19" s="22" t="s">
        <v>422</v>
      </c>
      <c r="O19" s="72"/>
      <c r="P19" s="5" t="s">
        <v>489</v>
      </c>
      <c r="Q19" s="29" t="s">
        <v>490</v>
      </c>
      <c r="R19" s="6">
        <v>1</v>
      </c>
      <c r="S19" s="6">
        <v>0</v>
      </c>
      <c r="T19" s="6">
        <v>0</v>
      </c>
      <c r="U19" s="4">
        <v>1</v>
      </c>
      <c r="V19" s="4">
        <v>0</v>
      </c>
      <c r="W19" s="73">
        <v>104</v>
      </c>
      <c r="X19" s="73">
        <v>21</v>
      </c>
      <c r="Y19" s="73">
        <v>1</v>
      </c>
      <c r="Z19" s="73">
        <f t="shared" si="1"/>
        <v>126</v>
      </c>
      <c r="AA19" s="11">
        <f t="shared" si="2"/>
        <v>0.82539682539682535</v>
      </c>
      <c r="AB19" s="11">
        <f t="shared" si="3"/>
        <v>0.16666666666666666</v>
      </c>
      <c r="AC19" s="66">
        <f t="shared" si="4"/>
        <v>0.82539682539682535</v>
      </c>
      <c r="AD19" s="67">
        <f t="shared" si="5"/>
        <v>0.73809523809523814</v>
      </c>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row>
    <row r="20" spans="1:95" ht="14.5" customHeight="1" x14ac:dyDescent="0.2">
      <c r="A20" s="21" t="s">
        <v>476</v>
      </c>
      <c r="B20" s="4">
        <v>0</v>
      </c>
      <c r="C20" s="4">
        <v>0</v>
      </c>
      <c r="D20" s="5" t="s">
        <v>477</v>
      </c>
      <c r="E20" s="5" t="s">
        <v>478</v>
      </c>
      <c r="F20" s="4">
        <f t="shared" si="0"/>
        <v>2002</v>
      </c>
      <c r="G20" s="16">
        <v>37602</v>
      </c>
      <c r="H20" s="22" t="s">
        <v>479</v>
      </c>
      <c r="I20" s="4">
        <v>0</v>
      </c>
      <c r="J20" s="5" t="s">
        <v>483</v>
      </c>
      <c r="K20" s="74" t="s">
        <v>485</v>
      </c>
      <c r="L20" s="59">
        <v>1</v>
      </c>
      <c r="M20" s="22" t="s">
        <v>2547</v>
      </c>
      <c r="N20" s="5" t="s">
        <v>2629</v>
      </c>
      <c r="O20" s="72"/>
      <c r="P20" s="5" t="s">
        <v>486</v>
      </c>
      <c r="Q20" s="29" t="s">
        <v>487</v>
      </c>
      <c r="R20" s="6">
        <v>1</v>
      </c>
      <c r="S20" s="6">
        <v>0</v>
      </c>
      <c r="T20" s="6">
        <v>0</v>
      </c>
      <c r="U20" s="4">
        <v>1</v>
      </c>
      <c r="V20" s="4">
        <v>0</v>
      </c>
      <c r="W20" s="73">
        <v>111</v>
      </c>
      <c r="X20" s="73">
        <v>0</v>
      </c>
      <c r="Y20" s="73">
        <v>11</v>
      </c>
      <c r="Z20" s="73">
        <f t="shared" si="1"/>
        <v>122</v>
      </c>
      <c r="AA20" s="11">
        <f t="shared" si="2"/>
        <v>0.9098360655737705</v>
      </c>
      <c r="AB20" s="11">
        <f t="shared" si="3"/>
        <v>0</v>
      </c>
      <c r="AC20" s="66">
        <f t="shared" si="4"/>
        <v>0.9098360655737705</v>
      </c>
      <c r="AD20" s="67">
        <f t="shared" si="5"/>
        <v>0.86475409836065575</v>
      </c>
    </row>
    <row r="21" spans="1:95" ht="14.5" customHeight="1" x14ac:dyDescent="0.2">
      <c r="A21" s="21" t="s">
        <v>476</v>
      </c>
      <c r="B21" s="4">
        <v>0</v>
      </c>
      <c r="C21" s="4">
        <v>0</v>
      </c>
      <c r="D21" s="5" t="s">
        <v>477</v>
      </c>
      <c r="E21" s="5" t="s">
        <v>478</v>
      </c>
      <c r="F21" s="4">
        <f t="shared" si="0"/>
        <v>2003</v>
      </c>
      <c r="G21" s="16">
        <v>37680</v>
      </c>
      <c r="H21" s="22" t="s">
        <v>479</v>
      </c>
      <c r="I21" s="4">
        <v>0</v>
      </c>
      <c r="J21" s="5" t="s">
        <v>494</v>
      </c>
      <c r="K21" s="74" t="s">
        <v>485</v>
      </c>
      <c r="L21" s="59">
        <v>1</v>
      </c>
      <c r="M21" s="22" t="s">
        <v>2548</v>
      </c>
      <c r="N21" t="s">
        <v>2629</v>
      </c>
      <c r="O21" s="72"/>
      <c r="P21" s="5" t="s">
        <v>495</v>
      </c>
      <c r="Q21" s="29" t="s">
        <v>496</v>
      </c>
      <c r="R21" s="6">
        <v>1</v>
      </c>
      <c r="S21" s="6">
        <v>0</v>
      </c>
      <c r="T21" s="6">
        <v>0</v>
      </c>
      <c r="U21" s="4">
        <v>1</v>
      </c>
      <c r="V21" s="4">
        <v>1</v>
      </c>
      <c r="W21" s="73">
        <v>83</v>
      </c>
      <c r="X21" s="73">
        <v>0</v>
      </c>
      <c r="Y21" s="73">
        <v>11</v>
      </c>
      <c r="Z21" s="73">
        <f t="shared" si="1"/>
        <v>94</v>
      </c>
      <c r="AA21" s="11">
        <f t="shared" si="2"/>
        <v>0.88297872340425532</v>
      </c>
      <c r="AB21" s="11">
        <f t="shared" si="3"/>
        <v>0</v>
      </c>
      <c r="AC21" s="66">
        <f t="shared" si="4"/>
        <v>0.88297872340425532</v>
      </c>
      <c r="AD21" s="67">
        <f t="shared" si="5"/>
        <v>0.82446808510638303</v>
      </c>
    </row>
    <row r="22" spans="1:95" ht="14.5" customHeight="1" x14ac:dyDescent="0.2">
      <c r="A22" s="21" t="s">
        <v>476</v>
      </c>
      <c r="B22" s="4">
        <v>0</v>
      </c>
      <c r="C22" s="4">
        <v>0</v>
      </c>
      <c r="D22" s="5" t="s">
        <v>477</v>
      </c>
      <c r="E22" s="5" t="s">
        <v>478</v>
      </c>
      <c r="F22" s="4">
        <f t="shared" si="0"/>
        <v>2003</v>
      </c>
      <c r="G22" s="16">
        <v>37895</v>
      </c>
      <c r="H22" s="22" t="s">
        <v>479</v>
      </c>
      <c r="I22" s="4">
        <v>0</v>
      </c>
      <c r="J22" s="5" t="s">
        <v>491</v>
      </c>
      <c r="K22" s="74" t="s">
        <v>485</v>
      </c>
      <c r="L22" s="59">
        <v>1</v>
      </c>
      <c r="M22" s="22" t="s">
        <v>2546</v>
      </c>
      <c r="N22" s="22" t="s">
        <v>2629</v>
      </c>
      <c r="O22" s="72"/>
      <c r="P22" s="5" t="s">
        <v>497</v>
      </c>
      <c r="Q22" s="29" t="s">
        <v>498</v>
      </c>
      <c r="R22" s="6">
        <v>1</v>
      </c>
      <c r="S22" s="6">
        <v>0</v>
      </c>
      <c r="T22" s="6">
        <v>0</v>
      </c>
      <c r="U22" s="4">
        <v>1</v>
      </c>
      <c r="V22" s="4">
        <v>1</v>
      </c>
      <c r="W22" s="73">
        <v>63</v>
      </c>
      <c r="X22" s="73">
        <v>27</v>
      </c>
      <c r="Y22" s="73">
        <v>3</v>
      </c>
      <c r="Z22" s="73">
        <f t="shared" si="1"/>
        <v>93</v>
      </c>
      <c r="AA22" s="11">
        <f t="shared" si="2"/>
        <v>0.67741935483870963</v>
      </c>
      <c r="AB22" s="11">
        <f t="shared" si="3"/>
        <v>0.29032258064516131</v>
      </c>
      <c r="AC22" s="66">
        <f t="shared" si="4"/>
        <v>0.67741935483870963</v>
      </c>
      <c r="AD22" s="67">
        <f t="shared" si="5"/>
        <v>0.5161290322580645</v>
      </c>
    </row>
    <row r="23" spans="1:95" ht="16" x14ac:dyDescent="0.2">
      <c r="A23" s="21" t="s">
        <v>476</v>
      </c>
      <c r="B23" s="4">
        <v>0</v>
      </c>
      <c r="C23" s="4">
        <v>0</v>
      </c>
      <c r="D23" s="5" t="s">
        <v>477</v>
      </c>
      <c r="E23" s="5" t="s">
        <v>478</v>
      </c>
      <c r="F23" s="4">
        <f t="shared" si="0"/>
        <v>2003</v>
      </c>
      <c r="G23" s="16">
        <v>37909</v>
      </c>
      <c r="H23" s="22" t="s">
        <v>479</v>
      </c>
      <c r="I23" s="4">
        <v>0</v>
      </c>
      <c r="J23" s="5" t="s">
        <v>499</v>
      </c>
      <c r="K23" s="74" t="s">
        <v>485</v>
      </c>
      <c r="L23" s="59">
        <v>1</v>
      </c>
      <c r="M23" s="22" t="s">
        <v>2549</v>
      </c>
      <c r="N23" s="22" t="s">
        <v>2629</v>
      </c>
      <c r="O23" s="72"/>
      <c r="P23" s="5" t="s">
        <v>500</v>
      </c>
      <c r="Q23" s="29" t="s">
        <v>501</v>
      </c>
      <c r="R23" s="6">
        <v>1</v>
      </c>
      <c r="S23" s="6">
        <v>0</v>
      </c>
      <c r="T23" s="6">
        <v>0</v>
      </c>
      <c r="U23" s="4">
        <v>1</v>
      </c>
      <c r="V23" s="4">
        <v>0</v>
      </c>
      <c r="W23" s="73">
        <v>81</v>
      </c>
      <c r="X23" s="73">
        <v>0</v>
      </c>
      <c r="Y23" s="73">
        <v>4</v>
      </c>
      <c r="Z23" s="73">
        <f t="shared" si="1"/>
        <v>85</v>
      </c>
      <c r="AA23" s="11">
        <f t="shared" si="2"/>
        <v>0.95294117647058818</v>
      </c>
      <c r="AB23" s="11">
        <f t="shared" si="3"/>
        <v>0</v>
      </c>
      <c r="AC23" s="66">
        <f t="shared" si="4"/>
        <v>0.95294117647058818</v>
      </c>
      <c r="AD23" s="67">
        <f t="shared" si="5"/>
        <v>0.92941176470588238</v>
      </c>
    </row>
    <row r="24" spans="1:95" ht="14.5" customHeight="1" x14ac:dyDescent="0.2">
      <c r="A24" s="21" t="s">
        <v>476</v>
      </c>
      <c r="B24" s="4">
        <v>0</v>
      </c>
      <c r="C24" s="4">
        <v>0</v>
      </c>
      <c r="D24" s="5" t="s">
        <v>502</v>
      </c>
      <c r="E24" s="75" t="s">
        <v>503</v>
      </c>
      <c r="F24" s="4">
        <f t="shared" si="0"/>
        <v>2004</v>
      </c>
      <c r="G24" s="16">
        <v>38170</v>
      </c>
      <c r="H24" s="22" t="s">
        <v>479</v>
      </c>
      <c r="I24" s="4">
        <v>0</v>
      </c>
      <c r="J24" s="5" t="s">
        <v>504</v>
      </c>
      <c r="K24" s="74" t="s">
        <v>485</v>
      </c>
      <c r="L24" s="59">
        <v>1</v>
      </c>
      <c r="M24" s="22" t="s">
        <v>2550</v>
      </c>
      <c r="N24" s="22" t="s">
        <v>2632</v>
      </c>
      <c r="O24" s="72"/>
      <c r="P24" s="5" t="s">
        <v>505</v>
      </c>
      <c r="Q24" s="29" t="s">
        <v>506</v>
      </c>
      <c r="R24" s="6">
        <v>1</v>
      </c>
      <c r="S24" s="6">
        <v>0</v>
      </c>
      <c r="T24" s="6">
        <v>0</v>
      </c>
      <c r="U24" s="4">
        <v>1</v>
      </c>
      <c r="V24" s="4">
        <v>0</v>
      </c>
      <c r="W24" s="73">
        <v>104</v>
      </c>
      <c r="X24" s="73">
        <v>11</v>
      </c>
      <c r="Y24" s="73">
        <v>1</v>
      </c>
      <c r="Z24" s="73">
        <f t="shared" si="1"/>
        <v>116</v>
      </c>
      <c r="AA24" s="11">
        <f t="shared" si="2"/>
        <v>0.89655172413793105</v>
      </c>
      <c r="AB24" s="11">
        <f t="shared" si="3"/>
        <v>9.4827586206896547E-2</v>
      </c>
      <c r="AC24" s="66">
        <f t="shared" si="4"/>
        <v>0.89655172413793105</v>
      </c>
      <c r="AD24" s="67">
        <f t="shared" si="5"/>
        <v>0.84482758620689657</v>
      </c>
    </row>
    <row r="25" spans="1:95" ht="14.5" customHeight="1" x14ac:dyDescent="0.2">
      <c r="A25" s="21" t="s">
        <v>476</v>
      </c>
      <c r="B25" s="4">
        <v>0</v>
      </c>
      <c r="C25" s="4">
        <v>0</v>
      </c>
      <c r="D25" s="5" t="s">
        <v>502</v>
      </c>
      <c r="E25" s="75" t="s">
        <v>503</v>
      </c>
      <c r="F25" s="4">
        <f t="shared" si="0"/>
        <v>2004</v>
      </c>
      <c r="G25" s="16">
        <v>38170</v>
      </c>
      <c r="H25" s="22" t="s">
        <v>479</v>
      </c>
      <c r="I25" s="4">
        <v>0</v>
      </c>
      <c r="J25" s="5" t="s">
        <v>507</v>
      </c>
      <c r="K25" s="74" t="s">
        <v>485</v>
      </c>
      <c r="L25" s="59">
        <v>1</v>
      </c>
      <c r="M25" s="22" t="s">
        <v>2545</v>
      </c>
      <c r="N25" t="s">
        <v>2634</v>
      </c>
      <c r="O25" s="72"/>
      <c r="P25" s="5" t="s">
        <v>508</v>
      </c>
      <c r="Q25" s="29" t="s">
        <v>509</v>
      </c>
      <c r="R25" s="6">
        <v>1</v>
      </c>
      <c r="S25" s="6">
        <v>0</v>
      </c>
      <c r="T25" s="6">
        <v>0</v>
      </c>
      <c r="U25" s="4">
        <v>1</v>
      </c>
      <c r="V25" s="4">
        <v>1</v>
      </c>
      <c r="W25" s="73">
        <v>115</v>
      </c>
      <c r="X25" s="73">
        <v>1</v>
      </c>
      <c r="Y25" s="73">
        <v>0</v>
      </c>
      <c r="Z25" s="73">
        <f t="shared" si="1"/>
        <v>116</v>
      </c>
      <c r="AA25" s="11">
        <f t="shared" si="2"/>
        <v>0.99137931034482762</v>
      </c>
      <c r="AB25" s="11">
        <f t="shared" si="3"/>
        <v>8.6206896551724137E-3</v>
      </c>
      <c r="AC25" s="66">
        <f t="shared" si="4"/>
        <v>0.99137931034482762</v>
      </c>
      <c r="AD25" s="67">
        <f t="shared" si="5"/>
        <v>0.98706896551724133</v>
      </c>
    </row>
    <row r="26" spans="1:95" ht="14.5" customHeight="1" x14ac:dyDescent="0.2">
      <c r="A26" s="21" t="s">
        <v>476</v>
      </c>
      <c r="B26" s="4">
        <v>0</v>
      </c>
      <c r="C26" s="4">
        <v>0</v>
      </c>
      <c r="D26" s="5" t="s">
        <v>502</v>
      </c>
      <c r="E26" s="5" t="s">
        <v>503</v>
      </c>
      <c r="F26" s="4">
        <f t="shared" si="0"/>
        <v>2004</v>
      </c>
      <c r="G26" s="16">
        <v>38183</v>
      </c>
      <c r="H26" s="22" t="s">
        <v>479</v>
      </c>
      <c r="I26" s="4">
        <v>0</v>
      </c>
      <c r="J26" s="5" t="s">
        <v>510</v>
      </c>
      <c r="K26" s="74" t="s">
        <v>485</v>
      </c>
      <c r="L26" s="59">
        <v>1</v>
      </c>
      <c r="M26" s="22" t="s">
        <v>119</v>
      </c>
      <c r="N26" s="22" t="s">
        <v>2637</v>
      </c>
      <c r="O26" s="5" t="s">
        <v>2881</v>
      </c>
      <c r="P26" s="5" t="s">
        <v>511</v>
      </c>
      <c r="Q26" s="29" t="s">
        <v>512</v>
      </c>
      <c r="R26" s="6">
        <v>1</v>
      </c>
      <c r="S26" s="6">
        <v>0</v>
      </c>
      <c r="T26" s="6">
        <v>0</v>
      </c>
      <c r="U26" s="4">
        <v>1</v>
      </c>
      <c r="V26" s="4">
        <v>1</v>
      </c>
      <c r="W26" s="73">
        <v>106</v>
      </c>
      <c r="X26" s="73">
        <v>0</v>
      </c>
      <c r="Y26" s="73">
        <v>0</v>
      </c>
      <c r="Z26" s="73">
        <f t="shared" si="1"/>
        <v>106</v>
      </c>
      <c r="AA26" s="11">
        <f t="shared" si="2"/>
        <v>1</v>
      </c>
      <c r="AB26" s="11">
        <f t="shared" si="3"/>
        <v>0</v>
      </c>
      <c r="AC26" s="76">
        <f t="shared" si="4"/>
        <v>1</v>
      </c>
      <c r="AD26" s="67">
        <f t="shared" si="5"/>
        <v>1</v>
      </c>
    </row>
    <row r="27" spans="1:95" ht="14.5" customHeight="1" x14ac:dyDescent="0.2">
      <c r="A27" s="21" t="s">
        <v>476</v>
      </c>
      <c r="B27" s="4">
        <v>0</v>
      </c>
      <c r="C27" s="4">
        <v>0</v>
      </c>
      <c r="D27" s="5" t="s">
        <v>502</v>
      </c>
      <c r="E27" s="5" t="s">
        <v>503</v>
      </c>
      <c r="F27" s="4">
        <f t="shared" si="0"/>
        <v>2005</v>
      </c>
      <c r="G27" s="16">
        <v>38534</v>
      </c>
      <c r="H27" s="22" t="s">
        <v>479</v>
      </c>
      <c r="I27" s="4">
        <v>0</v>
      </c>
      <c r="J27" s="5" t="s">
        <v>488</v>
      </c>
      <c r="K27" s="74" t="s">
        <v>485</v>
      </c>
      <c r="L27" s="59">
        <v>1</v>
      </c>
      <c r="M27" s="24" t="s">
        <v>129</v>
      </c>
      <c r="N27" s="22" t="s">
        <v>422</v>
      </c>
      <c r="O27" s="72"/>
      <c r="P27" s="5" t="s">
        <v>513</v>
      </c>
      <c r="Q27" s="29" t="s">
        <v>514</v>
      </c>
      <c r="R27" s="6">
        <v>1</v>
      </c>
      <c r="S27" s="6">
        <v>0</v>
      </c>
      <c r="T27" s="6">
        <v>0</v>
      </c>
      <c r="U27" s="4">
        <v>1</v>
      </c>
      <c r="V27" s="4">
        <v>0</v>
      </c>
      <c r="W27" s="73">
        <v>103</v>
      </c>
      <c r="X27" s="73">
        <v>1</v>
      </c>
      <c r="Y27" s="73">
        <v>4</v>
      </c>
      <c r="Z27" s="73">
        <f t="shared" si="1"/>
        <v>108</v>
      </c>
      <c r="AA27" s="11">
        <f t="shared" si="2"/>
        <v>0.95370370370370372</v>
      </c>
      <c r="AB27" s="11">
        <f t="shared" si="3"/>
        <v>9.2592592592592587E-3</v>
      </c>
      <c r="AC27" s="76">
        <f t="shared" si="4"/>
        <v>0.95370370370370372</v>
      </c>
      <c r="AD27" s="67">
        <f t="shared" si="5"/>
        <v>0.93055555555555558</v>
      </c>
    </row>
    <row r="28" spans="1:95" ht="14.5" customHeight="1" x14ac:dyDescent="0.2">
      <c r="A28" t="s">
        <v>476</v>
      </c>
      <c r="B28" s="4">
        <v>0</v>
      </c>
      <c r="C28" s="4">
        <v>0</v>
      </c>
      <c r="D28" s="22" t="s">
        <v>515</v>
      </c>
      <c r="E28" s="22" t="s">
        <v>516</v>
      </c>
      <c r="F28" s="4">
        <f t="shared" si="0"/>
        <v>2006</v>
      </c>
      <c r="G28" s="18">
        <v>38800</v>
      </c>
      <c r="H28" s="22" t="s">
        <v>479</v>
      </c>
      <c r="I28" s="4">
        <v>0</v>
      </c>
      <c r="J28" s="5" t="s">
        <v>510</v>
      </c>
      <c r="K28" s="74" t="s">
        <v>485</v>
      </c>
      <c r="L28" s="59">
        <v>1</v>
      </c>
      <c r="M28" s="22" t="s">
        <v>124</v>
      </c>
      <c r="N28" s="22" t="s">
        <v>2637</v>
      </c>
      <c r="O28" s="24" t="s">
        <v>2882</v>
      </c>
      <c r="P28" s="22" t="s">
        <v>517</v>
      </c>
      <c r="Q28" s="29" t="s">
        <v>518</v>
      </c>
      <c r="R28" s="17">
        <v>1</v>
      </c>
      <c r="S28" s="6">
        <v>0</v>
      </c>
      <c r="T28" s="6">
        <v>0</v>
      </c>
      <c r="U28" s="17">
        <v>1</v>
      </c>
      <c r="V28" s="4">
        <v>1</v>
      </c>
      <c r="W28" s="17">
        <v>102</v>
      </c>
      <c r="X28" s="17">
        <v>0</v>
      </c>
      <c r="Y28" s="17">
        <v>0</v>
      </c>
      <c r="Z28" s="73">
        <f t="shared" si="1"/>
        <v>102</v>
      </c>
      <c r="AA28" s="11">
        <f t="shared" si="2"/>
        <v>1</v>
      </c>
      <c r="AB28" s="11">
        <f t="shared" si="3"/>
        <v>0</v>
      </c>
      <c r="AC28" s="76">
        <f t="shared" si="4"/>
        <v>1</v>
      </c>
      <c r="AD28" s="67">
        <f t="shared" si="5"/>
        <v>1</v>
      </c>
    </row>
    <row r="29" spans="1:95" ht="14.5" customHeight="1" x14ac:dyDescent="0.2">
      <c r="A29" t="s">
        <v>476</v>
      </c>
      <c r="B29" s="4">
        <v>0</v>
      </c>
      <c r="C29" s="4">
        <v>0</v>
      </c>
      <c r="D29" s="22" t="s">
        <v>515</v>
      </c>
      <c r="E29" s="22" t="s">
        <v>516</v>
      </c>
      <c r="F29" s="4">
        <f t="shared" si="0"/>
        <v>2006</v>
      </c>
      <c r="G29" s="18">
        <v>39059</v>
      </c>
      <c r="H29" s="22" t="s">
        <v>479</v>
      </c>
      <c r="I29" s="4">
        <v>0</v>
      </c>
      <c r="J29" s="5" t="s">
        <v>521</v>
      </c>
      <c r="K29" s="74" t="s">
        <v>485</v>
      </c>
      <c r="L29" s="59">
        <v>1</v>
      </c>
      <c r="M29" s="22" t="s">
        <v>2551</v>
      </c>
      <c r="N29" s="22" t="s">
        <v>2627</v>
      </c>
      <c r="O29" s="29"/>
      <c r="P29" s="22" t="s">
        <v>522</v>
      </c>
      <c r="Q29" s="29" t="s">
        <v>523</v>
      </c>
      <c r="R29" s="17">
        <v>1</v>
      </c>
      <c r="S29" s="6">
        <v>0</v>
      </c>
      <c r="T29" s="6">
        <v>0</v>
      </c>
      <c r="U29" s="17">
        <v>1</v>
      </c>
      <c r="V29" s="4">
        <v>0</v>
      </c>
      <c r="W29" s="73">
        <v>104</v>
      </c>
      <c r="X29" s="73">
        <v>0</v>
      </c>
      <c r="Y29" s="73">
        <v>0</v>
      </c>
      <c r="Z29" s="73">
        <f t="shared" si="1"/>
        <v>104</v>
      </c>
      <c r="AA29" s="11">
        <f t="shared" si="2"/>
        <v>1</v>
      </c>
      <c r="AB29" s="11">
        <f t="shared" si="3"/>
        <v>0</v>
      </c>
      <c r="AC29" s="76">
        <f t="shared" si="4"/>
        <v>1</v>
      </c>
      <c r="AD29" s="67">
        <f t="shared" si="5"/>
        <v>1</v>
      </c>
    </row>
    <row r="30" spans="1:95" ht="14.5" customHeight="1" x14ac:dyDescent="0.2">
      <c r="A30" t="s">
        <v>476</v>
      </c>
      <c r="B30" s="4">
        <v>0</v>
      </c>
      <c r="C30" s="4">
        <v>0</v>
      </c>
      <c r="D30" s="22" t="s">
        <v>515</v>
      </c>
      <c r="E30" s="22" t="s">
        <v>516</v>
      </c>
      <c r="F30" s="4">
        <f t="shared" si="0"/>
        <v>2006</v>
      </c>
      <c r="G30" s="18">
        <v>39059</v>
      </c>
      <c r="H30" s="22" t="s">
        <v>479</v>
      </c>
      <c r="I30" s="4">
        <v>0</v>
      </c>
      <c r="J30" s="5" t="s">
        <v>488</v>
      </c>
      <c r="K30" s="74" t="s">
        <v>485</v>
      </c>
      <c r="L30" s="59">
        <v>1</v>
      </c>
      <c r="M30" s="22" t="s">
        <v>129</v>
      </c>
      <c r="N30" s="22" t="s">
        <v>422</v>
      </c>
      <c r="O30" s="29"/>
      <c r="P30" s="22" t="s">
        <v>519</v>
      </c>
      <c r="Q30" s="29" t="s">
        <v>520</v>
      </c>
      <c r="R30" s="17">
        <v>1</v>
      </c>
      <c r="S30" s="6">
        <v>0</v>
      </c>
      <c r="T30" s="6">
        <v>0</v>
      </c>
      <c r="U30" s="17">
        <v>1</v>
      </c>
      <c r="V30" s="4">
        <v>1</v>
      </c>
      <c r="W30" s="73">
        <v>102</v>
      </c>
      <c r="X30" s="73">
        <v>1</v>
      </c>
      <c r="Y30" s="73">
        <v>2</v>
      </c>
      <c r="Z30" s="73">
        <f t="shared" si="1"/>
        <v>105</v>
      </c>
      <c r="AA30" s="11">
        <f t="shared" si="2"/>
        <v>0.97142857142857142</v>
      </c>
      <c r="AB30" s="11">
        <f t="shared" si="3"/>
        <v>9.5238095238095247E-3</v>
      </c>
      <c r="AC30" s="76">
        <f t="shared" si="4"/>
        <v>0.97142857142857142</v>
      </c>
      <c r="AD30" s="67">
        <f t="shared" si="5"/>
        <v>0.95714285714285718</v>
      </c>
      <c r="AF30" s="36"/>
    </row>
    <row r="31" spans="1:95" ht="14.5" customHeight="1" x14ac:dyDescent="0.2">
      <c r="A31" t="s">
        <v>476</v>
      </c>
      <c r="B31" s="4">
        <v>0</v>
      </c>
      <c r="C31" s="4">
        <v>0</v>
      </c>
      <c r="D31" s="22" t="s">
        <v>515</v>
      </c>
      <c r="E31" s="22" t="s">
        <v>516</v>
      </c>
      <c r="F31" s="4">
        <f t="shared" si="0"/>
        <v>2007</v>
      </c>
      <c r="G31" s="18">
        <v>39220</v>
      </c>
      <c r="H31" s="22" t="s">
        <v>479</v>
      </c>
      <c r="I31" s="4">
        <v>0</v>
      </c>
      <c r="J31" s="5" t="s">
        <v>510</v>
      </c>
      <c r="K31" s="74" t="s">
        <v>485</v>
      </c>
      <c r="L31" s="59">
        <v>1</v>
      </c>
      <c r="M31" s="22" t="s">
        <v>135</v>
      </c>
      <c r="N31" s="22" t="s">
        <v>2637</v>
      </c>
      <c r="O31" s="24" t="s">
        <v>2883</v>
      </c>
      <c r="P31" s="22" t="s">
        <v>524</v>
      </c>
      <c r="Q31" s="29" t="s">
        <v>525</v>
      </c>
      <c r="R31" s="17">
        <v>1</v>
      </c>
      <c r="S31" s="6">
        <v>0</v>
      </c>
      <c r="T31" s="6">
        <v>0</v>
      </c>
      <c r="U31" s="17">
        <v>1</v>
      </c>
      <c r="V31" s="4">
        <v>1</v>
      </c>
      <c r="W31" s="17">
        <v>106</v>
      </c>
      <c r="X31" s="17">
        <v>1</v>
      </c>
      <c r="Y31" s="17">
        <v>2</v>
      </c>
      <c r="Z31" s="73">
        <f t="shared" si="1"/>
        <v>109</v>
      </c>
      <c r="AA31" s="11">
        <f t="shared" si="2"/>
        <v>0.97247706422018354</v>
      </c>
      <c r="AB31" s="11">
        <f t="shared" si="3"/>
        <v>9.1743119266055051E-3</v>
      </c>
      <c r="AC31" s="76">
        <f t="shared" si="4"/>
        <v>0.97247706422018354</v>
      </c>
      <c r="AD31" s="67">
        <f t="shared" si="5"/>
        <v>0.95871559633027525</v>
      </c>
    </row>
    <row r="32" spans="1:95" ht="14.5" customHeight="1" x14ac:dyDescent="0.2">
      <c r="A32" t="s">
        <v>476</v>
      </c>
      <c r="B32" s="4">
        <v>0</v>
      </c>
      <c r="C32" s="4">
        <v>0</v>
      </c>
      <c r="D32" s="22" t="s">
        <v>515</v>
      </c>
      <c r="E32" s="22" t="s">
        <v>516</v>
      </c>
      <c r="F32" s="4">
        <f t="shared" si="0"/>
        <v>2007</v>
      </c>
      <c r="G32" s="18">
        <v>39276</v>
      </c>
      <c r="H32" s="22" t="s">
        <v>479</v>
      </c>
      <c r="I32" s="4">
        <v>0</v>
      </c>
      <c r="J32" s="5" t="s">
        <v>510</v>
      </c>
      <c r="K32" s="74" t="s">
        <v>485</v>
      </c>
      <c r="L32" s="59">
        <v>1</v>
      </c>
      <c r="M32" s="22" t="s">
        <v>2885</v>
      </c>
      <c r="N32" s="22" t="s">
        <v>2637</v>
      </c>
      <c r="O32" s="24" t="s">
        <v>2884</v>
      </c>
      <c r="P32" s="22" t="s">
        <v>526</v>
      </c>
      <c r="Q32" s="29" t="s">
        <v>527</v>
      </c>
      <c r="R32" s="17">
        <v>1</v>
      </c>
      <c r="S32" s="6">
        <v>0</v>
      </c>
      <c r="T32" s="6">
        <v>0</v>
      </c>
      <c r="U32" s="17">
        <v>1</v>
      </c>
      <c r="V32" s="4">
        <v>1</v>
      </c>
      <c r="W32" s="17">
        <v>107</v>
      </c>
      <c r="X32" s="17">
        <v>1</v>
      </c>
      <c r="Y32" s="17">
        <v>4</v>
      </c>
      <c r="Z32" s="73">
        <f t="shared" si="1"/>
        <v>112</v>
      </c>
      <c r="AA32" s="11">
        <f t="shared" si="2"/>
        <v>0.9553571428571429</v>
      </c>
      <c r="AB32" s="11">
        <f t="shared" si="3"/>
        <v>8.9285714285714281E-3</v>
      </c>
      <c r="AC32" s="76">
        <f t="shared" si="4"/>
        <v>0.9553571428571429</v>
      </c>
      <c r="AD32" s="67">
        <f t="shared" si="5"/>
        <v>0.9330357142857143</v>
      </c>
    </row>
    <row r="33" spans="1:95" ht="14.5" customHeight="1" x14ac:dyDescent="0.2">
      <c r="A33" t="s">
        <v>476</v>
      </c>
      <c r="B33" s="4">
        <v>0</v>
      </c>
      <c r="C33" s="4">
        <v>1</v>
      </c>
      <c r="D33" s="22" t="s">
        <v>528</v>
      </c>
      <c r="E33" s="22" t="s">
        <v>529</v>
      </c>
      <c r="F33" s="4">
        <f t="shared" ref="F33:F64" si="6">YEAR(G33)</f>
        <v>2008</v>
      </c>
      <c r="G33" s="18">
        <v>39535</v>
      </c>
      <c r="H33" s="22" t="s">
        <v>479</v>
      </c>
      <c r="I33" s="4">
        <v>0</v>
      </c>
      <c r="J33" s="5" t="s">
        <v>530</v>
      </c>
      <c r="K33" s="74" t="s">
        <v>485</v>
      </c>
      <c r="L33" s="59">
        <v>1</v>
      </c>
      <c r="M33" s="24" t="s">
        <v>2552</v>
      </c>
      <c r="N33" s="24" t="s">
        <v>2121</v>
      </c>
      <c r="O33" s="29"/>
      <c r="P33" s="22" t="s">
        <v>531</v>
      </c>
      <c r="Q33" s="29" t="s">
        <v>532</v>
      </c>
      <c r="R33" s="17">
        <v>1</v>
      </c>
      <c r="S33" s="6">
        <v>0</v>
      </c>
      <c r="T33" s="6">
        <v>0</v>
      </c>
      <c r="U33" s="17">
        <v>1</v>
      </c>
      <c r="V33" s="4">
        <v>0</v>
      </c>
      <c r="W33" s="17">
        <v>104</v>
      </c>
      <c r="X33" s="17">
        <v>0</v>
      </c>
      <c r="Y33" s="17">
        <v>10</v>
      </c>
      <c r="Z33" s="73">
        <f t="shared" si="1"/>
        <v>114</v>
      </c>
      <c r="AA33" s="11">
        <f t="shared" si="2"/>
        <v>0.91228070175438591</v>
      </c>
      <c r="AB33" s="11">
        <f t="shared" si="3"/>
        <v>0</v>
      </c>
      <c r="AC33" s="76">
        <f t="shared" si="4"/>
        <v>0.91228070175438591</v>
      </c>
      <c r="AD33" s="67">
        <f t="shared" si="5"/>
        <v>0.86842105263157898</v>
      </c>
    </row>
    <row r="34" spans="1:95" ht="14.5" customHeight="1" x14ac:dyDescent="0.2">
      <c r="A34" t="s">
        <v>476</v>
      </c>
      <c r="B34" s="4">
        <v>0</v>
      </c>
      <c r="C34" s="4">
        <v>1</v>
      </c>
      <c r="D34" s="22" t="s">
        <v>528</v>
      </c>
      <c r="E34" s="22" t="s">
        <v>529</v>
      </c>
      <c r="F34" s="4">
        <f t="shared" si="6"/>
        <v>2008</v>
      </c>
      <c r="G34" s="18">
        <v>39644</v>
      </c>
      <c r="H34" s="22" t="s">
        <v>479</v>
      </c>
      <c r="I34" s="4">
        <v>0</v>
      </c>
      <c r="J34" s="5" t="s">
        <v>533</v>
      </c>
      <c r="K34" s="74" t="s">
        <v>485</v>
      </c>
      <c r="L34" s="59">
        <v>1</v>
      </c>
      <c r="M34" s="24" t="s">
        <v>706</v>
      </c>
      <c r="N34" s="22" t="s">
        <v>2629</v>
      </c>
      <c r="O34" s="29"/>
      <c r="P34" s="22" t="s">
        <v>534</v>
      </c>
      <c r="Q34" s="29" t="s">
        <v>535</v>
      </c>
      <c r="R34" s="17">
        <v>1</v>
      </c>
      <c r="S34" s="6">
        <v>0</v>
      </c>
      <c r="T34" s="6">
        <v>0</v>
      </c>
      <c r="U34" s="17">
        <v>1</v>
      </c>
      <c r="V34" s="4">
        <v>0</v>
      </c>
      <c r="W34" s="17">
        <v>127</v>
      </c>
      <c r="X34" s="17">
        <v>0</v>
      </c>
      <c r="Y34" s="17">
        <v>0</v>
      </c>
      <c r="Z34" s="73">
        <f t="shared" si="1"/>
        <v>127</v>
      </c>
      <c r="AA34" s="11">
        <f t="shared" si="2"/>
        <v>1</v>
      </c>
      <c r="AB34" s="11">
        <f t="shared" si="3"/>
        <v>0</v>
      </c>
      <c r="AC34" s="76">
        <f t="shared" si="4"/>
        <v>1</v>
      </c>
      <c r="AD34" s="67">
        <f t="shared" si="5"/>
        <v>1</v>
      </c>
    </row>
    <row r="35" spans="1:95" ht="14.5" customHeight="1" x14ac:dyDescent="0.2">
      <c r="A35" t="s">
        <v>476</v>
      </c>
      <c r="B35" s="4">
        <v>0</v>
      </c>
      <c r="C35" s="4">
        <v>1</v>
      </c>
      <c r="D35" s="22" t="s">
        <v>528</v>
      </c>
      <c r="E35" s="22" t="s">
        <v>529</v>
      </c>
      <c r="F35" s="4">
        <f t="shared" si="6"/>
        <v>2008</v>
      </c>
      <c r="G35" s="18">
        <v>39644</v>
      </c>
      <c r="H35" s="22" t="s">
        <v>479</v>
      </c>
      <c r="I35" s="4">
        <v>0</v>
      </c>
      <c r="J35" s="33" t="s">
        <v>488</v>
      </c>
      <c r="K35" s="74" t="s">
        <v>485</v>
      </c>
      <c r="L35" s="59">
        <v>1</v>
      </c>
      <c r="M35" s="22" t="s">
        <v>129</v>
      </c>
      <c r="N35" s="22" t="s">
        <v>422</v>
      </c>
      <c r="O35" s="29"/>
      <c r="P35" s="22" t="s">
        <v>536</v>
      </c>
      <c r="Q35" s="29" t="s">
        <v>537</v>
      </c>
      <c r="R35" s="17">
        <v>1</v>
      </c>
      <c r="S35" s="77">
        <v>0</v>
      </c>
      <c r="T35" s="77">
        <v>0</v>
      </c>
      <c r="U35" s="17">
        <v>1</v>
      </c>
      <c r="V35" s="78">
        <v>1</v>
      </c>
      <c r="W35" s="17">
        <v>123</v>
      </c>
      <c r="X35" s="17">
        <v>1</v>
      </c>
      <c r="Y35" s="17">
        <v>4</v>
      </c>
      <c r="Z35" s="73">
        <f t="shared" si="1"/>
        <v>128</v>
      </c>
      <c r="AA35" s="11">
        <f t="shared" si="2"/>
        <v>0.9609375</v>
      </c>
      <c r="AB35" s="11">
        <f t="shared" si="3"/>
        <v>7.8125E-3</v>
      </c>
      <c r="AC35" s="66">
        <f t="shared" si="4"/>
        <v>0.9609375</v>
      </c>
      <c r="AD35" s="67">
        <f t="shared" si="5"/>
        <v>0.94140625</v>
      </c>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row>
    <row r="36" spans="1:95" ht="14.5" customHeight="1" x14ac:dyDescent="0.2">
      <c r="A36" t="s">
        <v>476</v>
      </c>
      <c r="B36" s="4">
        <v>0</v>
      </c>
      <c r="C36" s="4">
        <v>1</v>
      </c>
      <c r="D36" s="22" t="s">
        <v>528</v>
      </c>
      <c r="E36" s="22" t="s">
        <v>529</v>
      </c>
      <c r="F36" s="4">
        <f t="shared" si="6"/>
        <v>2008</v>
      </c>
      <c r="G36" s="18">
        <v>39644</v>
      </c>
      <c r="H36" s="22" t="s">
        <v>479</v>
      </c>
      <c r="I36" s="4">
        <v>0</v>
      </c>
      <c r="J36" s="33" t="s">
        <v>538</v>
      </c>
      <c r="K36" s="74" t="s">
        <v>485</v>
      </c>
      <c r="L36" s="59">
        <v>1</v>
      </c>
      <c r="M36" s="24" t="s">
        <v>165</v>
      </c>
      <c r="N36" s="24" t="s">
        <v>2630</v>
      </c>
      <c r="O36" s="29"/>
      <c r="P36" s="22" t="s">
        <v>539</v>
      </c>
      <c r="Q36" s="29" t="s">
        <v>540</v>
      </c>
      <c r="R36" s="17">
        <v>1</v>
      </c>
      <c r="S36" s="77">
        <v>0</v>
      </c>
      <c r="T36" s="77">
        <v>0</v>
      </c>
      <c r="U36" s="17">
        <v>1</v>
      </c>
      <c r="V36" s="78">
        <v>1</v>
      </c>
      <c r="W36" s="17">
        <v>120</v>
      </c>
      <c r="X36" s="17">
        <v>0</v>
      </c>
      <c r="Y36" s="17">
        <v>6</v>
      </c>
      <c r="Z36" s="73">
        <f t="shared" si="1"/>
        <v>126</v>
      </c>
      <c r="AA36" s="11">
        <f t="shared" si="2"/>
        <v>0.95238095238095233</v>
      </c>
      <c r="AB36" s="11">
        <f t="shared" si="3"/>
        <v>0</v>
      </c>
      <c r="AC36" s="66">
        <f t="shared" si="4"/>
        <v>0.95238095238095233</v>
      </c>
      <c r="AD36" s="67">
        <f t="shared" si="5"/>
        <v>0.9285714285714286</v>
      </c>
    </row>
    <row r="37" spans="1:95" ht="14.5" customHeight="1" x14ac:dyDescent="0.2">
      <c r="A37" t="s">
        <v>476</v>
      </c>
      <c r="B37" s="4">
        <v>0</v>
      </c>
      <c r="C37" s="4">
        <v>1</v>
      </c>
      <c r="D37" s="22" t="s">
        <v>528</v>
      </c>
      <c r="E37" s="22" t="s">
        <v>529</v>
      </c>
      <c r="F37" s="4">
        <f t="shared" si="6"/>
        <v>2008</v>
      </c>
      <c r="G37" s="18">
        <v>39797</v>
      </c>
      <c r="H37" s="22" t="s">
        <v>479</v>
      </c>
      <c r="I37" s="4">
        <v>0</v>
      </c>
      <c r="J37" s="5" t="s">
        <v>510</v>
      </c>
      <c r="K37" s="74" t="s">
        <v>485</v>
      </c>
      <c r="L37" s="59">
        <v>1</v>
      </c>
      <c r="M37" s="22" t="s">
        <v>2887</v>
      </c>
      <c r="N37" s="22" t="s">
        <v>2637</v>
      </c>
      <c r="O37" s="24" t="s">
        <v>2886</v>
      </c>
      <c r="P37" s="22" t="s">
        <v>541</v>
      </c>
      <c r="Q37" s="29" t="s">
        <v>542</v>
      </c>
      <c r="R37" s="17">
        <v>1</v>
      </c>
      <c r="S37" s="77">
        <v>0</v>
      </c>
      <c r="T37" s="77">
        <v>0</v>
      </c>
      <c r="U37" s="17">
        <v>1</v>
      </c>
      <c r="V37" s="78">
        <v>1</v>
      </c>
      <c r="W37" s="17">
        <v>119</v>
      </c>
      <c r="X37" s="17">
        <v>0</v>
      </c>
      <c r="Y37" s="17">
        <v>0</v>
      </c>
      <c r="Z37" s="73">
        <f t="shared" si="1"/>
        <v>119</v>
      </c>
      <c r="AA37" s="11">
        <f t="shared" si="2"/>
        <v>1</v>
      </c>
      <c r="AB37" s="11">
        <f t="shared" si="3"/>
        <v>0</v>
      </c>
      <c r="AC37" s="66">
        <f t="shared" si="4"/>
        <v>1</v>
      </c>
      <c r="AD37" s="67">
        <f t="shared" si="5"/>
        <v>1</v>
      </c>
    </row>
    <row r="38" spans="1:95" ht="14.5" customHeight="1" x14ac:dyDescent="0.2">
      <c r="A38" t="s">
        <v>476</v>
      </c>
      <c r="B38" s="4">
        <v>0</v>
      </c>
      <c r="C38" s="4">
        <v>1</v>
      </c>
      <c r="D38" s="22" t="s">
        <v>528</v>
      </c>
      <c r="E38" s="22" t="s">
        <v>529</v>
      </c>
      <c r="F38" s="4">
        <f t="shared" si="6"/>
        <v>2009</v>
      </c>
      <c r="G38" s="18">
        <v>39864</v>
      </c>
      <c r="H38" s="22" t="s">
        <v>479</v>
      </c>
      <c r="I38" s="4">
        <v>0</v>
      </c>
      <c r="J38" s="5" t="s">
        <v>543</v>
      </c>
      <c r="K38" s="74" t="s">
        <v>485</v>
      </c>
      <c r="L38" s="59">
        <v>1</v>
      </c>
      <c r="M38" s="24" t="s">
        <v>2553</v>
      </c>
      <c r="N38" s="5" t="s">
        <v>2629</v>
      </c>
      <c r="O38" s="29"/>
      <c r="P38" s="22" t="s">
        <v>544</v>
      </c>
      <c r="Q38" s="29" t="s">
        <v>545</v>
      </c>
      <c r="R38" s="17">
        <v>1</v>
      </c>
      <c r="S38" s="77">
        <v>0</v>
      </c>
      <c r="T38" s="77">
        <v>0</v>
      </c>
      <c r="U38" s="17">
        <v>1</v>
      </c>
      <c r="V38" s="78">
        <v>0</v>
      </c>
      <c r="W38" s="17">
        <v>117</v>
      </c>
      <c r="X38" s="17">
        <v>0</v>
      </c>
      <c r="Y38" s="17">
        <v>0</v>
      </c>
      <c r="Z38" s="73">
        <f t="shared" si="1"/>
        <v>117</v>
      </c>
      <c r="AA38" s="11">
        <f t="shared" si="2"/>
        <v>1</v>
      </c>
      <c r="AB38" s="11">
        <f t="shared" si="3"/>
        <v>0</v>
      </c>
      <c r="AC38" s="66">
        <f t="shared" si="4"/>
        <v>1</v>
      </c>
      <c r="AD38" s="67">
        <f t="shared" si="5"/>
        <v>1</v>
      </c>
    </row>
    <row r="39" spans="1:95" ht="14.5" customHeight="1" x14ac:dyDescent="0.2">
      <c r="A39" t="s">
        <v>476</v>
      </c>
      <c r="B39" s="4">
        <v>1</v>
      </c>
      <c r="C39" s="17">
        <v>1</v>
      </c>
      <c r="D39" s="22" t="s">
        <v>546</v>
      </c>
      <c r="E39" s="22" t="s">
        <v>547</v>
      </c>
      <c r="F39" s="4">
        <f t="shared" si="6"/>
        <v>2009</v>
      </c>
      <c r="G39" s="18">
        <v>39906</v>
      </c>
      <c r="H39" s="22" t="s">
        <v>479</v>
      </c>
      <c r="I39" s="4">
        <v>0</v>
      </c>
      <c r="J39" s="5" t="s">
        <v>548</v>
      </c>
      <c r="K39" s="74" t="s">
        <v>485</v>
      </c>
      <c r="L39" s="59">
        <v>1</v>
      </c>
      <c r="M39" s="22" t="s">
        <v>2860</v>
      </c>
      <c r="N39" s="54" t="s">
        <v>2631</v>
      </c>
      <c r="O39" s="29"/>
      <c r="P39" s="79" t="s">
        <v>549</v>
      </c>
      <c r="Q39" s="29" t="s">
        <v>550</v>
      </c>
      <c r="R39" s="17">
        <v>1</v>
      </c>
      <c r="S39" s="77">
        <v>0</v>
      </c>
      <c r="T39" s="77">
        <v>0</v>
      </c>
      <c r="U39" s="17">
        <v>1</v>
      </c>
      <c r="V39" s="78">
        <v>0</v>
      </c>
      <c r="W39" s="17">
        <v>128</v>
      </c>
      <c r="X39" s="17">
        <v>3</v>
      </c>
      <c r="Y39" s="17">
        <v>0</v>
      </c>
      <c r="Z39" s="73">
        <f t="shared" si="1"/>
        <v>131</v>
      </c>
      <c r="AA39" s="11">
        <f t="shared" si="2"/>
        <v>0.97709923664122134</v>
      </c>
      <c r="AB39" s="11">
        <f t="shared" si="3"/>
        <v>2.2900763358778626E-2</v>
      </c>
      <c r="AC39" s="66">
        <f t="shared" si="4"/>
        <v>0.97709923664122134</v>
      </c>
      <c r="AD39" s="67">
        <f t="shared" si="5"/>
        <v>0.96564885496183206</v>
      </c>
    </row>
    <row r="40" spans="1:95" ht="14.5" customHeight="1" x14ac:dyDescent="0.2">
      <c r="A40" t="s">
        <v>476</v>
      </c>
      <c r="B40" s="4">
        <v>1</v>
      </c>
      <c r="C40" s="17">
        <v>1</v>
      </c>
      <c r="D40" s="22" t="s">
        <v>546</v>
      </c>
      <c r="E40" s="22" t="s">
        <v>547</v>
      </c>
      <c r="F40" s="4">
        <f t="shared" si="6"/>
        <v>2009</v>
      </c>
      <c r="G40" s="18">
        <v>40158</v>
      </c>
      <c r="H40" s="22" t="s">
        <v>479</v>
      </c>
      <c r="I40" s="4">
        <v>0</v>
      </c>
      <c r="J40" s="5" t="s">
        <v>548</v>
      </c>
      <c r="K40" s="74" t="s">
        <v>485</v>
      </c>
      <c r="L40" s="59">
        <v>1</v>
      </c>
      <c r="M40" s="22" t="s">
        <v>2860</v>
      </c>
      <c r="N40" s="54" t="s">
        <v>2631</v>
      </c>
      <c r="O40" s="29"/>
      <c r="P40" s="22" t="s">
        <v>553</v>
      </c>
      <c r="Q40" s="29" t="s">
        <v>554</v>
      </c>
      <c r="R40" s="17">
        <v>1</v>
      </c>
      <c r="S40" s="77">
        <v>0</v>
      </c>
      <c r="T40" s="77">
        <v>0</v>
      </c>
      <c r="U40" s="17">
        <v>1</v>
      </c>
      <c r="V40" s="78">
        <v>1</v>
      </c>
      <c r="W40" s="17">
        <v>113</v>
      </c>
      <c r="X40" s="17">
        <v>1</v>
      </c>
      <c r="Y40" s="17">
        <v>1</v>
      </c>
      <c r="Z40" s="73">
        <f t="shared" si="1"/>
        <v>115</v>
      </c>
      <c r="AA40" s="11">
        <f t="shared" si="2"/>
        <v>0.9826086956521739</v>
      </c>
      <c r="AB40" s="11">
        <f t="shared" si="3"/>
        <v>8.6956521739130436E-3</v>
      </c>
      <c r="AC40" s="66">
        <f t="shared" si="4"/>
        <v>0.9826086956521739</v>
      </c>
      <c r="AD40" s="67">
        <f t="shared" si="5"/>
        <v>0.97391304347826091</v>
      </c>
    </row>
    <row r="41" spans="1:95" ht="14.5" customHeight="1" x14ac:dyDescent="0.2">
      <c r="A41" t="s">
        <v>476</v>
      </c>
      <c r="B41" s="4">
        <v>1</v>
      </c>
      <c r="C41" s="17">
        <v>1</v>
      </c>
      <c r="D41" s="22" t="s">
        <v>546</v>
      </c>
      <c r="E41" s="22" t="s">
        <v>547</v>
      </c>
      <c r="F41" s="4">
        <f t="shared" si="6"/>
        <v>2009</v>
      </c>
      <c r="G41" s="18">
        <v>40158</v>
      </c>
      <c r="H41" s="22" t="s">
        <v>479</v>
      </c>
      <c r="I41" s="4">
        <v>0</v>
      </c>
      <c r="J41" s="5" t="s">
        <v>555</v>
      </c>
      <c r="K41" s="74" t="s">
        <v>485</v>
      </c>
      <c r="L41" s="59">
        <v>1</v>
      </c>
      <c r="M41" s="22" t="s">
        <v>129</v>
      </c>
      <c r="N41" s="22" t="s">
        <v>422</v>
      </c>
      <c r="O41" s="29"/>
      <c r="P41" s="22" t="s">
        <v>556</v>
      </c>
      <c r="Q41" s="29" t="s">
        <v>557</v>
      </c>
      <c r="R41" s="17">
        <v>1</v>
      </c>
      <c r="S41" s="77">
        <v>0</v>
      </c>
      <c r="T41" s="77">
        <v>0</v>
      </c>
      <c r="U41" s="17">
        <v>1</v>
      </c>
      <c r="V41" s="78">
        <v>1</v>
      </c>
      <c r="W41" s="17">
        <v>114</v>
      </c>
      <c r="X41" s="17">
        <v>1</v>
      </c>
      <c r="Y41" s="17">
        <v>1</v>
      </c>
      <c r="Z41" s="73">
        <f t="shared" si="1"/>
        <v>116</v>
      </c>
      <c r="AA41" s="11">
        <f t="shared" si="2"/>
        <v>0.98275862068965514</v>
      </c>
      <c r="AB41" s="11">
        <f t="shared" si="3"/>
        <v>8.6206896551724137E-3</v>
      </c>
      <c r="AC41" s="66">
        <f t="shared" si="4"/>
        <v>0.98275862068965514</v>
      </c>
      <c r="AD41" s="67">
        <f t="shared" si="5"/>
        <v>0.97413793103448276</v>
      </c>
    </row>
    <row r="42" spans="1:95" ht="14.5" customHeight="1" x14ac:dyDescent="0.2">
      <c r="A42" t="s">
        <v>476</v>
      </c>
      <c r="B42" s="4">
        <v>1</v>
      </c>
      <c r="C42" s="17">
        <v>1</v>
      </c>
      <c r="D42" s="22" t="s">
        <v>546</v>
      </c>
      <c r="E42" s="22" t="s">
        <v>547</v>
      </c>
      <c r="F42" s="4">
        <f t="shared" si="6"/>
        <v>2009</v>
      </c>
      <c r="G42" s="18">
        <v>40158</v>
      </c>
      <c r="H42" s="22" t="s">
        <v>479</v>
      </c>
      <c r="I42" s="4">
        <v>0</v>
      </c>
      <c r="J42" s="5" t="s">
        <v>510</v>
      </c>
      <c r="K42" s="74" t="s">
        <v>485</v>
      </c>
      <c r="L42" s="59">
        <v>1</v>
      </c>
      <c r="M42" s="22" t="s">
        <v>2889</v>
      </c>
      <c r="N42" s="22" t="s">
        <v>2637</v>
      </c>
      <c r="O42" s="24" t="s">
        <v>2888</v>
      </c>
      <c r="P42" s="22" t="s">
        <v>551</v>
      </c>
      <c r="Q42" s="29" t="s">
        <v>552</v>
      </c>
      <c r="R42" s="17">
        <v>1</v>
      </c>
      <c r="S42" s="77">
        <v>0</v>
      </c>
      <c r="T42" s="77">
        <v>0</v>
      </c>
      <c r="U42" s="17">
        <v>1</v>
      </c>
      <c r="V42" s="78">
        <v>1</v>
      </c>
      <c r="W42" s="17">
        <v>116</v>
      </c>
      <c r="X42" s="17">
        <v>0</v>
      </c>
      <c r="Y42" s="17">
        <v>1</v>
      </c>
      <c r="Z42" s="73">
        <f t="shared" si="1"/>
        <v>117</v>
      </c>
      <c r="AA42" s="11">
        <f t="shared" si="2"/>
        <v>0.99145299145299148</v>
      </c>
      <c r="AB42" s="11">
        <f t="shared" si="3"/>
        <v>0</v>
      </c>
      <c r="AC42" s="66">
        <f t="shared" si="4"/>
        <v>0.99145299145299148</v>
      </c>
      <c r="AD42" s="67">
        <f t="shared" si="5"/>
        <v>0.98717948717948723</v>
      </c>
    </row>
    <row r="43" spans="1:95" ht="14.5" customHeight="1" x14ac:dyDescent="0.2">
      <c r="A43" t="s">
        <v>476</v>
      </c>
      <c r="B43" s="4">
        <v>1</v>
      </c>
      <c r="C43" s="17">
        <v>0</v>
      </c>
      <c r="D43" s="22" t="s">
        <v>546</v>
      </c>
      <c r="E43" s="22" t="s">
        <v>547</v>
      </c>
      <c r="F43" s="4">
        <f t="shared" si="6"/>
        <v>2010</v>
      </c>
      <c r="G43" s="18">
        <v>40298</v>
      </c>
      <c r="H43" s="22" t="s">
        <v>479</v>
      </c>
      <c r="I43" s="4">
        <v>0</v>
      </c>
      <c r="J43" s="33" t="s">
        <v>555</v>
      </c>
      <c r="K43" s="74" t="s">
        <v>485</v>
      </c>
      <c r="L43" s="59">
        <v>1</v>
      </c>
      <c r="M43" s="22" t="s">
        <v>129</v>
      </c>
      <c r="N43" s="22" t="s">
        <v>422</v>
      </c>
      <c r="O43" s="29"/>
      <c r="P43" s="22" t="s">
        <v>558</v>
      </c>
      <c r="Q43" s="29" t="s">
        <v>559</v>
      </c>
      <c r="R43" s="17">
        <v>1</v>
      </c>
      <c r="S43" s="77">
        <v>0</v>
      </c>
      <c r="T43" s="77">
        <v>0</v>
      </c>
      <c r="U43" s="17">
        <v>1</v>
      </c>
      <c r="V43" s="78">
        <v>1</v>
      </c>
      <c r="W43" s="17">
        <v>123</v>
      </c>
      <c r="X43" s="17">
        <v>0</v>
      </c>
      <c r="Y43" s="17">
        <v>3</v>
      </c>
      <c r="Z43" s="73">
        <f t="shared" si="1"/>
        <v>126</v>
      </c>
      <c r="AA43" s="11">
        <f t="shared" si="2"/>
        <v>0.97619047619047616</v>
      </c>
      <c r="AB43" s="11">
        <f t="shared" si="3"/>
        <v>0</v>
      </c>
      <c r="AC43" s="66">
        <f t="shared" si="4"/>
        <v>0.97619047619047616</v>
      </c>
      <c r="AD43" s="67">
        <f t="shared" si="5"/>
        <v>0.9642857142857143</v>
      </c>
    </row>
    <row r="44" spans="1:95" ht="14.5" customHeight="1" x14ac:dyDescent="0.2">
      <c r="A44" t="s">
        <v>476</v>
      </c>
      <c r="B44" s="4">
        <v>1</v>
      </c>
      <c r="C44" s="17">
        <v>0</v>
      </c>
      <c r="D44" s="22" t="s">
        <v>560</v>
      </c>
      <c r="E44" s="22" t="s">
        <v>561</v>
      </c>
      <c r="F44" s="4">
        <f t="shared" si="6"/>
        <v>2010</v>
      </c>
      <c r="G44" s="18">
        <v>40522</v>
      </c>
      <c r="H44" s="22" t="s">
        <v>479</v>
      </c>
      <c r="I44" s="4">
        <v>0</v>
      </c>
      <c r="J44" s="33" t="s">
        <v>548</v>
      </c>
      <c r="K44" s="74" t="s">
        <v>485</v>
      </c>
      <c r="L44" s="59">
        <v>1</v>
      </c>
      <c r="M44" s="22" t="s">
        <v>2860</v>
      </c>
      <c r="N44" s="54" t="s">
        <v>2631</v>
      </c>
      <c r="O44" s="29"/>
      <c r="P44" s="22" t="s">
        <v>564</v>
      </c>
      <c r="Q44" s="29" t="s">
        <v>565</v>
      </c>
      <c r="R44" s="17">
        <v>1</v>
      </c>
      <c r="S44" s="77">
        <v>0</v>
      </c>
      <c r="T44" s="77">
        <v>0</v>
      </c>
      <c r="U44" s="17">
        <v>1</v>
      </c>
      <c r="V44" s="78">
        <v>1</v>
      </c>
      <c r="W44" s="17">
        <v>101</v>
      </c>
      <c r="X44" s="17">
        <v>0</v>
      </c>
      <c r="Y44" s="17">
        <v>2</v>
      </c>
      <c r="Z44" s="73">
        <f t="shared" si="1"/>
        <v>103</v>
      </c>
      <c r="AA44" s="11">
        <f t="shared" si="2"/>
        <v>0.98058252427184467</v>
      </c>
      <c r="AB44" s="11">
        <f t="shared" si="3"/>
        <v>0</v>
      </c>
      <c r="AC44" s="66">
        <f t="shared" si="4"/>
        <v>0.98058252427184467</v>
      </c>
      <c r="AD44" s="67">
        <f t="shared" si="5"/>
        <v>0.970873786407767</v>
      </c>
    </row>
    <row r="45" spans="1:95" ht="14.5" customHeight="1" x14ac:dyDescent="0.2">
      <c r="A45" t="s">
        <v>476</v>
      </c>
      <c r="B45" s="4">
        <v>1</v>
      </c>
      <c r="C45" s="17">
        <v>0</v>
      </c>
      <c r="D45" s="22" t="s">
        <v>560</v>
      </c>
      <c r="E45" s="22" t="s">
        <v>561</v>
      </c>
      <c r="F45" s="4">
        <f t="shared" si="6"/>
        <v>2010</v>
      </c>
      <c r="G45" s="18">
        <v>40522</v>
      </c>
      <c r="H45" s="22" t="s">
        <v>479</v>
      </c>
      <c r="I45" s="4">
        <v>0</v>
      </c>
      <c r="J45" s="33" t="s">
        <v>555</v>
      </c>
      <c r="K45" s="74" t="s">
        <v>485</v>
      </c>
      <c r="L45" s="59">
        <v>1</v>
      </c>
      <c r="M45" s="22" t="s">
        <v>129</v>
      </c>
      <c r="N45" s="22" t="s">
        <v>422</v>
      </c>
      <c r="O45" s="29"/>
      <c r="P45" s="22" t="s">
        <v>562</v>
      </c>
      <c r="Q45" s="29" t="s">
        <v>563</v>
      </c>
      <c r="R45" s="17">
        <v>1</v>
      </c>
      <c r="S45" s="77">
        <v>0</v>
      </c>
      <c r="T45" s="77">
        <v>0</v>
      </c>
      <c r="U45" s="17">
        <v>1</v>
      </c>
      <c r="V45" s="78">
        <v>1</v>
      </c>
      <c r="W45" s="17">
        <v>100</v>
      </c>
      <c r="X45" s="17">
        <v>2</v>
      </c>
      <c r="Y45" s="17">
        <v>1</v>
      </c>
      <c r="Z45" s="73">
        <f t="shared" si="1"/>
        <v>103</v>
      </c>
      <c r="AA45" s="11">
        <f t="shared" si="2"/>
        <v>0.970873786407767</v>
      </c>
      <c r="AB45" s="11">
        <f t="shared" si="3"/>
        <v>1.9417475728155338E-2</v>
      </c>
      <c r="AC45" s="66">
        <f t="shared" si="4"/>
        <v>0.970873786407767</v>
      </c>
      <c r="AD45" s="67">
        <f t="shared" si="5"/>
        <v>0.9563106796116505</v>
      </c>
    </row>
    <row r="46" spans="1:95" ht="14.5" customHeight="1" x14ac:dyDescent="0.2">
      <c r="A46" t="s">
        <v>476</v>
      </c>
      <c r="B46" s="4">
        <v>1</v>
      </c>
      <c r="C46" s="17">
        <v>0</v>
      </c>
      <c r="D46" s="22" t="s">
        <v>560</v>
      </c>
      <c r="E46" s="22" t="s">
        <v>561</v>
      </c>
      <c r="F46" s="4">
        <f t="shared" si="6"/>
        <v>2011</v>
      </c>
      <c r="G46" s="18">
        <v>40690</v>
      </c>
      <c r="H46" s="22" t="s">
        <v>479</v>
      </c>
      <c r="I46" s="4">
        <v>0</v>
      </c>
      <c r="J46" s="5" t="s">
        <v>538</v>
      </c>
      <c r="K46" s="74" t="s">
        <v>485</v>
      </c>
      <c r="L46" s="59">
        <v>1</v>
      </c>
      <c r="M46" s="22" t="s">
        <v>165</v>
      </c>
      <c r="N46" s="24" t="s">
        <v>2630</v>
      </c>
      <c r="O46" s="29"/>
      <c r="P46" s="22" t="s">
        <v>569</v>
      </c>
      <c r="Q46" s="29" t="s">
        <v>570</v>
      </c>
      <c r="R46" s="17">
        <v>1</v>
      </c>
      <c r="S46" s="77">
        <v>0</v>
      </c>
      <c r="T46" s="77">
        <v>0</v>
      </c>
      <c r="U46" s="17">
        <v>1</v>
      </c>
      <c r="V46" s="78">
        <v>1</v>
      </c>
      <c r="W46" s="17">
        <v>106</v>
      </c>
      <c r="X46" s="17">
        <v>0</v>
      </c>
      <c r="Y46" s="17">
        <v>2</v>
      </c>
      <c r="Z46" s="73">
        <f t="shared" si="1"/>
        <v>108</v>
      </c>
      <c r="AA46" s="11">
        <f t="shared" si="2"/>
        <v>0.98148148148148151</v>
      </c>
      <c r="AB46" s="11">
        <f t="shared" si="3"/>
        <v>0</v>
      </c>
      <c r="AC46" s="66">
        <f t="shared" si="4"/>
        <v>0.98148148148148151</v>
      </c>
      <c r="AD46" s="67">
        <f t="shared" si="5"/>
        <v>0.97222222222222221</v>
      </c>
    </row>
    <row r="47" spans="1:95" ht="14.5" customHeight="1" x14ac:dyDescent="0.2">
      <c r="A47" t="s">
        <v>476</v>
      </c>
      <c r="B47" s="4">
        <v>1</v>
      </c>
      <c r="C47" s="17">
        <v>0</v>
      </c>
      <c r="D47" s="22" t="s">
        <v>560</v>
      </c>
      <c r="E47" s="22" t="s">
        <v>561</v>
      </c>
      <c r="F47" s="4">
        <f t="shared" si="6"/>
        <v>2011</v>
      </c>
      <c r="G47" s="18">
        <v>40690</v>
      </c>
      <c r="H47" s="22" t="s">
        <v>479</v>
      </c>
      <c r="I47" s="4">
        <v>0</v>
      </c>
      <c r="J47" s="5" t="s">
        <v>566</v>
      </c>
      <c r="K47" s="74" t="s">
        <v>485</v>
      </c>
      <c r="L47" s="59">
        <v>1</v>
      </c>
      <c r="M47" s="24" t="s">
        <v>2605</v>
      </c>
      <c r="N47" s="24" t="s">
        <v>2637</v>
      </c>
      <c r="O47" s="29"/>
      <c r="P47" s="22" t="s">
        <v>567</v>
      </c>
      <c r="Q47" s="29" t="s">
        <v>568</v>
      </c>
      <c r="R47" s="17">
        <v>1</v>
      </c>
      <c r="S47" s="77">
        <v>0</v>
      </c>
      <c r="T47" s="77">
        <v>0</v>
      </c>
      <c r="U47" s="17">
        <v>1</v>
      </c>
      <c r="V47" s="78">
        <v>0</v>
      </c>
      <c r="W47" s="17">
        <v>110</v>
      </c>
      <c r="X47" s="17">
        <v>0</v>
      </c>
      <c r="Y47" s="17">
        <v>0</v>
      </c>
      <c r="Z47" s="73">
        <f t="shared" si="1"/>
        <v>110</v>
      </c>
      <c r="AA47" s="11">
        <f t="shared" si="2"/>
        <v>1</v>
      </c>
      <c r="AB47" s="11">
        <f t="shared" si="3"/>
        <v>0</v>
      </c>
      <c r="AC47" s="66">
        <f t="shared" si="4"/>
        <v>1</v>
      </c>
      <c r="AD47" s="67">
        <f t="shared" si="5"/>
        <v>1</v>
      </c>
    </row>
    <row r="48" spans="1:95" ht="14.5" customHeight="1" x14ac:dyDescent="0.2">
      <c r="A48" t="s">
        <v>476</v>
      </c>
      <c r="B48" s="4">
        <v>1</v>
      </c>
      <c r="C48" s="17">
        <v>0</v>
      </c>
      <c r="D48" s="22" t="s">
        <v>560</v>
      </c>
      <c r="E48" s="22" t="s">
        <v>561</v>
      </c>
      <c r="F48" s="4">
        <f t="shared" si="6"/>
        <v>2011</v>
      </c>
      <c r="G48" s="18">
        <v>40690</v>
      </c>
      <c r="H48" s="22" t="s">
        <v>479</v>
      </c>
      <c r="I48" s="4">
        <v>0</v>
      </c>
      <c r="J48" s="5" t="s">
        <v>571</v>
      </c>
      <c r="K48" s="74" t="s">
        <v>485</v>
      </c>
      <c r="L48" s="59">
        <v>1</v>
      </c>
      <c r="M48" t="s">
        <v>949</v>
      </c>
      <c r="N48" s="48" t="s">
        <v>2629</v>
      </c>
      <c r="O48" s="29"/>
      <c r="P48" s="22" t="s">
        <v>572</v>
      </c>
      <c r="Q48" s="29" t="s">
        <v>573</v>
      </c>
      <c r="R48" s="17">
        <v>1</v>
      </c>
      <c r="S48" s="77">
        <v>0</v>
      </c>
      <c r="T48" s="77">
        <v>0</v>
      </c>
      <c r="U48" s="17">
        <v>1</v>
      </c>
      <c r="V48" s="78">
        <v>0</v>
      </c>
      <c r="W48" s="17">
        <v>106</v>
      </c>
      <c r="X48" s="17">
        <v>0</v>
      </c>
      <c r="Y48" s="17">
        <v>1</v>
      </c>
      <c r="Z48" s="73">
        <f t="shared" si="1"/>
        <v>107</v>
      </c>
      <c r="AA48" s="11">
        <f t="shared" si="2"/>
        <v>0.99065420560747663</v>
      </c>
      <c r="AB48" s="11">
        <f t="shared" si="3"/>
        <v>0</v>
      </c>
      <c r="AC48" s="66">
        <f t="shared" si="4"/>
        <v>0.99065420560747663</v>
      </c>
      <c r="AD48" s="67">
        <f t="shared" si="5"/>
        <v>0.98598130841121501</v>
      </c>
    </row>
    <row r="49" spans="1:30" ht="14.5" customHeight="1" x14ac:dyDescent="0.2">
      <c r="A49" t="s">
        <v>476</v>
      </c>
      <c r="B49" s="4">
        <v>1</v>
      </c>
      <c r="C49" s="17">
        <v>0</v>
      </c>
      <c r="D49" s="22" t="s">
        <v>560</v>
      </c>
      <c r="E49" s="22" t="s">
        <v>561</v>
      </c>
      <c r="F49" s="4">
        <f t="shared" si="6"/>
        <v>2011</v>
      </c>
      <c r="G49" s="18">
        <v>40844</v>
      </c>
      <c r="H49" s="22" t="s">
        <v>479</v>
      </c>
      <c r="I49" s="4">
        <v>0</v>
      </c>
      <c r="J49" s="5" t="s">
        <v>510</v>
      </c>
      <c r="K49" s="74" t="s">
        <v>485</v>
      </c>
      <c r="L49" s="59">
        <v>1</v>
      </c>
      <c r="M49" s="22" t="s">
        <v>2891</v>
      </c>
      <c r="N49" s="22" t="s">
        <v>2637</v>
      </c>
      <c r="O49" s="24" t="s">
        <v>2890</v>
      </c>
      <c r="P49" s="22" t="s">
        <v>574</v>
      </c>
      <c r="Q49" s="29" t="s">
        <v>575</v>
      </c>
      <c r="R49" s="17">
        <v>1</v>
      </c>
      <c r="S49" s="77">
        <v>0</v>
      </c>
      <c r="T49" s="77">
        <v>0</v>
      </c>
      <c r="U49" s="17">
        <v>1</v>
      </c>
      <c r="V49" s="78">
        <v>1</v>
      </c>
      <c r="W49" s="17">
        <v>126</v>
      </c>
      <c r="X49" s="17">
        <v>0</v>
      </c>
      <c r="Y49" s="17">
        <v>3</v>
      </c>
      <c r="Z49" s="73">
        <f t="shared" si="1"/>
        <v>129</v>
      </c>
      <c r="AA49" s="11">
        <f t="shared" si="2"/>
        <v>0.97674418604651159</v>
      </c>
      <c r="AB49" s="11">
        <f t="shared" si="3"/>
        <v>0</v>
      </c>
      <c r="AC49" s="66">
        <f t="shared" si="4"/>
        <v>0.97674418604651159</v>
      </c>
      <c r="AD49" s="67">
        <f t="shared" si="5"/>
        <v>0.96511627906976749</v>
      </c>
    </row>
    <row r="50" spans="1:30" ht="14.5" customHeight="1" x14ac:dyDescent="0.2">
      <c r="A50" t="s">
        <v>476</v>
      </c>
      <c r="B50" s="4">
        <v>1</v>
      </c>
      <c r="C50" s="17">
        <v>0</v>
      </c>
      <c r="D50" s="22" t="s">
        <v>560</v>
      </c>
      <c r="E50" s="22" t="s">
        <v>561</v>
      </c>
      <c r="F50" s="4">
        <f t="shared" si="6"/>
        <v>2012</v>
      </c>
      <c r="G50" s="18">
        <v>41033</v>
      </c>
      <c r="H50" s="22" t="s">
        <v>479</v>
      </c>
      <c r="I50" s="4">
        <v>0</v>
      </c>
      <c r="J50" s="5" t="s">
        <v>576</v>
      </c>
      <c r="K50" s="74" t="s">
        <v>485</v>
      </c>
      <c r="L50" s="59">
        <v>1</v>
      </c>
      <c r="M50" s="22" t="s">
        <v>2554</v>
      </c>
      <c r="N50" s="22" t="s">
        <v>2121</v>
      </c>
      <c r="O50" s="29"/>
      <c r="P50" s="22" t="s">
        <v>577</v>
      </c>
      <c r="Q50" s="29" t="s">
        <v>578</v>
      </c>
      <c r="R50" s="17">
        <v>1</v>
      </c>
      <c r="S50" s="77">
        <v>0</v>
      </c>
      <c r="T50" s="77">
        <v>0</v>
      </c>
      <c r="U50" s="17">
        <v>1</v>
      </c>
      <c r="V50" s="78">
        <v>0</v>
      </c>
      <c r="W50" s="17">
        <v>91</v>
      </c>
      <c r="X50" s="17">
        <v>5</v>
      </c>
      <c r="Y50" s="17">
        <v>3</v>
      </c>
      <c r="Z50" s="73">
        <f t="shared" si="1"/>
        <v>99</v>
      </c>
      <c r="AA50" s="11">
        <f t="shared" si="2"/>
        <v>0.91919191919191923</v>
      </c>
      <c r="AB50" s="11">
        <f t="shared" si="3"/>
        <v>5.0505050505050504E-2</v>
      </c>
      <c r="AC50" s="66">
        <f t="shared" si="4"/>
        <v>0.91919191919191923</v>
      </c>
      <c r="AD50" s="67">
        <f t="shared" si="5"/>
        <v>0.87878787878787878</v>
      </c>
    </row>
    <row r="51" spans="1:30" ht="14.5" customHeight="1" x14ac:dyDescent="0.2">
      <c r="A51" t="s">
        <v>476</v>
      </c>
      <c r="B51" s="4">
        <v>1</v>
      </c>
      <c r="C51" s="17">
        <v>0</v>
      </c>
      <c r="D51" s="22" t="s">
        <v>560</v>
      </c>
      <c r="E51" s="22" t="s">
        <v>561</v>
      </c>
      <c r="F51" s="4">
        <f t="shared" si="6"/>
        <v>2012</v>
      </c>
      <c r="G51" s="18">
        <v>41194</v>
      </c>
      <c r="H51" s="22" t="s">
        <v>479</v>
      </c>
      <c r="I51" s="4">
        <v>0</v>
      </c>
      <c r="J51" s="33" t="s">
        <v>555</v>
      </c>
      <c r="K51" s="74" t="s">
        <v>485</v>
      </c>
      <c r="L51" s="59">
        <v>1</v>
      </c>
      <c r="M51" s="22" t="s">
        <v>129</v>
      </c>
      <c r="N51" s="22" t="s">
        <v>422</v>
      </c>
      <c r="O51" s="29"/>
      <c r="P51" s="22" t="s">
        <v>579</v>
      </c>
      <c r="Q51" s="29" t="s">
        <v>580</v>
      </c>
      <c r="R51" s="17">
        <v>1</v>
      </c>
      <c r="S51" s="77">
        <v>0</v>
      </c>
      <c r="T51" s="77">
        <v>0</v>
      </c>
      <c r="U51" s="17">
        <v>1</v>
      </c>
      <c r="V51" s="78">
        <v>1</v>
      </c>
      <c r="W51" s="17">
        <v>108</v>
      </c>
      <c r="X51" s="17">
        <v>1</v>
      </c>
      <c r="Y51" s="17">
        <v>9</v>
      </c>
      <c r="Z51" s="73">
        <f t="shared" si="1"/>
        <v>118</v>
      </c>
      <c r="AA51" s="11">
        <f t="shared" si="2"/>
        <v>0.9152542372881356</v>
      </c>
      <c r="AB51" s="11">
        <f t="shared" si="3"/>
        <v>8.4745762711864406E-3</v>
      </c>
      <c r="AC51" s="66">
        <f t="shared" si="4"/>
        <v>0.9152542372881356</v>
      </c>
      <c r="AD51" s="67">
        <f t="shared" si="5"/>
        <v>0.8728813559322034</v>
      </c>
    </row>
    <row r="52" spans="1:30" ht="14.5" customHeight="1" x14ac:dyDescent="0.2">
      <c r="A52" t="s">
        <v>476</v>
      </c>
      <c r="B52" s="4">
        <v>1</v>
      </c>
      <c r="C52" s="17">
        <v>0</v>
      </c>
      <c r="D52" s="22" t="s">
        <v>560</v>
      </c>
      <c r="E52" s="22" t="s">
        <v>561</v>
      </c>
      <c r="F52" s="4">
        <f t="shared" si="6"/>
        <v>2012</v>
      </c>
      <c r="G52" s="18">
        <v>41250</v>
      </c>
      <c r="H52" s="22" t="s">
        <v>479</v>
      </c>
      <c r="I52" s="4">
        <v>0</v>
      </c>
      <c r="J52" s="5" t="s">
        <v>581</v>
      </c>
      <c r="K52" s="74" t="s">
        <v>485</v>
      </c>
      <c r="L52" s="59">
        <v>1</v>
      </c>
      <c r="M52" s="22" t="s">
        <v>2860</v>
      </c>
      <c r="N52" s="54" t="s">
        <v>2631</v>
      </c>
      <c r="O52" s="29"/>
      <c r="P52" s="22" t="s">
        <v>582</v>
      </c>
      <c r="Q52" s="29" t="s">
        <v>583</v>
      </c>
      <c r="R52" s="17">
        <v>1</v>
      </c>
      <c r="S52" s="77">
        <v>0</v>
      </c>
      <c r="T52" s="77">
        <v>0</v>
      </c>
      <c r="U52" s="17">
        <v>1</v>
      </c>
      <c r="V52" s="78">
        <v>1</v>
      </c>
      <c r="W52" s="17">
        <v>113</v>
      </c>
      <c r="X52" s="17">
        <v>0</v>
      </c>
      <c r="Y52" s="17">
        <v>0</v>
      </c>
      <c r="Z52" s="73">
        <f t="shared" si="1"/>
        <v>113</v>
      </c>
      <c r="AA52" s="11">
        <f t="shared" si="2"/>
        <v>1</v>
      </c>
      <c r="AB52" s="11">
        <f t="shared" si="3"/>
        <v>0</v>
      </c>
      <c r="AC52" s="66">
        <f t="shared" si="4"/>
        <v>1</v>
      </c>
      <c r="AD52" s="67">
        <f t="shared" si="5"/>
        <v>1</v>
      </c>
    </row>
    <row r="53" spans="1:30" ht="14.5" customHeight="1" x14ac:dyDescent="0.2">
      <c r="A53" t="s">
        <v>476</v>
      </c>
      <c r="B53" s="4">
        <v>1</v>
      </c>
      <c r="C53" s="17">
        <v>0</v>
      </c>
      <c r="D53" s="22" t="s">
        <v>560</v>
      </c>
      <c r="E53" s="22" t="s">
        <v>561</v>
      </c>
      <c r="F53" s="4">
        <f t="shared" si="6"/>
        <v>2012</v>
      </c>
      <c r="G53" s="18">
        <v>41250</v>
      </c>
      <c r="H53" s="22" t="s">
        <v>479</v>
      </c>
      <c r="I53" s="4">
        <v>0</v>
      </c>
      <c r="J53" s="33" t="s">
        <v>584</v>
      </c>
      <c r="K53" s="74" t="s">
        <v>485</v>
      </c>
      <c r="L53" s="59">
        <v>1</v>
      </c>
      <c r="M53" s="22" t="s">
        <v>165</v>
      </c>
      <c r="N53" s="24" t="s">
        <v>2630</v>
      </c>
      <c r="O53" s="29"/>
      <c r="P53" s="22" t="s">
        <v>585</v>
      </c>
      <c r="Q53" s="29" t="s">
        <v>586</v>
      </c>
      <c r="R53" s="17">
        <v>1</v>
      </c>
      <c r="S53" s="77">
        <v>0</v>
      </c>
      <c r="T53" s="77">
        <v>0</v>
      </c>
      <c r="U53" s="17">
        <v>1</v>
      </c>
      <c r="V53" s="78">
        <v>1</v>
      </c>
      <c r="W53" s="17">
        <v>115</v>
      </c>
      <c r="X53" s="17">
        <v>0</v>
      </c>
      <c r="Y53" s="17">
        <v>0</v>
      </c>
      <c r="Z53" s="73">
        <f t="shared" si="1"/>
        <v>115</v>
      </c>
      <c r="AA53" s="11">
        <f t="shared" si="2"/>
        <v>1</v>
      </c>
      <c r="AB53" s="11">
        <f t="shared" si="3"/>
        <v>0</v>
      </c>
      <c r="AC53" s="66">
        <f t="shared" si="4"/>
        <v>1</v>
      </c>
      <c r="AD53" s="67">
        <f t="shared" si="5"/>
        <v>1</v>
      </c>
    </row>
    <row r="54" spans="1:30" ht="14.5" customHeight="1" x14ac:dyDescent="0.2">
      <c r="A54" t="s">
        <v>476</v>
      </c>
      <c r="B54" s="4">
        <v>1</v>
      </c>
      <c r="C54" s="17">
        <v>0</v>
      </c>
      <c r="D54" s="22" t="s">
        <v>587</v>
      </c>
      <c r="E54" s="22" t="s">
        <v>588</v>
      </c>
      <c r="F54" s="4">
        <f t="shared" si="6"/>
        <v>2013</v>
      </c>
      <c r="G54" s="18">
        <v>41593</v>
      </c>
      <c r="H54" s="22" t="s">
        <v>479</v>
      </c>
      <c r="I54" s="4">
        <v>0</v>
      </c>
      <c r="J54" s="5" t="s">
        <v>589</v>
      </c>
      <c r="K54" s="74" t="s">
        <v>485</v>
      </c>
      <c r="L54" s="59">
        <v>1</v>
      </c>
      <c r="M54" s="22" t="s">
        <v>2860</v>
      </c>
      <c r="N54" s="54" t="s">
        <v>2631</v>
      </c>
      <c r="O54" s="29"/>
      <c r="P54" s="22" t="s">
        <v>590</v>
      </c>
      <c r="Q54" s="29" t="s">
        <v>591</v>
      </c>
      <c r="R54" s="17">
        <v>1</v>
      </c>
      <c r="S54" s="77">
        <v>0</v>
      </c>
      <c r="T54" s="77">
        <v>0</v>
      </c>
      <c r="U54" s="17">
        <v>1</v>
      </c>
      <c r="V54" s="78">
        <v>1</v>
      </c>
      <c r="W54" s="17">
        <v>105</v>
      </c>
      <c r="X54" s="17">
        <v>0</v>
      </c>
      <c r="Y54" s="17">
        <v>7</v>
      </c>
      <c r="Z54" s="73">
        <f t="shared" si="1"/>
        <v>112</v>
      </c>
      <c r="AA54" s="11">
        <f t="shared" si="2"/>
        <v>0.9375</v>
      </c>
      <c r="AB54" s="11">
        <f t="shared" si="3"/>
        <v>0</v>
      </c>
      <c r="AC54" s="66">
        <f t="shared" si="4"/>
        <v>0.9375</v>
      </c>
      <c r="AD54" s="67">
        <f t="shared" si="5"/>
        <v>0.90625</v>
      </c>
    </row>
    <row r="55" spans="1:30" ht="14.5" customHeight="1" x14ac:dyDescent="0.2">
      <c r="A55" t="s">
        <v>476</v>
      </c>
      <c r="B55" s="4">
        <v>1</v>
      </c>
      <c r="C55" s="17">
        <v>0</v>
      </c>
      <c r="D55" s="22" t="s">
        <v>587</v>
      </c>
      <c r="E55" s="22" t="s">
        <v>588</v>
      </c>
      <c r="F55" s="4">
        <f t="shared" si="6"/>
        <v>2013</v>
      </c>
      <c r="G55" s="18">
        <v>41593</v>
      </c>
      <c r="H55" s="22" t="s">
        <v>479</v>
      </c>
      <c r="I55" s="4">
        <v>0</v>
      </c>
      <c r="J55" s="33" t="s">
        <v>592</v>
      </c>
      <c r="K55" s="74" t="s">
        <v>485</v>
      </c>
      <c r="L55" s="59">
        <v>1</v>
      </c>
      <c r="M55" s="22" t="s">
        <v>129</v>
      </c>
      <c r="N55" s="22" t="s">
        <v>422</v>
      </c>
      <c r="O55" s="29"/>
      <c r="P55" s="22" t="s">
        <v>593</v>
      </c>
      <c r="Q55" s="29" t="s">
        <v>594</v>
      </c>
      <c r="R55" s="17">
        <v>1</v>
      </c>
      <c r="S55" s="77">
        <v>0</v>
      </c>
      <c r="T55" s="77">
        <v>0</v>
      </c>
      <c r="U55" s="17">
        <v>1</v>
      </c>
      <c r="V55" s="78">
        <v>1</v>
      </c>
      <c r="W55" s="17">
        <v>111</v>
      </c>
      <c r="X55" s="17">
        <v>0</v>
      </c>
      <c r="Y55" s="17">
        <v>0</v>
      </c>
      <c r="Z55" s="73">
        <f t="shared" si="1"/>
        <v>111</v>
      </c>
      <c r="AA55" s="11">
        <f t="shared" si="2"/>
        <v>1</v>
      </c>
      <c r="AB55" s="11">
        <f t="shared" si="3"/>
        <v>0</v>
      </c>
      <c r="AC55" s="66">
        <f t="shared" si="4"/>
        <v>1</v>
      </c>
      <c r="AD55" s="67">
        <f t="shared" si="5"/>
        <v>1</v>
      </c>
    </row>
    <row r="56" spans="1:30" ht="14.5" customHeight="1" x14ac:dyDescent="0.2">
      <c r="A56" t="s">
        <v>476</v>
      </c>
      <c r="B56" s="4">
        <v>1</v>
      </c>
      <c r="C56" s="17">
        <v>0</v>
      </c>
      <c r="D56" s="22" t="s">
        <v>587</v>
      </c>
      <c r="E56" s="22" t="s">
        <v>588</v>
      </c>
      <c r="F56" s="4">
        <f t="shared" si="6"/>
        <v>2013</v>
      </c>
      <c r="G56" s="18">
        <v>41593</v>
      </c>
      <c r="H56" s="22" t="s">
        <v>479</v>
      </c>
      <c r="I56" s="4">
        <v>0</v>
      </c>
      <c r="J56" s="33" t="s">
        <v>595</v>
      </c>
      <c r="K56" s="74" t="s">
        <v>485</v>
      </c>
      <c r="L56" s="59">
        <v>1</v>
      </c>
      <c r="M56" s="22" t="s">
        <v>165</v>
      </c>
      <c r="N56" s="24" t="s">
        <v>2630</v>
      </c>
      <c r="O56" s="29"/>
      <c r="P56" s="22" t="s">
        <v>596</v>
      </c>
      <c r="Q56" s="29" t="s">
        <v>597</v>
      </c>
      <c r="R56" s="17">
        <v>1</v>
      </c>
      <c r="S56" s="77">
        <v>0</v>
      </c>
      <c r="T56" s="77">
        <v>0</v>
      </c>
      <c r="U56" s="17">
        <v>1</v>
      </c>
      <c r="V56" s="78">
        <v>1</v>
      </c>
      <c r="W56" s="17">
        <v>111</v>
      </c>
      <c r="X56" s="17">
        <v>0</v>
      </c>
      <c r="Y56" s="17">
        <v>0</v>
      </c>
      <c r="Z56" s="73">
        <f t="shared" si="1"/>
        <v>111</v>
      </c>
      <c r="AA56" s="11">
        <f t="shared" si="2"/>
        <v>1</v>
      </c>
      <c r="AB56" s="11">
        <f t="shared" si="3"/>
        <v>0</v>
      </c>
      <c r="AC56" s="66">
        <f t="shared" si="4"/>
        <v>1</v>
      </c>
      <c r="AD56" s="67">
        <f t="shared" si="5"/>
        <v>1</v>
      </c>
    </row>
    <row r="57" spans="1:30" ht="14.5" customHeight="1" x14ac:dyDescent="0.2">
      <c r="A57" t="s">
        <v>476</v>
      </c>
      <c r="B57" s="4">
        <v>1</v>
      </c>
      <c r="C57" s="17">
        <v>0</v>
      </c>
      <c r="D57" s="22" t="s">
        <v>587</v>
      </c>
      <c r="E57" s="22" t="s">
        <v>588</v>
      </c>
      <c r="F57" s="4">
        <f t="shared" si="6"/>
        <v>2013</v>
      </c>
      <c r="G57" s="18">
        <v>41607</v>
      </c>
      <c r="H57" s="22" t="s">
        <v>479</v>
      </c>
      <c r="I57" s="4">
        <v>0</v>
      </c>
      <c r="J57" s="33" t="s">
        <v>598</v>
      </c>
      <c r="K57" s="74" t="s">
        <v>485</v>
      </c>
      <c r="L57" s="59">
        <v>1</v>
      </c>
      <c r="M57" s="22" t="s">
        <v>2893</v>
      </c>
      <c r="N57" s="22" t="s">
        <v>2637</v>
      </c>
      <c r="O57" s="24" t="s">
        <v>2892</v>
      </c>
      <c r="P57" s="22" t="s">
        <v>599</v>
      </c>
      <c r="Q57" s="29" t="s">
        <v>600</v>
      </c>
      <c r="R57" s="17">
        <v>1</v>
      </c>
      <c r="S57" s="77">
        <v>0</v>
      </c>
      <c r="T57" s="77">
        <v>0</v>
      </c>
      <c r="U57" s="17">
        <v>1</v>
      </c>
      <c r="V57" s="78">
        <v>1</v>
      </c>
      <c r="W57" s="17">
        <v>98</v>
      </c>
      <c r="X57" s="17">
        <v>0</v>
      </c>
      <c r="Y57" s="17">
        <v>0</v>
      </c>
      <c r="Z57" s="73">
        <f t="shared" si="1"/>
        <v>98</v>
      </c>
      <c r="AA57" s="11">
        <f t="shared" si="2"/>
        <v>1</v>
      </c>
      <c r="AB57" s="11">
        <f t="shared" si="3"/>
        <v>0</v>
      </c>
      <c r="AC57" s="66">
        <f t="shared" si="4"/>
        <v>1</v>
      </c>
      <c r="AD57" s="67">
        <f t="shared" si="5"/>
        <v>1</v>
      </c>
    </row>
    <row r="58" spans="1:30" ht="14.5" customHeight="1" x14ac:dyDescent="0.2">
      <c r="A58" t="s">
        <v>476</v>
      </c>
      <c r="B58" s="4">
        <v>1</v>
      </c>
      <c r="C58" s="17">
        <v>0</v>
      </c>
      <c r="D58" s="22" t="s">
        <v>587</v>
      </c>
      <c r="E58" s="22" t="s">
        <v>588</v>
      </c>
      <c r="F58" s="4">
        <f t="shared" si="6"/>
        <v>2013</v>
      </c>
      <c r="G58" s="18">
        <v>41614</v>
      </c>
      <c r="H58" s="22" t="s">
        <v>479</v>
      </c>
      <c r="I58" s="4">
        <v>0</v>
      </c>
      <c r="J58" s="33" t="s">
        <v>601</v>
      </c>
      <c r="K58" s="74" t="s">
        <v>485</v>
      </c>
      <c r="L58" s="59">
        <v>1</v>
      </c>
      <c r="M58" s="24" t="s">
        <v>2605</v>
      </c>
      <c r="N58" s="24" t="s">
        <v>2637</v>
      </c>
      <c r="O58" s="29"/>
      <c r="P58" s="22" t="s">
        <v>602</v>
      </c>
      <c r="Q58" s="29" t="s">
        <v>603</v>
      </c>
      <c r="R58" s="17">
        <v>1</v>
      </c>
      <c r="S58" s="77">
        <v>0</v>
      </c>
      <c r="T58" s="77">
        <v>0</v>
      </c>
      <c r="U58" s="17">
        <v>1</v>
      </c>
      <c r="V58" s="78">
        <v>0</v>
      </c>
      <c r="W58" s="17">
        <v>97</v>
      </c>
      <c r="X58" s="17">
        <v>0</v>
      </c>
      <c r="Y58" s="17">
        <v>0</v>
      </c>
      <c r="Z58" s="73">
        <f t="shared" si="1"/>
        <v>97</v>
      </c>
      <c r="AA58" s="11">
        <f t="shared" si="2"/>
        <v>1</v>
      </c>
      <c r="AB58" s="11">
        <f t="shared" si="3"/>
        <v>0</v>
      </c>
      <c r="AC58" s="66">
        <f t="shared" si="4"/>
        <v>1</v>
      </c>
      <c r="AD58" s="67">
        <f t="shared" si="5"/>
        <v>1</v>
      </c>
    </row>
    <row r="59" spans="1:30" ht="14.5" customHeight="1" x14ac:dyDescent="0.2">
      <c r="A59" t="s">
        <v>476</v>
      </c>
      <c r="B59" s="4">
        <v>1</v>
      </c>
      <c r="C59" s="17">
        <v>0</v>
      </c>
      <c r="D59" s="22" t="s">
        <v>587</v>
      </c>
      <c r="E59" s="22" t="s">
        <v>588</v>
      </c>
      <c r="F59" s="4">
        <f t="shared" si="6"/>
        <v>2014</v>
      </c>
      <c r="G59" s="18">
        <v>41985</v>
      </c>
      <c r="H59" s="22" t="s">
        <v>479</v>
      </c>
      <c r="I59" s="4">
        <v>0</v>
      </c>
      <c r="J59" s="33" t="s">
        <v>604</v>
      </c>
      <c r="K59" s="74" t="s">
        <v>485</v>
      </c>
      <c r="L59" s="59">
        <v>1</v>
      </c>
      <c r="M59" s="24" t="s">
        <v>2556</v>
      </c>
      <c r="N59" s="24" t="s">
        <v>2630</v>
      </c>
      <c r="O59" s="29"/>
      <c r="P59" s="22" t="s">
        <v>605</v>
      </c>
      <c r="Q59" s="29" t="s">
        <v>606</v>
      </c>
      <c r="R59" s="17">
        <v>1</v>
      </c>
      <c r="S59" s="77">
        <v>0</v>
      </c>
      <c r="T59" s="77">
        <v>0</v>
      </c>
      <c r="U59" s="17">
        <v>1</v>
      </c>
      <c r="V59" s="78">
        <v>0</v>
      </c>
      <c r="W59" s="17">
        <v>108</v>
      </c>
      <c r="X59" s="17">
        <v>0</v>
      </c>
      <c r="Y59" s="17">
        <v>0</v>
      </c>
      <c r="Z59" s="73">
        <f t="shared" si="1"/>
        <v>108</v>
      </c>
      <c r="AA59" s="11">
        <f t="shared" si="2"/>
        <v>1</v>
      </c>
      <c r="AB59" s="11">
        <f t="shared" si="3"/>
        <v>0</v>
      </c>
      <c r="AC59" s="66">
        <f t="shared" si="4"/>
        <v>1</v>
      </c>
      <c r="AD59" s="67">
        <f t="shared" si="5"/>
        <v>1</v>
      </c>
    </row>
    <row r="60" spans="1:30" ht="14.5" customHeight="1" x14ac:dyDescent="0.2">
      <c r="A60" t="s">
        <v>476</v>
      </c>
      <c r="B60" s="4">
        <v>1</v>
      </c>
      <c r="C60" s="17">
        <v>0</v>
      </c>
      <c r="D60" s="22" t="s">
        <v>587</v>
      </c>
      <c r="E60" s="22" t="s">
        <v>588</v>
      </c>
      <c r="F60" s="4">
        <f t="shared" si="6"/>
        <v>2014</v>
      </c>
      <c r="G60" s="18">
        <v>41985</v>
      </c>
      <c r="H60" s="22" t="s">
        <v>479</v>
      </c>
      <c r="I60" s="4">
        <v>0</v>
      </c>
      <c r="J60" s="5" t="s">
        <v>607</v>
      </c>
      <c r="K60" s="74" t="s">
        <v>485</v>
      </c>
      <c r="L60" s="59">
        <v>1</v>
      </c>
      <c r="M60" s="22" t="s">
        <v>2860</v>
      </c>
      <c r="N60" s="54" t="s">
        <v>2631</v>
      </c>
      <c r="O60" s="29"/>
      <c r="P60" s="22" t="s">
        <v>608</v>
      </c>
      <c r="Q60" s="29" t="s">
        <v>609</v>
      </c>
      <c r="R60" s="17">
        <v>1</v>
      </c>
      <c r="S60" s="77">
        <v>0</v>
      </c>
      <c r="T60" s="77">
        <v>0</v>
      </c>
      <c r="U60" s="17">
        <v>1</v>
      </c>
      <c r="V60" s="78">
        <v>1</v>
      </c>
      <c r="W60" s="17">
        <v>105</v>
      </c>
      <c r="X60" s="17">
        <v>0</v>
      </c>
      <c r="Y60" s="17">
        <v>0</v>
      </c>
      <c r="Z60" s="73">
        <f t="shared" si="1"/>
        <v>105</v>
      </c>
      <c r="AA60" s="11">
        <f t="shared" si="2"/>
        <v>1</v>
      </c>
      <c r="AB60" s="11">
        <f t="shared" si="3"/>
        <v>0</v>
      </c>
      <c r="AC60" s="66">
        <f t="shared" si="4"/>
        <v>1</v>
      </c>
      <c r="AD60" s="67">
        <f t="shared" si="5"/>
        <v>1</v>
      </c>
    </row>
    <row r="61" spans="1:30" ht="14.5" customHeight="1" x14ac:dyDescent="0.2">
      <c r="A61" t="s">
        <v>476</v>
      </c>
      <c r="B61" s="4">
        <v>1</v>
      </c>
      <c r="C61" s="17">
        <v>0</v>
      </c>
      <c r="D61" s="22" t="s">
        <v>587</v>
      </c>
      <c r="E61" s="22" t="s">
        <v>588</v>
      </c>
      <c r="F61" s="4">
        <f t="shared" si="6"/>
        <v>2014</v>
      </c>
      <c r="G61" s="18">
        <v>41985</v>
      </c>
      <c r="H61" s="22" t="s">
        <v>479</v>
      </c>
      <c r="I61" s="4">
        <v>0</v>
      </c>
      <c r="J61" s="5" t="s">
        <v>595</v>
      </c>
      <c r="K61" s="74" t="s">
        <v>485</v>
      </c>
      <c r="L61" s="59">
        <v>1</v>
      </c>
      <c r="M61" s="24" t="s">
        <v>165</v>
      </c>
      <c r="N61" s="24" t="s">
        <v>2630</v>
      </c>
      <c r="O61" s="29"/>
      <c r="P61" s="22" t="s">
        <v>610</v>
      </c>
      <c r="Q61" s="29" t="s">
        <v>611</v>
      </c>
      <c r="R61" s="17">
        <v>1</v>
      </c>
      <c r="S61" s="77">
        <v>0</v>
      </c>
      <c r="T61" s="77">
        <v>0</v>
      </c>
      <c r="U61" s="17">
        <v>1</v>
      </c>
      <c r="V61" s="78">
        <v>1</v>
      </c>
      <c r="W61" s="17">
        <v>113</v>
      </c>
      <c r="X61" s="17">
        <v>0</v>
      </c>
      <c r="Y61" s="17">
        <v>0</v>
      </c>
      <c r="Z61" s="73">
        <f t="shared" si="1"/>
        <v>113</v>
      </c>
      <c r="AA61" s="11">
        <f t="shared" si="2"/>
        <v>1</v>
      </c>
      <c r="AB61" s="11">
        <f t="shared" si="3"/>
        <v>0</v>
      </c>
      <c r="AC61" s="66">
        <f t="shared" si="4"/>
        <v>1</v>
      </c>
      <c r="AD61" s="67">
        <f t="shared" si="5"/>
        <v>1</v>
      </c>
    </row>
    <row r="62" spans="1:30" ht="14.5" customHeight="1" x14ac:dyDescent="0.2">
      <c r="A62" t="s">
        <v>476</v>
      </c>
      <c r="B62" s="4">
        <v>1</v>
      </c>
      <c r="C62" s="17">
        <v>0</v>
      </c>
      <c r="D62" s="22" t="s">
        <v>587</v>
      </c>
      <c r="E62" s="22" t="s">
        <v>588</v>
      </c>
      <c r="F62" s="4">
        <f t="shared" si="6"/>
        <v>2014</v>
      </c>
      <c r="G62" s="18">
        <v>41985</v>
      </c>
      <c r="H62" s="22" t="s">
        <v>479</v>
      </c>
      <c r="I62" s="4">
        <v>0</v>
      </c>
      <c r="J62" s="5" t="s">
        <v>612</v>
      </c>
      <c r="K62" s="74" t="s">
        <v>485</v>
      </c>
      <c r="L62" s="59">
        <v>1</v>
      </c>
      <c r="M62" s="24" t="s">
        <v>2555</v>
      </c>
      <c r="N62" s="22" t="s">
        <v>422</v>
      </c>
      <c r="O62" s="29"/>
      <c r="P62" s="22" t="s">
        <v>613</v>
      </c>
      <c r="Q62" s="29" t="s">
        <v>614</v>
      </c>
      <c r="R62" s="17">
        <v>1</v>
      </c>
      <c r="S62" s="77">
        <v>0</v>
      </c>
      <c r="T62" s="77">
        <v>0</v>
      </c>
      <c r="U62" s="17">
        <v>1</v>
      </c>
      <c r="V62" s="78">
        <v>0</v>
      </c>
      <c r="W62" s="17">
        <v>109</v>
      </c>
      <c r="X62" s="17">
        <v>0</v>
      </c>
      <c r="Y62" s="17">
        <v>0</v>
      </c>
      <c r="Z62" s="73">
        <f t="shared" si="1"/>
        <v>109</v>
      </c>
      <c r="AA62" s="11">
        <f t="shared" si="2"/>
        <v>1</v>
      </c>
      <c r="AB62" s="11">
        <f t="shared" si="3"/>
        <v>0</v>
      </c>
      <c r="AC62" s="66">
        <f t="shared" si="4"/>
        <v>1</v>
      </c>
      <c r="AD62" s="67">
        <f t="shared" si="5"/>
        <v>1</v>
      </c>
    </row>
    <row r="63" spans="1:30" ht="14.5" customHeight="1" x14ac:dyDescent="0.2">
      <c r="A63" t="s">
        <v>476</v>
      </c>
      <c r="B63" s="4">
        <v>1</v>
      </c>
      <c r="C63" s="17">
        <v>0</v>
      </c>
      <c r="D63" s="22" t="s">
        <v>587</v>
      </c>
      <c r="E63" s="22" t="s">
        <v>588</v>
      </c>
      <c r="F63" s="4">
        <f t="shared" si="6"/>
        <v>2015</v>
      </c>
      <c r="G63" s="18">
        <v>42272</v>
      </c>
      <c r="H63" s="22" t="s">
        <v>479</v>
      </c>
      <c r="I63" s="4">
        <v>0</v>
      </c>
      <c r="J63" s="33" t="s">
        <v>595</v>
      </c>
      <c r="K63" s="74" t="s">
        <v>485</v>
      </c>
      <c r="L63" s="59">
        <v>1</v>
      </c>
      <c r="M63" s="24" t="s">
        <v>165</v>
      </c>
      <c r="N63" s="24" t="s">
        <v>2630</v>
      </c>
      <c r="O63" s="29"/>
      <c r="P63" s="22" t="s">
        <v>617</v>
      </c>
      <c r="Q63" s="29" t="s">
        <v>618</v>
      </c>
      <c r="R63" s="17">
        <v>1</v>
      </c>
      <c r="S63" s="77">
        <v>0</v>
      </c>
      <c r="T63" s="77">
        <v>0</v>
      </c>
      <c r="U63" s="17">
        <v>1</v>
      </c>
      <c r="V63" s="78">
        <v>1</v>
      </c>
      <c r="W63" s="17">
        <v>110</v>
      </c>
      <c r="X63" s="17">
        <v>0</v>
      </c>
      <c r="Y63" s="17">
        <v>0</v>
      </c>
      <c r="Z63" s="73">
        <f t="shared" si="1"/>
        <v>110</v>
      </c>
      <c r="AA63" s="11">
        <f t="shared" si="2"/>
        <v>1</v>
      </c>
      <c r="AB63" s="11">
        <f t="shared" si="3"/>
        <v>0</v>
      </c>
      <c r="AC63" s="66">
        <f t="shared" si="4"/>
        <v>1</v>
      </c>
      <c r="AD63" s="67">
        <f t="shared" si="5"/>
        <v>1</v>
      </c>
    </row>
    <row r="64" spans="1:30" ht="14.5" customHeight="1" x14ac:dyDescent="0.2">
      <c r="A64" t="s">
        <v>476</v>
      </c>
      <c r="B64" s="4">
        <v>1</v>
      </c>
      <c r="C64" s="17">
        <v>0</v>
      </c>
      <c r="D64" s="22" t="s">
        <v>587</v>
      </c>
      <c r="E64" s="22" t="s">
        <v>588</v>
      </c>
      <c r="F64" s="4">
        <f t="shared" si="6"/>
        <v>2015</v>
      </c>
      <c r="G64" s="18">
        <v>42272</v>
      </c>
      <c r="H64" s="22" t="s">
        <v>479</v>
      </c>
      <c r="I64" s="4">
        <v>0</v>
      </c>
      <c r="J64" s="5" t="s">
        <v>598</v>
      </c>
      <c r="K64" s="74" t="s">
        <v>485</v>
      </c>
      <c r="L64" s="59">
        <v>1</v>
      </c>
      <c r="M64" s="22" t="s">
        <v>2894</v>
      </c>
      <c r="N64" s="22" t="s">
        <v>2637</v>
      </c>
      <c r="O64" s="24" t="s">
        <v>2895</v>
      </c>
      <c r="P64" s="22" t="s">
        <v>615</v>
      </c>
      <c r="Q64" s="29" t="s">
        <v>616</v>
      </c>
      <c r="R64" s="17">
        <v>1</v>
      </c>
      <c r="S64" s="77">
        <v>0</v>
      </c>
      <c r="T64" s="77">
        <v>0</v>
      </c>
      <c r="U64" s="17">
        <v>1</v>
      </c>
      <c r="V64" s="78">
        <v>1</v>
      </c>
      <c r="W64" s="17">
        <v>112</v>
      </c>
      <c r="X64" s="17">
        <v>0</v>
      </c>
      <c r="Y64" s="17">
        <v>0</v>
      </c>
      <c r="Z64" s="73">
        <f t="shared" si="1"/>
        <v>112</v>
      </c>
      <c r="AA64" s="11">
        <f t="shared" si="2"/>
        <v>1</v>
      </c>
      <c r="AB64" s="11">
        <f t="shared" si="3"/>
        <v>0</v>
      </c>
      <c r="AC64" s="66">
        <f t="shared" si="4"/>
        <v>1</v>
      </c>
      <c r="AD64" s="67">
        <f t="shared" si="5"/>
        <v>1</v>
      </c>
    </row>
    <row r="65" spans="1:30" ht="14.5" customHeight="1" x14ac:dyDescent="0.2">
      <c r="A65" t="s">
        <v>476</v>
      </c>
      <c r="B65" s="4">
        <v>1</v>
      </c>
      <c r="C65" s="17">
        <v>0</v>
      </c>
      <c r="D65" s="22" t="s">
        <v>587</v>
      </c>
      <c r="E65" s="22" t="s">
        <v>588</v>
      </c>
      <c r="F65" s="4">
        <f t="shared" ref="F65:F96" si="7">YEAR(G65)</f>
        <v>2015</v>
      </c>
      <c r="G65" s="18">
        <v>42272</v>
      </c>
      <c r="H65" s="22" t="s">
        <v>479</v>
      </c>
      <c r="I65" s="4">
        <v>0</v>
      </c>
      <c r="J65" s="33" t="s">
        <v>621</v>
      </c>
      <c r="K65" s="74" t="s">
        <v>485</v>
      </c>
      <c r="L65" s="59">
        <v>1</v>
      </c>
      <c r="M65" s="24" t="s">
        <v>2605</v>
      </c>
      <c r="N65" s="24" t="s">
        <v>2637</v>
      </c>
      <c r="O65" s="29"/>
      <c r="P65" s="22" t="s">
        <v>622</v>
      </c>
      <c r="Q65" s="29" t="s">
        <v>623</v>
      </c>
      <c r="R65" s="17">
        <v>1</v>
      </c>
      <c r="S65" s="77">
        <v>0</v>
      </c>
      <c r="T65" s="77">
        <v>0</v>
      </c>
      <c r="U65" s="17">
        <v>1</v>
      </c>
      <c r="V65" s="78">
        <v>0</v>
      </c>
      <c r="W65" s="17">
        <v>111</v>
      </c>
      <c r="X65" s="17">
        <v>3</v>
      </c>
      <c r="Y65" s="17">
        <v>0</v>
      </c>
      <c r="Z65" s="73">
        <f t="shared" si="1"/>
        <v>114</v>
      </c>
      <c r="AA65" s="11">
        <f t="shared" si="2"/>
        <v>0.97368421052631582</v>
      </c>
      <c r="AB65" s="11">
        <f t="shared" si="3"/>
        <v>2.6315789473684209E-2</v>
      </c>
      <c r="AC65" s="66">
        <f t="shared" si="4"/>
        <v>0.97368421052631582</v>
      </c>
      <c r="AD65" s="67">
        <f t="shared" si="5"/>
        <v>0.96052631578947367</v>
      </c>
    </row>
    <row r="66" spans="1:30" ht="14.5" customHeight="1" x14ac:dyDescent="0.2">
      <c r="A66" t="s">
        <v>476</v>
      </c>
      <c r="B66" s="4">
        <v>1</v>
      </c>
      <c r="C66" s="17">
        <v>0</v>
      </c>
      <c r="D66" s="22" t="s">
        <v>587</v>
      </c>
      <c r="E66" s="22" t="s">
        <v>588</v>
      </c>
      <c r="F66" s="4">
        <f t="shared" si="7"/>
        <v>2015</v>
      </c>
      <c r="G66" s="18">
        <v>42272</v>
      </c>
      <c r="H66" s="22" t="s">
        <v>479</v>
      </c>
      <c r="I66" s="4">
        <v>0</v>
      </c>
      <c r="J66" s="33" t="s">
        <v>612</v>
      </c>
      <c r="K66" s="74" t="s">
        <v>485</v>
      </c>
      <c r="L66" s="59">
        <v>1</v>
      </c>
      <c r="M66" s="24" t="s">
        <v>2555</v>
      </c>
      <c r="N66" s="22" t="s">
        <v>422</v>
      </c>
      <c r="O66" s="29"/>
      <c r="P66" s="22" t="s">
        <v>619</v>
      </c>
      <c r="Q66" s="29" t="s">
        <v>620</v>
      </c>
      <c r="R66" s="17">
        <v>1</v>
      </c>
      <c r="S66" s="77">
        <v>0</v>
      </c>
      <c r="T66" s="77">
        <v>0</v>
      </c>
      <c r="U66" s="17">
        <v>1</v>
      </c>
      <c r="V66" s="78">
        <v>1</v>
      </c>
      <c r="W66" s="17">
        <v>105</v>
      </c>
      <c r="X66" s="17">
        <v>6</v>
      </c>
      <c r="Y66" s="17">
        <v>0</v>
      </c>
      <c r="Z66" s="73">
        <f t="shared" si="1"/>
        <v>111</v>
      </c>
      <c r="AA66" s="11">
        <f t="shared" si="2"/>
        <v>0.94594594594594594</v>
      </c>
      <c r="AB66" s="11">
        <f t="shared" si="3"/>
        <v>5.4054054054054057E-2</v>
      </c>
      <c r="AC66" s="66">
        <f t="shared" si="4"/>
        <v>0.94594594594594594</v>
      </c>
      <c r="AD66" s="67">
        <f t="shared" si="5"/>
        <v>0.91891891891891897</v>
      </c>
    </row>
    <row r="67" spans="1:30" ht="14.5" customHeight="1" x14ac:dyDescent="0.2">
      <c r="A67" t="s">
        <v>476</v>
      </c>
      <c r="B67" s="4">
        <v>1</v>
      </c>
      <c r="C67" s="17">
        <v>0</v>
      </c>
      <c r="D67" s="22" t="s">
        <v>624</v>
      </c>
      <c r="E67" s="22" t="s">
        <v>625</v>
      </c>
      <c r="F67" s="4">
        <f t="shared" si="7"/>
        <v>2016</v>
      </c>
      <c r="G67" s="18">
        <v>42541</v>
      </c>
      <c r="H67" s="22" t="s">
        <v>479</v>
      </c>
      <c r="I67" s="4">
        <v>0</v>
      </c>
      <c r="J67" s="33" t="s">
        <v>626</v>
      </c>
      <c r="K67" s="74" t="s">
        <v>485</v>
      </c>
      <c r="L67" s="59">
        <v>1</v>
      </c>
      <c r="M67" s="22" t="s">
        <v>2555</v>
      </c>
      <c r="N67" s="22" t="s">
        <v>422</v>
      </c>
      <c r="O67" s="29"/>
      <c r="P67" s="22" t="s">
        <v>627</v>
      </c>
      <c r="Q67" s="29" t="s">
        <v>628</v>
      </c>
      <c r="R67" s="17">
        <v>1</v>
      </c>
      <c r="S67" s="77">
        <v>0</v>
      </c>
      <c r="T67" s="77">
        <v>0</v>
      </c>
      <c r="U67" s="17">
        <v>1</v>
      </c>
      <c r="V67" s="78">
        <v>1</v>
      </c>
      <c r="W67" s="17">
        <v>79</v>
      </c>
      <c r="X67" s="17">
        <v>3</v>
      </c>
      <c r="Y67" s="17">
        <v>5</v>
      </c>
      <c r="Z67" s="73">
        <f t="shared" ref="Z67:Z130" si="8">SUM(W67:Y67)</f>
        <v>87</v>
      </c>
      <c r="AA67" s="11">
        <f t="shared" ref="AA67:AA130" si="9">W67/Z67</f>
        <v>0.90804597701149425</v>
      </c>
      <c r="AB67" s="11">
        <f t="shared" ref="AB67:AB130" si="10">X67/Z67</f>
        <v>3.4482758620689655E-2</v>
      </c>
      <c r="AC67" s="66">
        <f t="shared" ref="AC67:AC130" si="11">IF(K67=1,AB67,AA67)</f>
        <v>0.90804597701149425</v>
      </c>
      <c r="AD67" s="67">
        <f t="shared" ref="AD67:AD130" si="12">SUM((MAX(W67,X67,Y67)-0.5*(SUM(W67+X67+Y67)-MAX(W67,X67,Y67)))/SUM(W67+X67+Y67))</f>
        <v>0.86206896551724133</v>
      </c>
    </row>
    <row r="68" spans="1:30" ht="14.5" customHeight="1" x14ac:dyDescent="0.2">
      <c r="A68" t="s">
        <v>476</v>
      </c>
      <c r="B68" s="4">
        <v>1</v>
      </c>
      <c r="C68" s="17">
        <v>0</v>
      </c>
      <c r="D68" s="22" t="s">
        <v>629</v>
      </c>
      <c r="E68" s="22" t="s">
        <v>625</v>
      </c>
      <c r="F68" s="4">
        <f t="shared" si="7"/>
        <v>2016</v>
      </c>
      <c r="G68" s="18">
        <v>42699</v>
      </c>
      <c r="H68" s="22" t="s">
        <v>479</v>
      </c>
      <c r="I68" s="4">
        <v>0</v>
      </c>
      <c r="J68" s="5" t="s">
        <v>607</v>
      </c>
      <c r="K68" s="74" t="s">
        <v>485</v>
      </c>
      <c r="L68" s="59">
        <v>1</v>
      </c>
      <c r="M68" s="22" t="s">
        <v>2860</v>
      </c>
      <c r="N68" s="54" t="s">
        <v>2631</v>
      </c>
      <c r="O68" s="29"/>
      <c r="P68" s="22" t="s">
        <v>630</v>
      </c>
      <c r="Q68" s="29" t="s">
        <v>631</v>
      </c>
      <c r="R68" s="17">
        <v>1</v>
      </c>
      <c r="S68" s="77">
        <v>0</v>
      </c>
      <c r="T68" s="77">
        <v>0</v>
      </c>
      <c r="U68" s="17">
        <v>1</v>
      </c>
      <c r="V68" s="78">
        <v>1</v>
      </c>
      <c r="W68" s="17">
        <v>105</v>
      </c>
      <c r="X68" s="17">
        <v>0</v>
      </c>
      <c r="Y68" s="17">
        <v>4</v>
      </c>
      <c r="Z68" s="73">
        <f t="shared" si="8"/>
        <v>109</v>
      </c>
      <c r="AA68" s="11">
        <f t="shared" si="9"/>
        <v>0.96330275229357798</v>
      </c>
      <c r="AB68" s="11">
        <f t="shared" si="10"/>
        <v>0</v>
      </c>
      <c r="AC68" s="66">
        <f t="shared" si="11"/>
        <v>0.96330275229357798</v>
      </c>
      <c r="AD68" s="67">
        <f t="shared" si="12"/>
        <v>0.94495412844036697</v>
      </c>
    </row>
    <row r="69" spans="1:30" ht="14.5" customHeight="1" x14ac:dyDescent="0.2">
      <c r="A69" t="s">
        <v>476</v>
      </c>
      <c r="B69" s="4">
        <v>1</v>
      </c>
      <c r="C69" s="17">
        <v>0</v>
      </c>
      <c r="D69" s="22" t="s">
        <v>629</v>
      </c>
      <c r="E69" s="22" t="s">
        <v>625</v>
      </c>
      <c r="F69" s="4">
        <f t="shared" si="7"/>
        <v>2016</v>
      </c>
      <c r="G69" s="18">
        <v>42699</v>
      </c>
      <c r="H69" s="22" t="s">
        <v>479</v>
      </c>
      <c r="I69" s="4">
        <v>0</v>
      </c>
      <c r="J69" s="5" t="s">
        <v>632</v>
      </c>
      <c r="K69" s="74" t="s">
        <v>485</v>
      </c>
      <c r="L69" s="59">
        <v>1</v>
      </c>
      <c r="M69" s="22" t="s">
        <v>165</v>
      </c>
      <c r="N69" s="24" t="s">
        <v>2630</v>
      </c>
      <c r="O69" s="29"/>
      <c r="P69" s="22" t="s">
        <v>633</v>
      </c>
      <c r="Q69" s="29" t="s">
        <v>634</v>
      </c>
      <c r="R69" s="17">
        <v>1</v>
      </c>
      <c r="S69" s="77">
        <v>0</v>
      </c>
      <c r="T69" s="77">
        <v>0</v>
      </c>
      <c r="U69" s="17">
        <v>1</v>
      </c>
      <c r="V69" s="78">
        <v>1</v>
      </c>
      <c r="W69" s="17">
        <v>108</v>
      </c>
      <c r="X69" s="17">
        <v>0</v>
      </c>
      <c r="Y69" s="17">
        <v>3</v>
      </c>
      <c r="Z69" s="73">
        <f t="shared" si="8"/>
        <v>111</v>
      </c>
      <c r="AA69" s="11">
        <f t="shared" si="9"/>
        <v>0.97297297297297303</v>
      </c>
      <c r="AB69" s="11">
        <f t="shared" si="10"/>
        <v>0</v>
      </c>
      <c r="AC69" s="66">
        <f t="shared" si="11"/>
        <v>0.97297297297297303</v>
      </c>
      <c r="AD69" s="67">
        <f t="shared" si="12"/>
        <v>0.95945945945945943</v>
      </c>
    </row>
    <row r="70" spans="1:30" ht="14.5" customHeight="1" x14ac:dyDescent="0.2">
      <c r="A70" t="s">
        <v>476</v>
      </c>
      <c r="B70" s="4">
        <v>1</v>
      </c>
      <c r="C70" s="17">
        <v>0</v>
      </c>
      <c r="D70" s="22" t="s">
        <v>629</v>
      </c>
      <c r="E70" s="22" t="s">
        <v>625</v>
      </c>
      <c r="F70" s="4">
        <f t="shared" si="7"/>
        <v>2016</v>
      </c>
      <c r="G70" s="18">
        <v>42699</v>
      </c>
      <c r="H70" s="22" t="s">
        <v>479</v>
      </c>
      <c r="I70" s="4">
        <v>0</v>
      </c>
      <c r="J70" s="5" t="s">
        <v>598</v>
      </c>
      <c r="K70" s="74" t="s">
        <v>485</v>
      </c>
      <c r="L70" s="59">
        <v>1</v>
      </c>
      <c r="M70" s="22" t="s">
        <v>2894</v>
      </c>
      <c r="N70" s="22" t="s">
        <v>2637</v>
      </c>
      <c r="O70" s="24" t="s">
        <v>2895</v>
      </c>
      <c r="P70" s="22" t="s">
        <v>635</v>
      </c>
      <c r="Q70" s="29" t="s">
        <v>636</v>
      </c>
      <c r="R70" s="17">
        <v>1</v>
      </c>
      <c r="S70" s="77">
        <v>0</v>
      </c>
      <c r="T70" s="77">
        <v>0</v>
      </c>
      <c r="U70" s="17">
        <v>1</v>
      </c>
      <c r="V70" s="78">
        <v>1</v>
      </c>
      <c r="W70" s="17">
        <v>111</v>
      </c>
      <c r="X70" s="17">
        <v>0</v>
      </c>
      <c r="Y70" s="17">
        <v>1</v>
      </c>
      <c r="Z70" s="73">
        <f t="shared" si="8"/>
        <v>112</v>
      </c>
      <c r="AA70" s="11">
        <f t="shared" si="9"/>
        <v>0.9910714285714286</v>
      </c>
      <c r="AB70" s="11">
        <f t="shared" si="10"/>
        <v>0</v>
      </c>
      <c r="AC70" s="66">
        <f t="shared" si="11"/>
        <v>0.9910714285714286</v>
      </c>
      <c r="AD70" s="67">
        <f t="shared" si="12"/>
        <v>0.9866071428571429</v>
      </c>
    </row>
    <row r="71" spans="1:30" ht="14.5" customHeight="1" x14ac:dyDescent="0.2">
      <c r="A71" t="s">
        <v>476</v>
      </c>
      <c r="B71" s="4">
        <v>1</v>
      </c>
      <c r="C71" s="17">
        <v>0</v>
      </c>
      <c r="D71" s="22" t="s">
        <v>629</v>
      </c>
      <c r="E71" s="22" t="s">
        <v>625</v>
      </c>
      <c r="F71" s="4">
        <f t="shared" si="7"/>
        <v>2016</v>
      </c>
      <c r="G71" s="18">
        <v>42699</v>
      </c>
      <c r="H71" s="22" t="s">
        <v>479</v>
      </c>
      <c r="I71" s="4">
        <v>0</v>
      </c>
      <c r="J71" s="33" t="s">
        <v>612</v>
      </c>
      <c r="K71" s="74" t="s">
        <v>485</v>
      </c>
      <c r="L71" s="59">
        <v>1</v>
      </c>
      <c r="M71" s="22" t="s">
        <v>2555</v>
      </c>
      <c r="N71" s="22" t="s">
        <v>422</v>
      </c>
      <c r="O71" s="29"/>
      <c r="P71" s="22" t="s">
        <v>637</v>
      </c>
      <c r="Q71" s="29" t="s">
        <v>638</v>
      </c>
      <c r="R71" s="17">
        <v>1</v>
      </c>
      <c r="S71" s="77">
        <v>0</v>
      </c>
      <c r="T71" s="77">
        <v>0</v>
      </c>
      <c r="U71" s="17">
        <v>1</v>
      </c>
      <c r="V71" s="78">
        <v>1</v>
      </c>
      <c r="W71" s="17">
        <v>103</v>
      </c>
      <c r="X71" s="17">
        <v>3</v>
      </c>
      <c r="Y71" s="17">
        <v>5</v>
      </c>
      <c r="Z71" s="73">
        <f t="shared" si="8"/>
        <v>111</v>
      </c>
      <c r="AA71" s="11">
        <f t="shared" si="9"/>
        <v>0.92792792792792789</v>
      </c>
      <c r="AB71" s="11">
        <f t="shared" si="10"/>
        <v>2.7027027027027029E-2</v>
      </c>
      <c r="AC71" s="66">
        <f t="shared" si="11"/>
        <v>0.92792792792792789</v>
      </c>
      <c r="AD71" s="67">
        <f t="shared" si="12"/>
        <v>0.89189189189189189</v>
      </c>
    </row>
    <row r="72" spans="1:30" ht="14.5" customHeight="1" x14ac:dyDescent="0.2">
      <c r="A72" t="s">
        <v>476</v>
      </c>
      <c r="B72" s="4">
        <v>1</v>
      </c>
      <c r="C72" s="17">
        <v>0</v>
      </c>
      <c r="D72" s="22" t="s">
        <v>629</v>
      </c>
      <c r="E72" s="22" t="s">
        <v>625</v>
      </c>
      <c r="F72" s="4">
        <f t="shared" si="7"/>
        <v>2017</v>
      </c>
      <c r="G72" s="18">
        <v>42916</v>
      </c>
      <c r="H72" s="22" t="s">
        <v>479</v>
      </c>
      <c r="I72" s="4">
        <v>0</v>
      </c>
      <c r="J72" s="33" t="s">
        <v>639</v>
      </c>
      <c r="K72" s="74" t="s">
        <v>485</v>
      </c>
      <c r="L72" s="59">
        <v>1</v>
      </c>
      <c r="M72" s="5" t="s">
        <v>3033</v>
      </c>
      <c r="N72" s="22" t="s">
        <v>2627</v>
      </c>
      <c r="O72" s="29"/>
      <c r="P72" s="22" t="s">
        <v>640</v>
      </c>
      <c r="Q72" s="29" t="s">
        <v>641</v>
      </c>
      <c r="R72" s="17">
        <v>1</v>
      </c>
      <c r="S72" s="77">
        <v>0</v>
      </c>
      <c r="T72" s="77">
        <v>0</v>
      </c>
      <c r="U72" s="17">
        <v>1</v>
      </c>
      <c r="V72" s="78">
        <v>0</v>
      </c>
      <c r="W72" s="17">
        <v>117</v>
      </c>
      <c r="X72" s="17">
        <v>0</v>
      </c>
      <c r="Y72" s="17">
        <v>2</v>
      </c>
      <c r="Z72" s="73">
        <f t="shared" si="8"/>
        <v>119</v>
      </c>
      <c r="AA72" s="11">
        <f t="shared" si="9"/>
        <v>0.98319327731092432</v>
      </c>
      <c r="AB72" s="11">
        <f t="shared" si="10"/>
        <v>0</v>
      </c>
      <c r="AC72" s="66">
        <f t="shared" si="11"/>
        <v>0.98319327731092432</v>
      </c>
      <c r="AD72" s="67">
        <f t="shared" si="12"/>
        <v>0.97478991596638653</v>
      </c>
    </row>
    <row r="73" spans="1:30" ht="14.5" customHeight="1" x14ac:dyDescent="0.2">
      <c r="A73" s="21" t="s">
        <v>476</v>
      </c>
      <c r="B73" s="4">
        <v>1</v>
      </c>
      <c r="C73" s="17">
        <v>0</v>
      </c>
      <c r="D73" s="22" t="s">
        <v>629</v>
      </c>
      <c r="E73" s="22" t="s">
        <v>625</v>
      </c>
      <c r="F73" s="4">
        <f t="shared" si="7"/>
        <v>2017</v>
      </c>
      <c r="G73" s="18">
        <v>42916</v>
      </c>
      <c r="H73" s="79" t="s">
        <v>479</v>
      </c>
      <c r="I73" s="4">
        <v>0</v>
      </c>
      <c r="J73" s="80" t="s">
        <v>2864</v>
      </c>
      <c r="K73" s="74" t="s">
        <v>485</v>
      </c>
      <c r="L73" s="59">
        <v>1</v>
      </c>
      <c r="M73" s="22" t="s">
        <v>2600</v>
      </c>
      <c r="N73" s="55" t="s">
        <v>2628</v>
      </c>
      <c r="O73" s="29"/>
      <c r="Q73" s="81" t="s">
        <v>2866</v>
      </c>
      <c r="R73" s="17">
        <v>1</v>
      </c>
      <c r="S73" s="77">
        <v>0</v>
      </c>
      <c r="T73" s="77">
        <v>0</v>
      </c>
      <c r="U73" s="17">
        <v>1</v>
      </c>
      <c r="V73" s="78">
        <v>0</v>
      </c>
      <c r="W73" s="17">
        <v>95</v>
      </c>
      <c r="X73" s="17">
        <v>3</v>
      </c>
      <c r="Y73" s="17">
        <v>21</v>
      </c>
      <c r="Z73" s="73">
        <f t="shared" si="8"/>
        <v>119</v>
      </c>
      <c r="AA73" s="11">
        <f t="shared" si="9"/>
        <v>0.79831932773109249</v>
      </c>
      <c r="AB73" s="11">
        <f t="shared" si="10"/>
        <v>2.5210084033613446E-2</v>
      </c>
      <c r="AC73" s="66">
        <f t="shared" si="11"/>
        <v>0.79831932773109249</v>
      </c>
      <c r="AD73" s="67">
        <f t="shared" si="12"/>
        <v>0.69747899159663862</v>
      </c>
    </row>
    <row r="74" spans="1:30" ht="14.5" customHeight="1" x14ac:dyDescent="0.2">
      <c r="A74" s="21" t="s">
        <v>476</v>
      </c>
      <c r="B74" s="4">
        <v>1</v>
      </c>
      <c r="C74" s="17">
        <v>0</v>
      </c>
      <c r="D74" s="22" t="s">
        <v>629</v>
      </c>
      <c r="E74" s="22" t="s">
        <v>625</v>
      </c>
      <c r="F74" s="4">
        <f t="shared" si="7"/>
        <v>2017</v>
      </c>
      <c r="G74" s="18">
        <v>42916</v>
      </c>
      <c r="H74" s="79" t="s">
        <v>479</v>
      </c>
      <c r="I74" s="4">
        <v>0</v>
      </c>
      <c r="J74" s="80" t="s">
        <v>2865</v>
      </c>
      <c r="K74" s="74" t="s">
        <v>485</v>
      </c>
      <c r="L74" s="59">
        <v>1</v>
      </c>
      <c r="M74" s="22" t="s">
        <v>2896</v>
      </c>
      <c r="N74" s="55" t="s">
        <v>2628</v>
      </c>
      <c r="O74" s="29"/>
      <c r="Q74" s="81" t="s">
        <v>2867</v>
      </c>
      <c r="R74" s="17">
        <v>1</v>
      </c>
      <c r="S74" s="77">
        <v>0</v>
      </c>
      <c r="T74" s="77">
        <v>0</v>
      </c>
      <c r="U74" s="17">
        <v>1</v>
      </c>
      <c r="V74" s="78">
        <v>0</v>
      </c>
      <c r="W74" s="17">
        <v>96</v>
      </c>
      <c r="X74" s="17">
        <v>3</v>
      </c>
      <c r="Y74" s="17">
        <v>21</v>
      </c>
      <c r="Z74" s="73">
        <f t="shared" si="8"/>
        <v>120</v>
      </c>
      <c r="AA74" s="11">
        <f t="shared" si="9"/>
        <v>0.8</v>
      </c>
      <c r="AB74" s="11">
        <f t="shared" si="10"/>
        <v>2.5000000000000001E-2</v>
      </c>
      <c r="AC74" s="66">
        <f t="shared" si="11"/>
        <v>0.8</v>
      </c>
      <c r="AD74" s="67">
        <f t="shared" si="12"/>
        <v>0.7</v>
      </c>
    </row>
    <row r="75" spans="1:30" ht="14.5" customHeight="1" x14ac:dyDescent="0.2">
      <c r="A75" t="s">
        <v>476</v>
      </c>
      <c r="B75" s="4">
        <v>1</v>
      </c>
      <c r="C75" s="17">
        <v>0</v>
      </c>
      <c r="D75" s="22" t="s">
        <v>642</v>
      </c>
      <c r="E75" s="22" t="s">
        <v>643</v>
      </c>
      <c r="F75" s="4">
        <f t="shared" si="7"/>
        <v>2017</v>
      </c>
      <c r="G75" s="18">
        <v>43069</v>
      </c>
      <c r="H75" s="22" t="s">
        <v>479</v>
      </c>
      <c r="I75" s="4">
        <v>0</v>
      </c>
      <c r="J75" s="5" t="s">
        <v>646</v>
      </c>
      <c r="K75" s="74" t="s">
        <v>485</v>
      </c>
      <c r="L75" s="59">
        <v>1</v>
      </c>
      <c r="M75" s="22" t="s">
        <v>2860</v>
      </c>
      <c r="N75" s="54" t="s">
        <v>2631</v>
      </c>
      <c r="O75" s="29"/>
      <c r="P75" s="22" t="s">
        <v>647</v>
      </c>
      <c r="Q75" s="29" t="s">
        <v>648</v>
      </c>
      <c r="R75" s="17">
        <v>1</v>
      </c>
      <c r="S75" s="77">
        <v>0</v>
      </c>
      <c r="T75" s="77">
        <v>0</v>
      </c>
      <c r="U75" s="17">
        <v>1</v>
      </c>
      <c r="V75" s="78">
        <v>1</v>
      </c>
      <c r="W75" s="17">
        <v>100</v>
      </c>
      <c r="X75" s="17">
        <v>5</v>
      </c>
      <c r="Y75" s="17">
        <v>2</v>
      </c>
      <c r="Z75" s="73">
        <f t="shared" si="8"/>
        <v>107</v>
      </c>
      <c r="AA75" s="11">
        <f t="shared" si="9"/>
        <v>0.93457943925233644</v>
      </c>
      <c r="AB75" s="11">
        <f t="shared" si="10"/>
        <v>4.6728971962616821E-2</v>
      </c>
      <c r="AC75" s="66">
        <f t="shared" si="11"/>
        <v>0.93457943925233644</v>
      </c>
      <c r="AD75" s="67">
        <f t="shared" si="12"/>
        <v>0.90186915887850472</v>
      </c>
    </row>
    <row r="76" spans="1:30" ht="14.5" customHeight="1" x14ac:dyDescent="0.2">
      <c r="A76" t="s">
        <v>476</v>
      </c>
      <c r="B76" s="4">
        <v>1</v>
      </c>
      <c r="C76" s="17">
        <v>0</v>
      </c>
      <c r="D76" s="22" t="s">
        <v>642</v>
      </c>
      <c r="E76" s="22" t="s">
        <v>643</v>
      </c>
      <c r="F76" s="4">
        <f t="shared" si="7"/>
        <v>2017</v>
      </c>
      <c r="G76" s="18">
        <v>43069</v>
      </c>
      <c r="H76" s="22" t="s">
        <v>479</v>
      </c>
      <c r="I76" s="4">
        <v>0</v>
      </c>
      <c r="J76" s="33" t="s">
        <v>595</v>
      </c>
      <c r="K76" s="74" t="s">
        <v>485</v>
      </c>
      <c r="L76" s="59">
        <v>1</v>
      </c>
      <c r="M76" s="22" t="s">
        <v>165</v>
      </c>
      <c r="N76" s="24" t="s">
        <v>2630</v>
      </c>
      <c r="O76" s="29"/>
      <c r="P76" s="22" t="s">
        <v>649</v>
      </c>
      <c r="Q76" s="29" t="s">
        <v>650</v>
      </c>
      <c r="R76" s="17">
        <v>1</v>
      </c>
      <c r="S76" s="77">
        <v>0</v>
      </c>
      <c r="T76" s="77">
        <v>0</v>
      </c>
      <c r="U76" s="17">
        <v>1</v>
      </c>
      <c r="V76" s="78">
        <v>1</v>
      </c>
      <c r="W76" s="17">
        <v>100</v>
      </c>
      <c r="X76" s="17">
        <v>3</v>
      </c>
      <c r="Y76" s="17">
        <v>2</v>
      </c>
      <c r="Z76" s="73">
        <f t="shared" si="8"/>
        <v>105</v>
      </c>
      <c r="AA76" s="11">
        <f t="shared" si="9"/>
        <v>0.95238095238095233</v>
      </c>
      <c r="AB76" s="11">
        <f t="shared" si="10"/>
        <v>2.8571428571428571E-2</v>
      </c>
      <c r="AC76" s="66">
        <f t="shared" si="11"/>
        <v>0.95238095238095233</v>
      </c>
      <c r="AD76" s="67">
        <f t="shared" si="12"/>
        <v>0.9285714285714286</v>
      </c>
    </row>
    <row r="77" spans="1:30" ht="14.5" customHeight="1" x14ac:dyDescent="0.2">
      <c r="A77" t="s">
        <v>476</v>
      </c>
      <c r="B77" s="4">
        <v>1</v>
      </c>
      <c r="C77" s="17">
        <v>0</v>
      </c>
      <c r="D77" s="22" t="s">
        <v>642</v>
      </c>
      <c r="E77" s="22" t="s">
        <v>643</v>
      </c>
      <c r="F77" s="4">
        <f t="shared" si="7"/>
        <v>2017</v>
      </c>
      <c r="G77" s="18">
        <v>43069</v>
      </c>
      <c r="H77" s="22" t="s">
        <v>479</v>
      </c>
      <c r="I77" s="4">
        <v>0</v>
      </c>
      <c r="J77" s="35" t="s">
        <v>598</v>
      </c>
      <c r="K77" s="74" t="s">
        <v>485</v>
      </c>
      <c r="L77" s="59">
        <v>1</v>
      </c>
      <c r="M77" s="22" t="s">
        <v>2894</v>
      </c>
      <c r="N77" s="22" t="s">
        <v>2637</v>
      </c>
      <c r="O77" s="24" t="s">
        <v>2895</v>
      </c>
      <c r="P77" s="22" t="s">
        <v>653</v>
      </c>
      <c r="Q77" s="29" t="s">
        <v>654</v>
      </c>
      <c r="R77" s="17">
        <v>1</v>
      </c>
      <c r="S77" s="77">
        <v>0</v>
      </c>
      <c r="T77" s="77">
        <v>0</v>
      </c>
      <c r="U77" s="17">
        <v>1</v>
      </c>
      <c r="V77" s="78">
        <v>1</v>
      </c>
      <c r="W77" s="17">
        <v>88</v>
      </c>
      <c r="X77" s="17">
        <v>17</v>
      </c>
      <c r="Y77" s="17">
        <v>1</v>
      </c>
      <c r="Z77" s="73">
        <f t="shared" si="8"/>
        <v>106</v>
      </c>
      <c r="AA77" s="11">
        <f t="shared" si="9"/>
        <v>0.83018867924528306</v>
      </c>
      <c r="AB77" s="11">
        <f t="shared" si="10"/>
        <v>0.16037735849056603</v>
      </c>
      <c r="AC77" s="66">
        <f t="shared" si="11"/>
        <v>0.83018867924528306</v>
      </c>
      <c r="AD77" s="67">
        <f t="shared" si="12"/>
        <v>0.74528301886792447</v>
      </c>
    </row>
    <row r="78" spans="1:30" ht="14.5" customHeight="1" x14ac:dyDescent="0.2">
      <c r="A78" t="s">
        <v>476</v>
      </c>
      <c r="B78" s="4">
        <v>1</v>
      </c>
      <c r="C78" s="17">
        <v>0</v>
      </c>
      <c r="D78" s="22" t="s">
        <v>642</v>
      </c>
      <c r="E78" s="22" t="s">
        <v>643</v>
      </c>
      <c r="F78" s="4">
        <f t="shared" si="7"/>
        <v>2017</v>
      </c>
      <c r="G78" s="18">
        <v>43069</v>
      </c>
      <c r="H78" s="22" t="s">
        <v>479</v>
      </c>
      <c r="I78" s="4">
        <v>0</v>
      </c>
      <c r="J78" s="33" t="s">
        <v>601</v>
      </c>
      <c r="K78" s="74" t="s">
        <v>485</v>
      </c>
      <c r="L78" s="59">
        <v>1</v>
      </c>
      <c r="M78" s="24" t="s">
        <v>2605</v>
      </c>
      <c r="N78" s="24" t="s">
        <v>2637</v>
      </c>
      <c r="O78" s="29"/>
      <c r="P78" s="22" t="s">
        <v>644</v>
      </c>
      <c r="Q78" s="29" t="s">
        <v>645</v>
      </c>
      <c r="R78" s="17">
        <v>1</v>
      </c>
      <c r="S78" s="77">
        <v>0</v>
      </c>
      <c r="T78" s="77">
        <v>0</v>
      </c>
      <c r="U78" s="17">
        <v>1</v>
      </c>
      <c r="V78" s="78">
        <v>0</v>
      </c>
      <c r="W78" s="17">
        <v>104</v>
      </c>
      <c r="X78" s="17">
        <v>3</v>
      </c>
      <c r="Y78" s="17">
        <v>3</v>
      </c>
      <c r="Z78" s="73">
        <f t="shared" si="8"/>
        <v>110</v>
      </c>
      <c r="AA78" s="11">
        <f t="shared" si="9"/>
        <v>0.94545454545454544</v>
      </c>
      <c r="AB78" s="11">
        <f t="shared" si="10"/>
        <v>2.7272727272727271E-2</v>
      </c>
      <c r="AC78" s="66">
        <f t="shared" si="11"/>
        <v>0.94545454545454544</v>
      </c>
      <c r="AD78" s="67">
        <f t="shared" si="12"/>
        <v>0.91818181818181821</v>
      </c>
    </row>
    <row r="79" spans="1:30" ht="14.5" customHeight="1" x14ac:dyDescent="0.2">
      <c r="A79" t="s">
        <v>476</v>
      </c>
      <c r="B79" s="4">
        <v>1</v>
      </c>
      <c r="C79" s="17">
        <v>0</v>
      </c>
      <c r="D79" s="22" t="s">
        <v>642</v>
      </c>
      <c r="E79" s="22" t="s">
        <v>643</v>
      </c>
      <c r="F79" s="4">
        <f t="shared" si="7"/>
        <v>2017</v>
      </c>
      <c r="G79" s="18">
        <v>43069</v>
      </c>
      <c r="H79" s="22" t="s">
        <v>479</v>
      </c>
      <c r="I79" s="4">
        <v>0</v>
      </c>
      <c r="J79" s="33" t="s">
        <v>612</v>
      </c>
      <c r="K79" s="74" t="s">
        <v>485</v>
      </c>
      <c r="L79" s="59">
        <v>1</v>
      </c>
      <c r="M79" s="24" t="s">
        <v>2555</v>
      </c>
      <c r="N79" s="22" t="s">
        <v>422</v>
      </c>
      <c r="O79" s="29"/>
      <c r="P79" s="22" t="s">
        <v>651</v>
      </c>
      <c r="Q79" s="29" t="s">
        <v>652</v>
      </c>
      <c r="R79" s="17">
        <v>1</v>
      </c>
      <c r="S79" s="77">
        <v>0</v>
      </c>
      <c r="T79" s="77">
        <v>0</v>
      </c>
      <c r="U79" s="17">
        <v>1</v>
      </c>
      <c r="V79" s="78">
        <v>1</v>
      </c>
      <c r="W79" s="17">
        <v>90</v>
      </c>
      <c r="X79" s="17">
        <v>5</v>
      </c>
      <c r="Y79" s="17">
        <v>1</v>
      </c>
      <c r="Z79" s="73">
        <f t="shared" si="8"/>
        <v>96</v>
      </c>
      <c r="AA79" s="11">
        <f t="shared" si="9"/>
        <v>0.9375</v>
      </c>
      <c r="AB79" s="11">
        <f t="shared" si="10"/>
        <v>5.2083333333333336E-2</v>
      </c>
      <c r="AC79" s="66">
        <f t="shared" si="11"/>
        <v>0.9375</v>
      </c>
      <c r="AD79" s="67">
        <f t="shared" si="12"/>
        <v>0.90625</v>
      </c>
    </row>
    <row r="80" spans="1:30" ht="14.5" customHeight="1" x14ac:dyDescent="0.2">
      <c r="A80" t="s">
        <v>476</v>
      </c>
      <c r="B80" s="4">
        <v>1</v>
      </c>
      <c r="C80" s="17">
        <v>0</v>
      </c>
      <c r="D80" s="22" t="s">
        <v>642</v>
      </c>
      <c r="E80" s="22" t="s">
        <v>643</v>
      </c>
      <c r="F80" s="4">
        <f t="shared" si="7"/>
        <v>2018</v>
      </c>
      <c r="G80" s="18">
        <v>43294</v>
      </c>
      <c r="H80" s="22" t="s">
        <v>479</v>
      </c>
      <c r="I80" s="4">
        <v>0</v>
      </c>
      <c r="J80" s="33" t="s">
        <v>655</v>
      </c>
      <c r="K80" s="74" t="s">
        <v>485</v>
      </c>
      <c r="L80" s="59">
        <v>1</v>
      </c>
      <c r="M80" s="22" t="s">
        <v>2557</v>
      </c>
      <c r="N80" s="22" t="s">
        <v>2627</v>
      </c>
      <c r="O80" s="29"/>
      <c r="P80" s="22" t="s">
        <v>656</v>
      </c>
      <c r="Q80" s="29" t="s">
        <v>657</v>
      </c>
      <c r="R80" s="17">
        <v>1</v>
      </c>
      <c r="S80" s="77">
        <v>0</v>
      </c>
      <c r="T80" s="77">
        <v>0</v>
      </c>
      <c r="U80" s="17">
        <v>1</v>
      </c>
      <c r="V80" s="78">
        <v>0</v>
      </c>
      <c r="W80" s="17">
        <v>118</v>
      </c>
      <c r="X80" s="17">
        <v>2</v>
      </c>
      <c r="Y80" s="17">
        <v>2</v>
      </c>
      <c r="Z80" s="73">
        <f t="shared" si="8"/>
        <v>122</v>
      </c>
      <c r="AA80" s="11">
        <f t="shared" si="9"/>
        <v>0.96721311475409832</v>
      </c>
      <c r="AB80" s="11">
        <f t="shared" si="10"/>
        <v>1.6393442622950821E-2</v>
      </c>
      <c r="AC80" s="66">
        <f t="shared" si="11"/>
        <v>0.96721311475409832</v>
      </c>
      <c r="AD80" s="67">
        <f t="shared" si="12"/>
        <v>0.95081967213114749</v>
      </c>
    </row>
    <row r="81" spans="1:95" ht="14.5" customHeight="1" x14ac:dyDescent="0.2">
      <c r="A81" t="s">
        <v>476</v>
      </c>
      <c r="B81" s="4">
        <v>1</v>
      </c>
      <c r="C81" s="17">
        <v>0</v>
      </c>
      <c r="D81" s="22" t="s">
        <v>642</v>
      </c>
      <c r="E81" s="22" t="s">
        <v>643</v>
      </c>
      <c r="F81" s="4">
        <f t="shared" si="7"/>
        <v>2018</v>
      </c>
      <c r="G81" s="18">
        <v>43404</v>
      </c>
      <c r="H81" s="22" t="s">
        <v>479</v>
      </c>
      <c r="I81" s="4">
        <v>0</v>
      </c>
      <c r="J81" s="5" t="s">
        <v>646</v>
      </c>
      <c r="K81" s="74" t="s">
        <v>485</v>
      </c>
      <c r="L81" s="59">
        <v>1</v>
      </c>
      <c r="M81" s="22" t="s">
        <v>2860</v>
      </c>
      <c r="N81" s="54" t="s">
        <v>2631</v>
      </c>
      <c r="O81" s="29"/>
      <c r="P81" s="22" t="s">
        <v>658</v>
      </c>
      <c r="Q81" s="29" t="s">
        <v>659</v>
      </c>
      <c r="R81" s="17">
        <v>1</v>
      </c>
      <c r="S81" s="77">
        <v>0</v>
      </c>
      <c r="T81" s="77">
        <v>0</v>
      </c>
      <c r="U81" s="17">
        <v>1</v>
      </c>
      <c r="V81" s="78">
        <v>1</v>
      </c>
      <c r="W81" s="17">
        <v>106</v>
      </c>
      <c r="X81" s="17">
        <v>2</v>
      </c>
      <c r="Y81" s="17">
        <v>4</v>
      </c>
      <c r="Z81" s="73">
        <f t="shared" si="8"/>
        <v>112</v>
      </c>
      <c r="AA81" s="11">
        <f t="shared" si="9"/>
        <v>0.9464285714285714</v>
      </c>
      <c r="AB81" s="11">
        <f t="shared" si="10"/>
        <v>1.7857142857142856E-2</v>
      </c>
      <c r="AC81" s="66">
        <f t="shared" si="11"/>
        <v>0.9464285714285714</v>
      </c>
      <c r="AD81" s="67">
        <f t="shared" si="12"/>
        <v>0.9196428571428571</v>
      </c>
    </row>
    <row r="82" spans="1:95" ht="14.5" customHeight="1" x14ac:dyDescent="0.2">
      <c r="A82" t="s">
        <v>476</v>
      </c>
      <c r="B82" s="4">
        <v>1</v>
      </c>
      <c r="C82" s="17">
        <v>0</v>
      </c>
      <c r="D82" s="22" t="s">
        <v>642</v>
      </c>
      <c r="E82" s="22" t="s">
        <v>643</v>
      </c>
      <c r="F82" s="4">
        <f t="shared" si="7"/>
        <v>2018</v>
      </c>
      <c r="G82" s="18">
        <v>43404</v>
      </c>
      <c r="H82" s="22" t="s">
        <v>479</v>
      </c>
      <c r="I82" s="4">
        <v>0</v>
      </c>
      <c r="J82" s="5" t="s">
        <v>639</v>
      </c>
      <c r="K82" s="74" t="s">
        <v>485</v>
      </c>
      <c r="L82" s="59">
        <v>1</v>
      </c>
      <c r="M82" s="5" t="s">
        <v>3033</v>
      </c>
      <c r="N82" s="22" t="s">
        <v>2627</v>
      </c>
      <c r="O82" s="29"/>
      <c r="P82" s="22" t="s">
        <v>660</v>
      </c>
      <c r="Q82" s="29" t="s">
        <v>661</v>
      </c>
      <c r="R82" s="17">
        <v>1</v>
      </c>
      <c r="S82" s="77">
        <v>0</v>
      </c>
      <c r="T82" s="77">
        <v>0</v>
      </c>
      <c r="U82" s="17">
        <v>1</v>
      </c>
      <c r="V82" s="78">
        <v>1</v>
      </c>
      <c r="W82" s="17">
        <v>108</v>
      </c>
      <c r="X82" s="17">
        <v>0</v>
      </c>
      <c r="Y82" s="17">
        <v>5</v>
      </c>
      <c r="Z82" s="73">
        <f t="shared" si="8"/>
        <v>113</v>
      </c>
      <c r="AA82" s="11">
        <f t="shared" si="9"/>
        <v>0.95575221238938057</v>
      </c>
      <c r="AB82" s="11">
        <f t="shared" si="10"/>
        <v>0</v>
      </c>
      <c r="AC82" s="66">
        <f t="shared" si="11"/>
        <v>0.95575221238938057</v>
      </c>
      <c r="AD82" s="67">
        <f t="shared" si="12"/>
        <v>0.9336283185840708</v>
      </c>
    </row>
    <row r="83" spans="1:95" ht="14.5" customHeight="1" x14ac:dyDescent="0.2">
      <c r="A83" t="s">
        <v>476</v>
      </c>
      <c r="B83" s="4">
        <v>1</v>
      </c>
      <c r="C83" s="17">
        <v>0</v>
      </c>
      <c r="D83" s="22" t="s">
        <v>642</v>
      </c>
      <c r="E83" s="22" t="s">
        <v>643</v>
      </c>
      <c r="F83" s="4">
        <f t="shared" si="7"/>
        <v>2018</v>
      </c>
      <c r="G83" s="18">
        <v>43404</v>
      </c>
      <c r="H83" s="22" t="s">
        <v>479</v>
      </c>
      <c r="I83" s="4">
        <v>0</v>
      </c>
      <c r="J83" s="5" t="s">
        <v>662</v>
      </c>
      <c r="K83" s="74" t="s">
        <v>485</v>
      </c>
      <c r="L83" s="59">
        <v>1</v>
      </c>
      <c r="M83" s="22" t="s">
        <v>165</v>
      </c>
      <c r="N83" s="24" t="s">
        <v>2630</v>
      </c>
      <c r="O83" s="29"/>
      <c r="P83" s="22" t="s">
        <v>663</v>
      </c>
      <c r="Q83" s="29" t="s">
        <v>664</v>
      </c>
      <c r="R83" s="17">
        <v>1</v>
      </c>
      <c r="S83" s="77">
        <v>0</v>
      </c>
      <c r="T83" s="77">
        <v>0</v>
      </c>
      <c r="U83" s="17">
        <v>1</v>
      </c>
      <c r="V83" s="78">
        <v>1</v>
      </c>
      <c r="W83" s="17">
        <v>105</v>
      </c>
      <c r="X83" s="17">
        <v>4</v>
      </c>
      <c r="Y83" s="17">
        <v>3</v>
      </c>
      <c r="Z83" s="73">
        <f t="shared" si="8"/>
        <v>112</v>
      </c>
      <c r="AA83" s="11">
        <f t="shared" si="9"/>
        <v>0.9375</v>
      </c>
      <c r="AB83" s="11">
        <f t="shared" si="10"/>
        <v>3.5714285714285712E-2</v>
      </c>
      <c r="AC83" s="66">
        <f t="shared" si="11"/>
        <v>0.9375</v>
      </c>
      <c r="AD83" s="67">
        <f t="shared" si="12"/>
        <v>0.90625</v>
      </c>
    </row>
    <row r="84" spans="1:95" ht="14.5" customHeight="1" x14ac:dyDescent="0.2">
      <c r="A84" t="s">
        <v>476</v>
      </c>
      <c r="B84" s="4">
        <v>1</v>
      </c>
      <c r="C84" s="17">
        <v>0</v>
      </c>
      <c r="D84" s="22" t="s">
        <v>642</v>
      </c>
      <c r="E84" s="22" t="s">
        <v>643</v>
      </c>
      <c r="F84" s="4">
        <f t="shared" si="7"/>
        <v>2018</v>
      </c>
      <c r="G84" s="18">
        <v>43404</v>
      </c>
      <c r="H84" s="22" t="s">
        <v>479</v>
      </c>
      <c r="I84" s="4">
        <v>0</v>
      </c>
      <c r="J84" s="5" t="s">
        <v>598</v>
      </c>
      <c r="K84" s="74" t="s">
        <v>485</v>
      </c>
      <c r="L84" s="59">
        <v>1</v>
      </c>
      <c r="M84" s="22" t="s">
        <v>2894</v>
      </c>
      <c r="N84" s="22" t="s">
        <v>2637</v>
      </c>
      <c r="O84" s="24" t="s">
        <v>2895</v>
      </c>
      <c r="P84" s="22" t="s">
        <v>670</v>
      </c>
      <c r="Q84" s="29" t="s">
        <v>671</v>
      </c>
      <c r="R84" s="17">
        <v>1</v>
      </c>
      <c r="S84" s="77">
        <v>0</v>
      </c>
      <c r="T84" s="77">
        <v>0</v>
      </c>
      <c r="U84" s="17">
        <v>1</v>
      </c>
      <c r="V84" s="78">
        <v>1</v>
      </c>
      <c r="W84" s="17">
        <v>113</v>
      </c>
      <c r="X84" s="17">
        <v>0</v>
      </c>
      <c r="Y84" s="17">
        <v>0</v>
      </c>
      <c r="Z84" s="73">
        <f t="shared" si="8"/>
        <v>113</v>
      </c>
      <c r="AA84" s="11">
        <f t="shared" si="9"/>
        <v>1</v>
      </c>
      <c r="AB84" s="11">
        <f t="shared" si="10"/>
        <v>0</v>
      </c>
      <c r="AC84" s="66">
        <f t="shared" si="11"/>
        <v>1</v>
      </c>
      <c r="AD84" s="67">
        <f t="shared" si="12"/>
        <v>1</v>
      </c>
    </row>
    <row r="85" spans="1:95" ht="14.5" customHeight="1" x14ac:dyDescent="0.2">
      <c r="A85" t="s">
        <v>476</v>
      </c>
      <c r="B85" s="4">
        <v>1</v>
      </c>
      <c r="C85" s="17">
        <v>0</v>
      </c>
      <c r="D85" s="22" t="s">
        <v>642</v>
      </c>
      <c r="E85" s="22" t="s">
        <v>643</v>
      </c>
      <c r="F85" s="4">
        <f t="shared" si="7"/>
        <v>2018</v>
      </c>
      <c r="G85" s="18">
        <v>43404</v>
      </c>
      <c r="H85" s="22" t="s">
        <v>479</v>
      </c>
      <c r="I85" s="4">
        <v>0</v>
      </c>
      <c r="J85" s="33" t="s">
        <v>665</v>
      </c>
      <c r="K85" s="74" t="s">
        <v>485</v>
      </c>
      <c r="L85" s="59">
        <v>1</v>
      </c>
      <c r="M85" s="24" t="s">
        <v>2572</v>
      </c>
      <c r="N85" s="24" t="s">
        <v>2121</v>
      </c>
      <c r="O85" s="29"/>
      <c r="P85" s="22" t="s">
        <v>666</v>
      </c>
      <c r="Q85" s="29" t="s">
        <v>667</v>
      </c>
      <c r="R85" s="17">
        <v>1</v>
      </c>
      <c r="S85" s="77">
        <v>0</v>
      </c>
      <c r="T85" s="77">
        <v>0</v>
      </c>
      <c r="U85" s="17">
        <v>1</v>
      </c>
      <c r="V85" s="78">
        <v>0</v>
      </c>
      <c r="W85" s="17">
        <v>105</v>
      </c>
      <c r="X85" s="17">
        <v>8</v>
      </c>
      <c r="Y85" s="17">
        <v>1</v>
      </c>
      <c r="Z85" s="73">
        <f t="shared" si="8"/>
        <v>114</v>
      </c>
      <c r="AA85" s="11">
        <f t="shared" si="9"/>
        <v>0.92105263157894735</v>
      </c>
      <c r="AB85" s="11">
        <f t="shared" si="10"/>
        <v>7.0175438596491224E-2</v>
      </c>
      <c r="AC85" s="66">
        <f t="shared" si="11"/>
        <v>0.92105263157894735</v>
      </c>
      <c r="AD85" s="67">
        <f t="shared" si="12"/>
        <v>0.88157894736842102</v>
      </c>
    </row>
    <row r="86" spans="1:95" ht="14.5" customHeight="1" x14ac:dyDescent="0.2">
      <c r="A86" t="s">
        <v>476</v>
      </c>
      <c r="B86" s="4">
        <v>1</v>
      </c>
      <c r="C86" s="17">
        <v>0</v>
      </c>
      <c r="D86" s="22" t="s">
        <v>642</v>
      </c>
      <c r="E86" s="22" t="s">
        <v>643</v>
      </c>
      <c r="F86" s="4">
        <f t="shared" si="7"/>
        <v>2018</v>
      </c>
      <c r="G86" s="18">
        <v>43404</v>
      </c>
      <c r="H86" s="22" t="s">
        <v>479</v>
      </c>
      <c r="I86" s="4">
        <v>0</v>
      </c>
      <c r="J86" s="5" t="s">
        <v>612</v>
      </c>
      <c r="K86" s="74" t="s">
        <v>485</v>
      </c>
      <c r="L86" s="59">
        <v>1</v>
      </c>
      <c r="M86" s="22" t="s">
        <v>2555</v>
      </c>
      <c r="N86" s="22" t="s">
        <v>422</v>
      </c>
      <c r="O86" s="29"/>
      <c r="P86" s="22" t="s">
        <v>668</v>
      </c>
      <c r="Q86" s="29" t="s">
        <v>669</v>
      </c>
      <c r="R86" s="17">
        <v>1</v>
      </c>
      <c r="S86" s="77">
        <v>0</v>
      </c>
      <c r="T86" s="77">
        <v>0</v>
      </c>
      <c r="U86" s="17">
        <v>1</v>
      </c>
      <c r="V86" s="78">
        <v>1</v>
      </c>
      <c r="W86" s="17">
        <v>107</v>
      </c>
      <c r="X86" s="17">
        <v>4</v>
      </c>
      <c r="Y86" s="17">
        <v>2</v>
      </c>
      <c r="Z86" s="73">
        <f t="shared" si="8"/>
        <v>113</v>
      </c>
      <c r="AA86" s="11">
        <f t="shared" si="9"/>
        <v>0.94690265486725667</v>
      </c>
      <c r="AB86" s="11">
        <f t="shared" si="10"/>
        <v>3.5398230088495575E-2</v>
      </c>
      <c r="AC86" s="66">
        <f t="shared" si="11"/>
        <v>0.94690265486725667</v>
      </c>
      <c r="AD86" s="67">
        <f t="shared" si="12"/>
        <v>0.92035398230088494</v>
      </c>
    </row>
    <row r="87" spans="1:95" ht="14.5" customHeight="1" x14ac:dyDescent="0.2">
      <c r="A87" s="21" t="s">
        <v>476</v>
      </c>
      <c r="B87" s="4">
        <v>1</v>
      </c>
      <c r="C87" s="17">
        <v>0</v>
      </c>
      <c r="D87" s="22" t="s">
        <v>642</v>
      </c>
      <c r="E87" s="22" t="s">
        <v>643</v>
      </c>
      <c r="F87" s="4">
        <f t="shared" si="7"/>
        <v>2018</v>
      </c>
      <c r="G87" s="18">
        <v>43404</v>
      </c>
      <c r="H87" s="79" t="s">
        <v>479</v>
      </c>
      <c r="I87" s="4">
        <v>0</v>
      </c>
      <c r="J87" s="82" t="s">
        <v>2868</v>
      </c>
      <c r="K87" s="74" t="s">
        <v>485</v>
      </c>
      <c r="L87" s="59">
        <v>1</v>
      </c>
      <c r="M87" s="22" t="s">
        <v>2896</v>
      </c>
      <c r="N87" s="55" t="s">
        <v>2628</v>
      </c>
      <c r="O87" s="29"/>
      <c r="P87" s="22" t="s">
        <v>2873</v>
      </c>
      <c r="Q87" s="81" t="s">
        <v>2869</v>
      </c>
      <c r="R87" s="17">
        <v>1</v>
      </c>
      <c r="S87" s="77">
        <v>0</v>
      </c>
      <c r="T87" s="77">
        <v>0</v>
      </c>
      <c r="U87" s="17">
        <v>1</v>
      </c>
      <c r="V87" s="78">
        <v>1</v>
      </c>
      <c r="W87" s="17">
        <v>107</v>
      </c>
      <c r="X87" s="17">
        <v>4</v>
      </c>
      <c r="Y87" s="17">
        <v>0</v>
      </c>
      <c r="Z87" s="73">
        <f t="shared" si="8"/>
        <v>111</v>
      </c>
      <c r="AA87" s="11">
        <f t="shared" si="9"/>
        <v>0.963963963963964</v>
      </c>
      <c r="AB87" s="11">
        <f t="shared" si="10"/>
        <v>3.6036036036036036E-2</v>
      </c>
      <c r="AC87" s="66">
        <f t="shared" si="11"/>
        <v>0.963963963963964</v>
      </c>
      <c r="AD87" s="67">
        <f t="shared" si="12"/>
        <v>0.94594594594594594</v>
      </c>
    </row>
    <row r="88" spans="1:95" ht="14.5" customHeight="1" x14ac:dyDescent="0.2">
      <c r="A88" t="s">
        <v>476</v>
      </c>
      <c r="B88" s="4">
        <v>1</v>
      </c>
      <c r="C88" s="17">
        <v>0</v>
      </c>
      <c r="D88" s="22" t="s">
        <v>642</v>
      </c>
      <c r="E88" s="22" t="s">
        <v>643</v>
      </c>
      <c r="F88" s="4">
        <f t="shared" si="7"/>
        <v>2019</v>
      </c>
      <c r="G88" s="18">
        <v>43658</v>
      </c>
      <c r="H88" s="22" t="s">
        <v>479</v>
      </c>
      <c r="I88" s="4">
        <v>0</v>
      </c>
      <c r="J88" s="5" t="s">
        <v>601</v>
      </c>
      <c r="K88" s="74" t="s">
        <v>485</v>
      </c>
      <c r="L88" s="59">
        <v>1</v>
      </c>
      <c r="M88" s="24" t="s">
        <v>2605</v>
      </c>
      <c r="N88" s="24" t="s">
        <v>2637</v>
      </c>
      <c r="O88" s="29"/>
      <c r="P88" s="22" t="s">
        <v>677</v>
      </c>
      <c r="Q88" s="29" t="s">
        <v>678</v>
      </c>
      <c r="R88" s="17">
        <v>1</v>
      </c>
      <c r="S88" s="77">
        <v>0</v>
      </c>
      <c r="T88" s="77">
        <v>0</v>
      </c>
      <c r="U88" s="17">
        <v>1</v>
      </c>
      <c r="V88" s="78">
        <v>0</v>
      </c>
      <c r="W88" s="17">
        <v>97</v>
      </c>
      <c r="X88" s="17">
        <v>3</v>
      </c>
      <c r="Y88" s="17">
        <v>3</v>
      </c>
      <c r="Z88" s="73">
        <f t="shared" si="8"/>
        <v>103</v>
      </c>
      <c r="AA88" s="11">
        <f t="shared" si="9"/>
        <v>0.94174757281553401</v>
      </c>
      <c r="AB88" s="11">
        <f t="shared" si="10"/>
        <v>2.9126213592233011E-2</v>
      </c>
      <c r="AC88" s="66">
        <f t="shared" si="11"/>
        <v>0.94174757281553401</v>
      </c>
      <c r="AD88" s="67">
        <f t="shared" si="12"/>
        <v>0.91262135922330101</v>
      </c>
    </row>
    <row r="89" spans="1:95" ht="14.5" customHeight="1" x14ac:dyDescent="0.2">
      <c r="A89" t="s">
        <v>476</v>
      </c>
      <c r="B89" s="4">
        <v>1</v>
      </c>
      <c r="C89" s="17">
        <v>0</v>
      </c>
      <c r="D89" s="22" t="s">
        <v>642</v>
      </c>
      <c r="E89" s="22" t="s">
        <v>643</v>
      </c>
      <c r="F89" s="4">
        <f t="shared" si="7"/>
        <v>2019</v>
      </c>
      <c r="G89" s="18">
        <v>43658</v>
      </c>
      <c r="H89" s="22" t="s">
        <v>479</v>
      </c>
      <c r="I89" s="4">
        <v>0</v>
      </c>
      <c r="J89" s="33" t="s">
        <v>665</v>
      </c>
      <c r="K89" s="74" t="s">
        <v>485</v>
      </c>
      <c r="L89" s="59">
        <v>1</v>
      </c>
      <c r="M89" s="24" t="s">
        <v>2572</v>
      </c>
      <c r="N89" s="24" t="s">
        <v>2121</v>
      </c>
      <c r="O89" s="29"/>
      <c r="P89" s="22" t="s">
        <v>672</v>
      </c>
      <c r="Q89" s="29" t="s">
        <v>673</v>
      </c>
      <c r="R89" s="17">
        <v>1</v>
      </c>
      <c r="S89" s="77">
        <v>0</v>
      </c>
      <c r="T89" s="77">
        <v>0</v>
      </c>
      <c r="U89" s="17">
        <v>1</v>
      </c>
      <c r="V89" s="78">
        <v>1</v>
      </c>
      <c r="W89" s="17">
        <v>95</v>
      </c>
      <c r="X89" s="17">
        <v>5</v>
      </c>
      <c r="Y89" s="17">
        <v>2</v>
      </c>
      <c r="Z89" s="73">
        <f t="shared" si="8"/>
        <v>102</v>
      </c>
      <c r="AA89" s="11">
        <f t="shared" si="9"/>
        <v>0.93137254901960786</v>
      </c>
      <c r="AB89" s="11">
        <f t="shared" si="10"/>
        <v>4.9019607843137254E-2</v>
      </c>
      <c r="AC89" s="66">
        <f t="shared" si="11"/>
        <v>0.93137254901960786</v>
      </c>
      <c r="AD89" s="67">
        <f t="shared" si="12"/>
        <v>0.8970588235294118</v>
      </c>
    </row>
    <row r="90" spans="1:95" s="83" customFormat="1" ht="14.5" customHeight="1" x14ac:dyDescent="0.2">
      <c r="A90" t="s">
        <v>476</v>
      </c>
      <c r="B90" s="4">
        <v>1</v>
      </c>
      <c r="C90" s="17">
        <v>0</v>
      </c>
      <c r="D90" s="22" t="s">
        <v>642</v>
      </c>
      <c r="E90" s="22" t="s">
        <v>643</v>
      </c>
      <c r="F90" s="4">
        <f t="shared" si="7"/>
        <v>2019</v>
      </c>
      <c r="G90" s="18">
        <v>43658</v>
      </c>
      <c r="H90" s="22" t="s">
        <v>479</v>
      </c>
      <c r="I90" s="4">
        <v>0</v>
      </c>
      <c r="J90" s="5" t="s">
        <v>674</v>
      </c>
      <c r="K90" s="74" t="s">
        <v>485</v>
      </c>
      <c r="L90" s="59">
        <v>1</v>
      </c>
      <c r="M90" s="49" t="s">
        <v>2557</v>
      </c>
      <c r="N90" s="22" t="s">
        <v>2627</v>
      </c>
      <c r="O90" s="29"/>
      <c r="P90" s="22" t="s">
        <v>675</v>
      </c>
      <c r="Q90" s="29" t="s">
        <v>676</v>
      </c>
      <c r="R90" s="17">
        <v>1</v>
      </c>
      <c r="S90" s="77">
        <v>0</v>
      </c>
      <c r="T90" s="77">
        <v>0</v>
      </c>
      <c r="U90" s="17">
        <v>1</v>
      </c>
      <c r="V90" s="78">
        <v>1</v>
      </c>
      <c r="W90" s="17">
        <v>99</v>
      </c>
      <c r="X90" s="17">
        <v>6</v>
      </c>
      <c r="Y90" s="17">
        <v>2</v>
      </c>
      <c r="Z90" s="73">
        <f t="shared" si="8"/>
        <v>107</v>
      </c>
      <c r="AA90" s="11">
        <f t="shared" si="9"/>
        <v>0.92523364485981308</v>
      </c>
      <c r="AB90" s="11">
        <f t="shared" si="10"/>
        <v>5.6074766355140186E-2</v>
      </c>
      <c r="AC90" s="66">
        <f t="shared" si="11"/>
        <v>0.92523364485981308</v>
      </c>
      <c r="AD90" s="67">
        <f t="shared" si="12"/>
        <v>0.88785046728971961</v>
      </c>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row>
    <row r="91" spans="1:95" ht="14.5" customHeight="1" x14ac:dyDescent="0.2">
      <c r="A91" s="21" t="s">
        <v>476</v>
      </c>
      <c r="B91" s="4">
        <v>1</v>
      </c>
      <c r="C91" s="17">
        <v>0</v>
      </c>
      <c r="D91" s="22" t="s">
        <v>642</v>
      </c>
      <c r="E91" s="22" t="s">
        <v>643</v>
      </c>
      <c r="F91" s="4">
        <f t="shared" si="7"/>
        <v>2019</v>
      </c>
      <c r="G91" s="18">
        <v>43658</v>
      </c>
      <c r="H91" s="79" t="s">
        <v>479</v>
      </c>
      <c r="I91" s="4">
        <v>0</v>
      </c>
      <c r="J91" s="82" t="s">
        <v>2870</v>
      </c>
      <c r="K91" s="74" t="s">
        <v>485</v>
      </c>
      <c r="L91" s="59">
        <v>1</v>
      </c>
      <c r="M91" s="22" t="s">
        <v>2600</v>
      </c>
      <c r="N91" s="55" t="s">
        <v>2628</v>
      </c>
      <c r="O91" s="29"/>
      <c r="P91" s="22" t="s">
        <v>2872</v>
      </c>
      <c r="Q91" s="81" t="s">
        <v>2871</v>
      </c>
      <c r="R91" s="17">
        <v>1</v>
      </c>
      <c r="S91" s="77">
        <v>0</v>
      </c>
      <c r="T91" s="77">
        <v>0</v>
      </c>
      <c r="U91" s="17">
        <v>1</v>
      </c>
      <c r="V91" s="78">
        <v>1</v>
      </c>
      <c r="W91" s="17">
        <v>89</v>
      </c>
      <c r="X91" s="17">
        <v>6</v>
      </c>
      <c r="Y91" s="17">
        <v>4</v>
      </c>
      <c r="Z91" s="73">
        <f t="shared" si="8"/>
        <v>99</v>
      </c>
      <c r="AA91" s="11">
        <f t="shared" si="9"/>
        <v>0.89898989898989901</v>
      </c>
      <c r="AB91" s="11">
        <f t="shared" si="10"/>
        <v>6.0606060606060608E-2</v>
      </c>
      <c r="AC91" s="66">
        <f t="shared" si="11"/>
        <v>0.89898989898989901</v>
      </c>
      <c r="AD91" s="67">
        <f t="shared" si="12"/>
        <v>0.84848484848484851</v>
      </c>
    </row>
    <row r="92" spans="1:95" ht="14.5" customHeight="1" x14ac:dyDescent="0.2">
      <c r="A92" s="84" t="s">
        <v>2956</v>
      </c>
      <c r="B92" s="7">
        <v>0</v>
      </c>
      <c r="C92" s="4">
        <v>0</v>
      </c>
      <c r="D92" s="58" t="s">
        <v>86</v>
      </c>
      <c r="E92" s="58" t="s">
        <v>87</v>
      </c>
      <c r="F92" s="17">
        <f t="shared" si="7"/>
        <v>1993</v>
      </c>
      <c r="G92" s="28">
        <v>34193</v>
      </c>
      <c r="H92" s="22" t="s">
        <v>2959</v>
      </c>
      <c r="I92" s="64">
        <v>0</v>
      </c>
      <c r="J92" s="5" t="s">
        <v>88</v>
      </c>
      <c r="K92" s="17">
        <v>0</v>
      </c>
      <c r="L92" s="59">
        <v>1</v>
      </c>
      <c r="M92" s="5" t="s">
        <v>2558</v>
      </c>
      <c r="N92" s="5" t="s">
        <v>2630</v>
      </c>
      <c r="P92" s="5" t="s">
        <v>89</v>
      </c>
      <c r="Q92" s="29" t="s">
        <v>90</v>
      </c>
      <c r="R92" s="17">
        <v>1</v>
      </c>
      <c r="S92" s="17">
        <v>0</v>
      </c>
      <c r="T92" s="17">
        <v>0</v>
      </c>
      <c r="U92" s="17">
        <v>1</v>
      </c>
      <c r="V92" s="17">
        <v>0</v>
      </c>
      <c r="W92" s="17">
        <v>109</v>
      </c>
      <c r="X92" s="17">
        <v>38</v>
      </c>
      <c r="Y92" s="17">
        <v>16</v>
      </c>
      <c r="Z92" s="64">
        <f t="shared" si="8"/>
        <v>163</v>
      </c>
      <c r="AA92" s="11">
        <f t="shared" si="9"/>
        <v>0.66871165644171782</v>
      </c>
      <c r="AB92" s="11">
        <f t="shared" si="10"/>
        <v>0.23312883435582821</v>
      </c>
      <c r="AC92" s="66">
        <f t="shared" si="11"/>
        <v>0.66871165644171782</v>
      </c>
      <c r="AD92" s="67">
        <f t="shared" si="12"/>
        <v>0.50306748466257667</v>
      </c>
    </row>
    <row r="93" spans="1:95" ht="14.5" customHeight="1" x14ac:dyDescent="0.2">
      <c r="A93" s="84" t="s">
        <v>2956</v>
      </c>
      <c r="B93" s="7">
        <v>0</v>
      </c>
      <c r="C93" s="4">
        <v>1</v>
      </c>
      <c r="D93" s="58" t="s">
        <v>91</v>
      </c>
      <c r="E93" s="58" t="s">
        <v>87</v>
      </c>
      <c r="F93" s="17">
        <f t="shared" si="7"/>
        <v>1995</v>
      </c>
      <c r="G93" s="28">
        <v>35041</v>
      </c>
      <c r="H93" s="22" t="s">
        <v>2959</v>
      </c>
      <c r="I93" s="64">
        <v>0</v>
      </c>
      <c r="J93" s="8" t="s">
        <v>92</v>
      </c>
      <c r="K93" s="17">
        <v>0</v>
      </c>
      <c r="L93" s="59">
        <v>1</v>
      </c>
      <c r="M93" s="22" t="s">
        <v>2564</v>
      </c>
      <c r="N93" s="22" t="s">
        <v>2630</v>
      </c>
      <c r="O93" s="8"/>
      <c r="P93" s="8" t="s">
        <v>93</v>
      </c>
      <c r="Q93" s="29" t="s">
        <v>94</v>
      </c>
      <c r="R93" s="9">
        <v>1</v>
      </c>
      <c r="S93" s="9">
        <v>0</v>
      </c>
      <c r="T93" s="9">
        <v>0</v>
      </c>
      <c r="U93" s="7">
        <v>1</v>
      </c>
      <c r="V93" s="7">
        <v>0</v>
      </c>
      <c r="W93" s="17">
        <v>126</v>
      </c>
      <c r="X93" s="17">
        <v>28</v>
      </c>
      <c r="Y93" s="17">
        <v>0</v>
      </c>
      <c r="Z93" s="64">
        <f t="shared" si="8"/>
        <v>154</v>
      </c>
      <c r="AA93" s="11">
        <f t="shared" si="9"/>
        <v>0.81818181818181823</v>
      </c>
      <c r="AB93" s="11">
        <f t="shared" si="10"/>
        <v>0.18181818181818182</v>
      </c>
      <c r="AC93" s="66">
        <f t="shared" si="11"/>
        <v>0.81818181818181823</v>
      </c>
      <c r="AD93" s="67">
        <f t="shared" si="12"/>
        <v>0.72727272727272729</v>
      </c>
    </row>
    <row r="94" spans="1:95" ht="14.5" customHeight="1" x14ac:dyDescent="0.2">
      <c r="A94" s="84" t="s">
        <v>2956</v>
      </c>
      <c r="B94" s="17">
        <v>0</v>
      </c>
      <c r="C94" s="17">
        <v>0</v>
      </c>
      <c r="D94" s="22" t="s">
        <v>95</v>
      </c>
      <c r="E94" s="22" t="s">
        <v>96</v>
      </c>
      <c r="F94" s="17">
        <f t="shared" si="7"/>
        <v>1996</v>
      </c>
      <c r="G94" s="18">
        <v>35419</v>
      </c>
      <c r="H94" s="22" t="s">
        <v>2959</v>
      </c>
      <c r="I94" s="64">
        <v>0</v>
      </c>
      <c r="J94" s="8" t="s">
        <v>97</v>
      </c>
      <c r="K94" s="17">
        <v>0</v>
      </c>
      <c r="L94" s="59">
        <v>1</v>
      </c>
      <c r="M94" s="22" t="s">
        <v>2559</v>
      </c>
      <c r="N94" s="22" t="s">
        <v>2630</v>
      </c>
      <c r="O94" s="8"/>
      <c r="P94" s="8" t="s">
        <v>98</v>
      </c>
      <c r="Q94" s="29" t="s">
        <v>99</v>
      </c>
      <c r="R94" s="9">
        <v>1</v>
      </c>
      <c r="S94" s="9">
        <v>0</v>
      </c>
      <c r="T94" s="9">
        <v>0</v>
      </c>
      <c r="U94" s="7">
        <v>1</v>
      </c>
      <c r="V94" s="7">
        <v>0</v>
      </c>
      <c r="W94" s="64">
        <v>138</v>
      </c>
      <c r="X94" s="64">
        <v>39</v>
      </c>
      <c r="Y94" s="64">
        <v>1</v>
      </c>
      <c r="Z94" s="64">
        <f t="shared" si="8"/>
        <v>178</v>
      </c>
      <c r="AA94" s="11">
        <f t="shared" si="9"/>
        <v>0.7752808988764045</v>
      </c>
      <c r="AB94" s="11">
        <f t="shared" si="10"/>
        <v>0.21910112359550563</v>
      </c>
      <c r="AC94" s="66">
        <f t="shared" si="11"/>
        <v>0.7752808988764045</v>
      </c>
      <c r="AD94" s="67">
        <f t="shared" si="12"/>
        <v>0.6629213483146067</v>
      </c>
    </row>
    <row r="95" spans="1:95" ht="14.5" customHeight="1" x14ac:dyDescent="0.2">
      <c r="A95" s="84" t="s">
        <v>2956</v>
      </c>
      <c r="B95" s="17">
        <v>1</v>
      </c>
      <c r="C95" s="17">
        <v>0</v>
      </c>
      <c r="D95" s="22" t="s">
        <v>100</v>
      </c>
      <c r="E95" s="22" t="s">
        <v>101</v>
      </c>
      <c r="F95" s="17">
        <f t="shared" si="7"/>
        <v>1999</v>
      </c>
      <c r="G95" s="18">
        <v>36243</v>
      </c>
      <c r="H95" s="22" t="s">
        <v>2959</v>
      </c>
      <c r="I95" s="64">
        <v>0</v>
      </c>
      <c r="J95" s="5" t="s">
        <v>105</v>
      </c>
      <c r="K95" s="17">
        <v>0</v>
      </c>
      <c r="L95" s="59">
        <v>1</v>
      </c>
      <c r="M95" s="22" t="s">
        <v>2567</v>
      </c>
      <c r="N95" s="22" t="s">
        <v>2630</v>
      </c>
      <c r="P95" s="5" t="s">
        <v>106</v>
      </c>
      <c r="Q95" s="29" t="s">
        <v>107</v>
      </c>
      <c r="R95" s="17">
        <v>1</v>
      </c>
      <c r="S95" s="17">
        <v>0</v>
      </c>
      <c r="T95" s="17">
        <v>0</v>
      </c>
      <c r="U95" s="17">
        <v>1</v>
      </c>
      <c r="V95" s="17">
        <v>0</v>
      </c>
      <c r="W95" s="64">
        <v>148</v>
      </c>
      <c r="X95" s="64">
        <v>27</v>
      </c>
      <c r="Y95" s="64">
        <v>13</v>
      </c>
      <c r="Z95" s="64">
        <f t="shared" si="8"/>
        <v>188</v>
      </c>
      <c r="AA95" s="11">
        <f t="shared" si="9"/>
        <v>0.78723404255319152</v>
      </c>
      <c r="AB95" s="11">
        <f t="shared" si="10"/>
        <v>0.14361702127659576</v>
      </c>
      <c r="AC95" s="66">
        <f t="shared" si="11"/>
        <v>0.78723404255319152</v>
      </c>
      <c r="AD95" s="67">
        <f t="shared" si="12"/>
        <v>0.68085106382978722</v>
      </c>
    </row>
    <row r="96" spans="1:95" ht="14.5" customHeight="1" x14ac:dyDescent="0.2">
      <c r="A96" s="84" t="s">
        <v>2956</v>
      </c>
      <c r="B96" s="17">
        <v>1</v>
      </c>
      <c r="C96" s="17">
        <v>0</v>
      </c>
      <c r="D96" s="22" t="s">
        <v>100</v>
      </c>
      <c r="E96" s="22" t="s">
        <v>101</v>
      </c>
      <c r="F96" s="17">
        <f t="shared" si="7"/>
        <v>1999</v>
      </c>
      <c r="G96" s="18">
        <v>36243</v>
      </c>
      <c r="H96" s="22" t="s">
        <v>2959</v>
      </c>
      <c r="I96" s="64">
        <v>0</v>
      </c>
      <c r="J96" s="5" t="s">
        <v>102</v>
      </c>
      <c r="K96" s="17">
        <v>0</v>
      </c>
      <c r="L96" s="59">
        <v>1</v>
      </c>
      <c r="M96" s="5" t="s">
        <v>165</v>
      </c>
      <c r="N96" s="24" t="s">
        <v>2630</v>
      </c>
      <c r="P96" s="5" t="s">
        <v>103</v>
      </c>
      <c r="Q96" s="29" t="s">
        <v>104</v>
      </c>
      <c r="R96" s="17">
        <v>1</v>
      </c>
      <c r="S96" s="17">
        <v>0</v>
      </c>
      <c r="T96" s="17">
        <v>0</v>
      </c>
      <c r="U96" s="17">
        <v>1</v>
      </c>
      <c r="V96" s="17">
        <v>0</v>
      </c>
      <c r="W96" s="64">
        <v>153</v>
      </c>
      <c r="X96" s="64">
        <v>35</v>
      </c>
      <c r="Y96" s="64">
        <v>3</v>
      </c>
      <c r="Z96" s="64">
        <f t="shared" si="8"/>
        <v>191</v>
      </c>
      <c r="AA96" s="11">
        <f t="shared" si="9"/>
        <v>0.80104712041884818</v>
      </c>
      <c r="AB96" s="11">
        <f t="shared" si="10"/>
        <v>0.18324607329842932</v>
      </c>
      <c r="AC96" s="66">
        <f t="shared" si="11"/>
        <v>0.80104712041884818</v>
      </c>
      <c r="AD96" s="67">
        <f t="shared" si="12"/>
        <v>0.70157068062827221</v>
      </c>
    </row>
    <row r="97" spans="1:30" ht="14.5" customHeight="1" x14ac:dyDescent="0.2">
      <c r="A97" s="84" t="s">
        <v>2956</v>
      </c>
      <c r="B97" s="17">
        <v>1</v>
      </c>
      <c r="C97" s="17">
        <v>0</v>
      </c>
      <c r="D97" s="22" t="s">
        <v>100</v>
      </c>
      <c r="E97" s="22" t="s">
        <v>101</v>
      </c>
      <c r="F97" s="17">
        <f t="shared" ref="F97:F128" si="13">YEAR(G97)</f>
        <v>1999</v>
      </c>
      <c r="G97" s="18">
        <v>36264</v>
      </c>
      <c r="H97" s="22" t="s">
        <v>2959</v>
      </c>
      <c r="I97" s="64">
        <v>0</v>
      </c>
      <c r="J97" s="5" t="s">
        <v>108</v>
      </c>
      <c r="K97" s="17">
        <v>0</v>
      </c>
      <c r="L97" s="59">
        <v>1</v>
      </c>
      <c r="M97" s="22" t="s">
        <v>109</v>
      </c>
      <c r="N97" s="22" t="s">
        <v>2630</v>
      </c>
      <c r="P97" s="5" t="s">
        <v>110</v>
      </c>
      <c r="Q97" s="29" t="s">
        <v>111</v>
      </c>
      <c r="R97" s="17">
        <v>1</v>
      </c>
      <c r="S97" s="17">
        <v>0</v>
      </c>
      <c r="T97" s="17">
        <v>0</v>
      </c>
      <c r="U97" s="17">
        <v>1</v>
      </c>
      <c r="V97" s="17">
        <v>0</v>
      </c>
      <c r="W97" s="64">
        <v>150</v>
      </c>
      <c r="X97" s="64">
        <v>22</v>
      </c>
      <c r="Y97" s="64">
        <v>4</v>
      </c>
      <c r="Z97" s="64">
        <f t="shared" si="8"/>
        <v>176</v>
      </c>
      <c r="AA97" s="11">
        <f t="shared" si="9"/>
        <v>0.85227272727272729</v>
      </c>
      <c r="AB97" s="11">
        <f t="shared" si="10"/>
        <v>0.125</v>
      </c>
      <c r="AC97" s="66">
        <f t="shared" si="11"/>
        <v>0.85227272727272729</v>
      </c>
      <c r="AD97" s="67">
        <f t="shared" si="12"/>
        <v>0.77840909090909094</v>
      </c>
    </row>
    <row r="98" spans="1:30" ht="14.5" customHeight="1" x14ac:dyDescent="0.2">
      <c r="A98" s="84" t="s">
        <v>2956</v>
      </c>
      <c r="B98" s="17">
        <v>1</v>
      </c>
      <c r="C98" s="17">
        <v>0</v>
      </c>
      <c r="D98" s="22" t="s">
        <v>100</v>
      </c>
      <c r="E98" s="22" t="s">
        <v>101</v>
      </c>
      <c r="F98" s="17">
        <f t="shared" si="13"/>
        <v>1999</v>
      </c>
      <c r="G98" s="18">
        <v>36326</v>
      </c>
      <c r="H98" s="22" t="s">
        <v>2959</v>
      </c>
      <c r="I98" s="64">
        <v>0</v>
      </c>
      <c r="J98" s="5" t="s">
        <v>112</v>
      </c>
      <c r="K98" s="17">
        <v>0</v>
      </c>
      <c r="L98" s="59">
        <v>1</v>
      </c>
      <c r="M98" s="5" t="s">
        <v>165</v>
      </c>
      <c r="N98" s="24" t="s">
        <v>2630</v>
      </c>
      <c r="P98" s="5" t="s">
        <v>113</v>
      </c>
      <c r="Q98" s="29" t="s">
        <v>114</v>
      </c>
      <c r="R98" s="17">
        <v>1</v>
      </c>
      <c r="S98" s="17">
        <v>0</v>
      </c>
      <c r="T98" s="17">
        <v>0</v>
      </c>
      <c r="U98" s="17">
        <v>1</v>
      </c>
      <c r="V98" s="17">
        <v>1</v>
      </c>
      <c r="W98" s="64">
        <v>122</v>
      </c>
      <c r="X98" s="64">
        <v>25</v>
      </c>
      <c r="Y98" s="64">
        <v>23</v>
      </c>
      <c r="Z98" s="64">
        <f t="shared" si="8"/>
        <v>170</v>
      </c>
      <c r="AA98" s="11">
        <f t="shared" si="9"/>
        <v>0.71764705882352942</v>
      </c>
      <c r="AB98" s="11">
        <f t="shared" si="10"/>
        <v>0.14705882352941177</v>
      </c>
      <c r="AC98" s="66">
        <f t="shared" si="11"/>
        <v>0.71764705882352942</v>
      </c>
      <c r="AD98" s="67">
        <f t="shared" si="12"/>
        <v>0.57647058823529407</v>
      </c>
    </row>
    <row r="99" spans="1:30" ht="14.5" customHeight="1" x14ac:dyDescent="0.2">
      <c r="A99" s="84" t="s">
        <v>2956</v>
      </c>
      <c r="B99" s="17">
        <v>1</v>
      </c>
      <c r="C99" s="17">
        <v>0</v>
      </c>
      <c r="D99" s="22" t="s">
        <v>100</v>
      </c>
      <c r="E99" s="22" t="s">
        <v>101</v>
      </c>
      <c r="F99" s="17">
        <f t="shared" si="13"/>
        <v>1999</v>
      </c>
      <c r="G99" s="18">
        <v>36455</v>
      </c>
      <c r="H99" s="22" t="s">
        <v>2959</v>
      </c>
      <c r="I99" s="64">
        <v>0</v>
      </c>
      <c r="J99" s="5" t="s">
        <v>115</v>
      </c>
      <c r="K99" s="17">
        <v>0</v>
      </c>
      <c r="L99" s="59">
        <v>1</v>
      </c>
      <c r="M99" s="5" t="s">
        <v>165</v>
      </c>
      <c r="N99" s="24" t="s">
        <v>2630</v>
      </c>
      <c r="P99" s="5" t="s">
        <v>116</v>
      </c>
      <c r="Q99" s="29" t="s">
        <v>117</v>
      </c>
      <c r="R99" s="17">
        <v>1</v>
      </c>
      <c r="S99" s="17">
        <v>0</v>
      </c>
      <c r="T99" s="17">
        <v>0</v>
      </c>
      <c r="U99" s="17">
        <v>1</v>
      </c>
      <c r="V99" s="17">
        <v>1</v>
      </c>
      <c r="W99" s="64">
        <v>154</v>
      </c>
      <c r="X99" s="64">
        <v>21</v>
      </c>
      <c r="Y99" s="64">
        <v>2</v>
      </c>
      <c r="Z99" s="64">
        <f t="shared" si="8"/>
        <v>177</v>
      </c>
      <c r="AA99" s="11">
        <f t="shared" si="9"/>
        <v>0.87005649717514122</v>
      </c>
      <c r="AB99" s="11">
        <f t="shared" si="10"/>
        <v>0.11864406779661017</v>
      </c>
      <c r="AC99" s="66">
        <f t="shared" si="11"/>
        <v>0.87005649717514122</v>
      </c>
      <c r="AD99" s="67">
        <f t="shared" si="12"/>
        <v>0.80508474576271183</v>
      </c>
    </row>
    <row r="100" spans="1:30" ht="14.5" customHeight="1" x14ac:dyDescent="0.2">
      <c r="A100" s="84" t="s">
        <v>2956</v>
      </c>
      <c r="B100" s="17">
        <v>1</v>
      </c>
      <c r="C100" s="17">
        <v>0</v>
      </c>
      <c r="D100" s="22" t="s">
        <v>100</v>
      </c>
      <c r="E100" s="22" t="s">
        <v>101</v>
      </c>
      <c r="F100" s="17">
        <f t="shared" si="13"/>
        <v>2000</v>
      </c>
      <c r="G100" s="18">
        <v>36867</v>
      </c>
      <c r="H100" s="22" t="s">
        <v>2959</v>
      </c>
      <c r="I100" s="64">
        <v>0</v>
      </c>
      <c r="J100" s="5" t="s">
        <v>118</v>
      </c>
      <c r="K100" s="17">
        <v>0</v>
      </c>
      <c r="L100" s="59">
        <v>1</v>
      </c>
      <c r="M100" s="22" t="s">
        <v>1162</v>
      </c>
      <c r="N100" s="22" t="s">
        <v>2637</v>
      </c>
      <c r="O100" s="22" t="s">
        <v>120</v>
      </c>
      <c r="P100" s="5" t="s">
        <v>121</v>
      </c>
      <c r="Q100" s="29" t="s">
        <v>122</v>
      </c>
      <c r="R100" s="17">
        <v>1</v>
      </c>
      <c r="S100" s="17">
        <v>0</v>
      </c>
      <c r="T100" s="17">
        <v>0</v>
      </c>
      <c r="U100" s="17">
        <v>1</v>
      </c>
      <c r="V100" s="17">
        <v>1</v>
      </c>
      <c r="W100" s="64">
        <v>130</v>
      </c>
      <c r="X100" s="64">
        <v>25</v>
      </c>
      <c r="Y100" s="64">
        <v>18</v>
      </c>
      <c r="Z100" s="64">
        <f t="shared" si="8"/>
        <v>173</v>
      </c>
      <c r="AA100" s="11">
        <f t="shared" si="9"/>
        <v>0.75144508670520227</v>
      </c>
      <c r="AB100" s="11">
        <f t="shared" si="10"/>
        <v>0.14450867052023122</v>
      </c>
      <c r="AC100" s="66">
        <f t="shared" si="11"/>
        <v>0.75144508670520227</v>
      </c>
      <c r="AD100" s="67">
        <f t="shared" si="12"/>
        <v>0.62716763005780352</v>
      </c>
    </row>
    <row r="101" spans="1:30" ht="14.5" customHeight="1" x14ac:dyDescent="0.2">
      <c r="A101" s="84" t="s">
        <v>2956</v>
      </c>
      <c r="B101" s="17">
        <v>1</v>
      </c>
      <c r="C101" s="17">
        <v>0</v>
      </c>
      <c r="D101" s="22" t="s">
        <v>100</v>
      </c>
      <c r="E101" s="22" t="s">
        <v>101</v>
      </c>
      <c r="F101" s="17">
        <f t="shared" si="13"/>
        <v>2001</v>
      </c>
      <c r="G101" s="18">
        <v>37244</v>
      </c>
      <c r="H101" s="22" t="s">
        <v>2959</v>
      </c>
      <c r="I101" s="64">
        <v>0</v>
      </c>
      <c r="J101" s="5" t="s">
        <v>123</v>
      </c>
      <c r="K101" s="17">
        <v>0</v>
      </c>
      <c r="L101" s="59">
        <v>1</v>
      </c>
      <c r="M101" s="22" t="s">
        <v>1162</v>
      </c>
      <c r="N101" s="22" t="s">
        <v>2637</v>
      </c>
      <c r="O101" s="22" t="s">
        <v>125</v>
      </c>
      <c r="P101" s="5" t="s">
        <v>126</v>
      </c>
      <c r="Q101" s="29" t="s">
        <v>127</v>
      </c>
      <c r="R101" s="17">
        <v>1</v>
      </c>
      <c r="S101" s="17">
        <v>0</v>
      </c>
      <c r="T101" s="17">
        <v>0</v>
      </c>
      <c r="U101" s="17">
        <v>0</v>
      </c>
      <c r="V101" s="17">
        <v>0</v>
      </c>
      <c r="W101" s="64">
        <v>113</v>
      </c>
      <c r="X101" s="64">
        <v>20</v>
      </c>
      <c r="Y101" s="64">
        <v>3</v>
      </c>
      <c r="Z101" s="64">
        <f t="shared" si="8"/>
        <v>136</v>
      </c>
      <c r="AA101" s="11">
        <f t="shared" si="9"/>
        <v>0.83088235294117652</v>
      </c>
      <c r="AB101" s="11">
        <f t="shared" si="10"/>
        <v>0.14705882352941177</v>
      </c>
      <c r="AC101" s="66">
        <f t="shared" si="11"/>
        <v>0.83088235294117652</v>
      </c>
      <c r="AD101" s="67">
        <f t="shared" si="12"/>
        <v>0.74632352941176472</v>
      </c>
    </row>
    <row r="102" spans="1:30" ht="14.5" customHeight="1" x14ac:dyDescent="0.2">
      <c r="A102" s="84" t="s">
        <v>2956</v>
      </c>
      <c r="B102" s="17">
        <v>1</v>
      </c>
      <c r="C102" s="17">
        <v>0</v>
      </c>
      <c r="D102" s="22" t="s">
        <v>100</v>
      </c>
      <c r="E102" s="22" t="s">
        <v>101</v>
      </c>
      <c r="F102" s="17">
        <f t="shared" si="13"/>
        <v>2002</v>
      </c>
      <c r="G102" s="18">
        <v>37355</v>
      </c>
      <c r="H102" s="22" t="s">
        <v>2959</v>
      </c>
      <c r="I102" s="64">
        <v>0</v>
      </c>
      <c r="J102" s="5" t="s">
        <v>128</v>
      </c>
      <c r="K102" s="17">
        <v>0</v>
      </c>
      <c r="L102" s="59">
        <v>1</v>
      </c>
      <c r="M102" s="22" t="s">
        <v>129</v>
      </c>
      <c r="N102" s="22" t="s">
        <v>422</v>
      </c>
      <c r="P102" s="5" t="s">
        <v>130</v>
      </c>
      <c r="Q102" s="29" t="s">
        <v>131</v>
      </c>
      <c r="R102" s="17">
        <v>1</v>
      </c>
      <c r="S102" s="17">
        <v>0</v>
      </c>
      <c r="T102" s="17">
        <v>0</v>
      </c>
      <c r="U102" s="17">
        <v>1</v>
      </c>
      <c r="V102" s="17">
        <v>0</v>
      </c>
      <c r="W102" s="64">
        <v>127</v>
      </c>
      <c r="X102" s="64">
        <v>18</v>
      </c>
      <c r="Y102" s="64">
        <v>2</v>
      </c>
      <c r="Z102" s="64">
        <f t="shared" si="8"/>
        <v>147</v>
      </c>
      <c r="AA102" s="11">
        <f t="shared" si="9"/>
        <v>0.86394557823129248</v>
      </c>
      <c r="AB102" s="11">
        <f t="shared" si="10"/>
        <v>0.12244897959183673</v>
      </c>
      <c r="AC102" s="66">
        <f t="shared" si="11"/>
        <v>0.86394557823129248</v>
      </c>
      <c r="AD102" s="67">
        <f t="shared" si="12"/>
        <v>0.79591836734693877</v>
      </c>
    </row>
    <row r="103" spans="1:30" ht="14.5" customHeight="1" x14ac:dyDescent="0.2">
      <c r="A103" s="84" t="s">
        <v>2956</v>
      </c>
      <c r="B103" s="17">
        <v>1</v>
      </c>
      <c r="C103" s="17">
        <v>0</v>
      </c>
      <c r="D103" s="22" t="s">
        <v>132</v>
      </c>
      <c r="E103" s="22" t="s">
        <v>133</v>
      </c>
      <c r="F103" s="17">
        <f t="shared" si="13"/>
        <v>2002</v>
      </c>
      <c r="G103" s="18">
        <v>37545</v>
      </c>
      <c r="H103" s="22" t="s">
        <v>2959</v>
      </c>
      <c r="I103" s="64">
        <v>0</v>
      </c>
      <c r="J103" s="5" t="s">
        <v>134</v>
      </c>
      <c r="K103" s="17">
        <v>0</v>
      </c>
      <c r="L103" s="59">
        <v>1</v>
      </c>
      <c r="M103" s="22" t="s">
        <v>1162</v>
      </c>
      <c r="N103" s="22" t="s">
        <v>2637</v>
      </c>
      <c r="O103" s="22" t="s">
        <v>136</v>
      </c>
      <c r="P103" s="5" t="s">
        <v>137</v>
      </c>
      <c r="Q103" s="29" t="s">
        <v>138</v>
      </c>
      <c r="R103" s="17">
        <v>1</v>
      </c>
      <c r="S103" s="17">
        <v>0</v>
      </c>
      <c r="T103" s="17">
        <v>0</v>
      </c>
      <c r="U103" s="17">
        <v>1</v>
      </c>
      <c r="V103" s="17">
        <v>1</v>
      </c>
      <c r="W103" s="64">
        <v>127</v>
      </c>
      <c r="X103" s="64">
        <v>34</v>
      </c>
      <c r="Y103" s="64">
        <v>5</v>
      </c>
      <c r="Z103" s="64">
        <f t="shared" si="8"/>
        <v>166</v>
      </c>
      <c r="AA103" s="11">
        <f t="shared" si="9"/>
        <v>0.76506024096385539</v>
      </c>
      <c r="AB103" s="11">
        <f t="shared" si="10"/>
        <v>0.20481927710843373</v>
      </c>
      <c r="AC103" s="66">
        <f t="shared" si="11"/>
        <v>0.76506024096385539</v>
      </c>
      <c r="AD103" s="67">
        <f t="shared" si="12"/>
        <v>0.64759036144578308</v>
      </c>
    </row>
    <row r="104" spans="1:30" ht="14.5" customHeight="1" x14ac:dyDescent="0.2">
      <c r="A104" s="84" t="s">
        <v>2956</v>
      </c>
      <c r="B104" s="17">
        <v>1</v>
      </c>
      <c r="C104" s="17">
        <v>0</v>
      </c>
      <c r="D104" s="22" t="s">
        <v>132</v>
      </c>
      <c r="E104" s="22" t="s">
        <v>133</v>
      </c>
      <c r="F104" s="17">
        <f t="shared" si="13"/>
        <v>2003</v>
      </c>
      <c r="G104" s="18">
        <v>37726</v>
      </c>
      <c r="H104" s="22" t="s">
        <v>2960</v>
      </c>
      <c r="I104" s="64">
        <v>0</v>
      </c>
      <c r="J104" s="5" t="s">
        <v>265</v>
      </c>
      <c r="K104" s="17">
        <v>0</v>
      </c>
      <c r="L104" s="59">
        <v>1</v>
      </c>
      <c r="M104" t="s">
        <v>30</v>
      </c>
      <c r="N104" t="s">
        <v>2121</v>
      </c>
      <c r="P104" s="5" t="s">
        <v>266</v>
      </c>
      <c r="Q104" s="29" t="s">
        <v>267</v>
      </c>
      <c r="R104" s="17">
        <v>1</v>
      </c>
      <c r="S104" s="17">
        <v>0</v>
      </c>
      <c r="T104" s="17">
        <v>0</v>
      </c>
      <c r="U104" s="17">
        <v>1</v>
      </c>
      <c r="V104" s="17">
        <v>1</v>
      </c>
      <c r="W104" s="64">
        <v>65</v>
      </c>
      <c r="X104" s="64">
        <v>0</v>
      </c>
      <c r="Y104" s="64">
        <v>5</v>
      </c>
      <c r="Z104" s="64">
        <f t="shared" si="8"/>
        <v>70</v>
      </c>
      <c r="AA104" s="11">
        <f t="shared" si="9"/>
        <v>0.9285714285714286</v>
      </c>
      <c r="AB104" s="11">
        <f t="shared" si="10"/>
        <v>0</v>
      </c>
      <c r="AC104" s="66">
        <f t="shared" si="11"/>
        <v>0.9285714285714286</v>
      </c>
      <c r="AD104" s="67">
        <f t="shared" si="12"/>
        <v>0.8928571428571429</v>
      </c>
    </row>
    <row r="105" spans="1:30" ht="14.5" customHeight="1" x14ac:dyDescent="0.2">
      <c r="A105" s="84" t="s">
        <v>2956</v>
      </c>
      <c r="B105" s="17">
        <v>1</v>
      </c>
      <c r="C105" s="17">
        <v>0</v>
      </c>
      <c r="D105" s="22" t="s">
        <v>132</v>
      </c>
      <c r="E105" s="22" t="s">
        <v>133</v>
      </c>
      <c r="F105" s="17">
        <f t="shared" si="13"/>
        <v>2003</v>
      </c>
      <c r="G105" s="18">
        <v>37726</v>
      </c>
      <c r="H105" s="22" t="s">
        <v>2959</v>
      </c>
      <c r="I105" s="64">
        <v>0</v>
      </c>
      <c r="J105" s="5" t="s">
        <v>139</v>
      </c>
      <c r="K105" s="17">
        <v>0</v>
      </c>
      <c r="L105" s="59">
        <v>1</v>
      </c>
      <c r="M105" t="s">
        <v>30</v>
      </c>
      <c r="N105" t="s">
        <v>2121</v>
      </c>
      <c r="P105" s="5" t="s">
        <v>140</v>
      </c>
      <c r="Q105" s="29" t="s">
        <v>141</v>
      </c>
      <c r="R105" s="17">
        <v>1</v>
      </c>
      <c r="S105" s="17">
        <v>0</v>
      </c>
      <c r="T105" s="17">
        <v>0</v>
      </c>
      <c r="U105" s="17">
        <v>1</v>
      </c>
      <c r="V105" s="17">
        <v>1</v>
      </c>
      <c r="W105" s="64">
        <v>133</v>
      </c>
      <c r="X105" s="64">
        <v>41</v>
      </c>
      <c r="Y105" s="64">
        <v>3</v>
      </c>
      <c r="Z105" s="64">
        <f t="shared" si="8"/>
        <v>177</v>
      </c>
      <c r="AA105" s="11">
        <f t="shared" si="9"/>
        <v>0.75141242937853103</v>
      </c>
      <c r="AB105" s="11">
        <f t="shared" si="10"/>
        <v>0.23163841807909605</v>
      </c>
      <c r="AC105" s="66">
        <f t="shared" si="11"/>
        <v>0.75141242937853103</v>
      </c>
      <c r="AD105" s="67">
        <f t="shared" si="12"/>
        <v>0.6271186440677966</v>
      </c>
    </row>
    <row r="106" spans="1:30" ht="14.5" customHeight="1" x14ac:dyDescent="0.2">
      <c r="A106" s="84" t="s">
        <v>2956</v>
      </c>
      <c r="B106" s="17">
        <v>1</v>
      </c>
      <c r="C106" s="17">
        <v>0</v>
      </c>
      <c r="D106" s="22" t="s">
        <v>132</v>
      </c>
      <c r="E106" s="22" t="s">
        <v>133</v>
      </c>
      <c r="F106" s="17">
        <f t="shared" si="13"/>
        <v>2003</v>
      </c>
      <c r="G106" s="18">
        <v>37762</v>
      </c>
      <c r="H106" s="22" t="s">
        <v>2960</v>
      </c>
      <c r="I106" s="64">
        <v>0</v>
      </c>
      <c r="J106" s="5" t="s">
        <v>268</v>
      </c>
      <c r="K106" s="17">
        <v>0</v>
      </c>
      <c r="L106" s="59">
        <v>1</v>
      </c>
      <c r="M106" s="22" t="s">
        <v>2569</v>
      </c>
      <c r="N106" s="22" t="s">
        <v>2630</v>
      </c>
      <c r="P106" s="5" t="s">
        <v>269</v>
      </c>
      <c r="Q106" s="29" t="s">
        <v>270</v>
      </c>
      <c r="R106" s="17">
        <v>1</v>
      </c>
      <c r="S106" s="17">
        <v>0</v>
      </c>
      <c r="T106" s="17">
        <v>0</v>
      </c>
      <c r="U106" s="17">
        <v>1</v>
      </c>
      <c r="V106" s="17">
        <v>1</v>
      </c>
      <c r="W106" s="64">
        <v>47</v>
      </c>
      <c r="X106" s="64">
        <v>2</v>
      </c>
      <c r="Y106" s="64">
        <v>7</v>
      </c>
      <c r="Z106" s="64">
        <f t="shared" si="8"/>
        <v>56</v>
      </c>
      <c r="AA106" s="11">
        <f t="shared" si="9"/>
        <v>0.8392857142857143</v>
      </c>
      <c r="AB106" s="11">
        <f t="shared" si="10"/>
        <v>3.5714285714285712E-2</v>
      </c>
      <c r="AC106" s="66">
        <f t="shared" si="11"/>
        <v>0.8392857142857143</v>
      </c>
      <c r="AD106" s="67">
        <f t="shared" si="12"/>
        <v>0.7589285714285714</v>
      </c>
    </row>
    <row r="107" spans="1:30" ht="14.5" customHeight="1" x14ac:dyDescent="0.2">
      <c r="A107" s="84" t="s">
        <v>2956</v>
      </c>
      <c r="B107" s="17">
        <v>1</v>
      </c>
      <c r="C107" s="17">
        <v>0</v>
      </c>
      <c r="D107" s="22" t="s">
        <v>132</v>
      </c>
      <c r="E107" s="22" t="s">
        <v>133</v>
      </c>
      <c r="F107" s="17">
        <f t="shared" si="13"/>
        <v>2003</v>
      </c>
      <c r="G107" s="18">
        <v>37769</v>
      </c>
      <c r="H107" s="22" t="s">
        <v>2959</v>
      </c>
      <c r="I107" s="64">
        <v>0</v>
      </c>
      <c r="J107" s="5" t="s">
        <v>142</v>
      </c>
      <c r="K107" s="17">
        <v>0</v>
      </c>
      <c r="L107" s="59">
        <v>1</v>
      </c>
      <c r="M107" s="22" t="s">
        <v>2569</v>
      </c>
      <c r="N107" s="22" t="s">
        <v>2630</v>
      </c>
      <c r="P107" s="5" t="s">
        <v>143</v>
      </c>
      <c r="Q107" s="29" t="s">
        <v>144</v>
      </c>
      <c r="R107" s="17">
        <v>1</v>
      </c>
      <c r="S107" s="17">
        <v>0</v>
      </c>
      <c r="T107" s="17">
        <v>0</v>
      </c>
      <c r="U107" s="17">
        <v>1</v>
      </c>
      <c r="V107" s="17">
        <v>0</v>
      </c>
      <c r="W107" s="64">
        <v>107</v>
      </c>
      <c r="X107" s="64">
        <v>58</v>
      </c>
      <c r="Y107" s="64">
        <v>13</v>
      </c>
      <c r="Z107" s="64">
        <f t="shared" si="8"/>
        <v>178</v>
      </c>
      <c r="AA107" s="11">
        <f t="shared" si="9"/>
        <v>0.601123595505618</v>
      </c>
      <c r="AB107" s="11">
        <f t="shared" si="10"/>
        <v>0.3258426966292135</v>
      </c>
      <c r="AC107" s="66">
        <f t="shared" si="11"/>
        <v>0.601123595505618</v>
      </c>
      <c r="AD107" s="67">
        <f t="shared" si="12"/>
        <v>0.40168539325842695</v>
      </c>
    </row>
    <row r="108" spans="1:30" ht="14.5" customHeight="1" x14ac:dyDescent="0.2">
      <c r="A108" s="84" t="s">
        <v>2956</v>
      </c>
      <c r="B108" s="17">
        <v>1</v>
      </c>
      <c r="C108" s="17">
        <v>0</v>
      </c>
      <c r="D108" s="22" t="s">
        <v>132</v>
      </c>
      <c r="E108" s="22" t="s">
        <v>133</v>
      </c>
      <c r="F108" s="17">
        <f t="shared" si="13"/>
        <v>2003</v>
      </c>
      <c r="G108" s="18">
        <v>37798</v>
      </c>
      <c r="H108" s="22" t="s">
        <v>2960</v>
      </c>
      <c r="I108" s="64">
        <v>0</v>
      </c>
      <c r="J108" s="5" t="s">
        <v>271</v>
      </c>
      <c r="K108" s="17">
        <v>0</v>
      </c>
      <c r="L108" s="59">
        <v>1</v>
      </c>
      <c r="M108" t="s">
        <v>30</v>
      </c>
      <c r="N108" t="s">
        <v>2121</v>
      </c>
      <c r="P108" s="5" t="s">
        <v>272</v>
      </c>
      <c r="Q108" s="29" t="s">
        <v>273</v>
      </c>
      <c r="R108" s="17">
        <v>1</v>
      </c>
      <c r="S108" s="17">
        <v>0</v>
      </c>
      <c r="T108" s="17">
        <v>0</v>
      </c>
      <c r="U108" s="17">
        <v>1</v>
      </c>
      <c r="V108" s="17">
        <v>1</v>
      </c>
      <c r="W108" s="64">
        <v>49</v>
      </c>
      <c r="X108" s="64">
        <v>3</v>
      </c>
      <c r="Y108" s="64">
        <v>0</v>
      </c>
      <c r="Z108" s="64">
        <f t="shared" si="8"/>
        <v>52</v>
      </c>
      <c r="AA108" s="11">
        <f t="shared" si="9"/>
        <v>0.94230769230769229</v>
      </c>
      <c r="AB108" s="11">
        <f t="shared" si="10"/>
        <v>5.7692307692307696E-2</v>
      </c>
      <c r="AC108" s="66">
        <f t="shared" si="11"/>
        <v>0.94230769230769229</v>
      </c>
      <c r="AD108" s="67">
        <f t="shared" si="12"/>
        <v>0.91346153846153844</v>
      </c>
    </row>
    <row r="109" spans="1:30" ht="14.5" customHeight="1" x14ac:dyDescent="0.2">
      <c r="A109" s="84" t="s">
        <v>2956</v>
      </c>
      <c r="B109" s="17">
        <v>1</v>
      </c>
      <c r="C109" s="17">
        <v>0</v>
      </c>
      <c r="D109" s="22" t="s">
        <v>132</v>
      </c>
      <c r="E109" s="22" t="s">
        <v>133</v>
      </c>
      <c r="F109" s="17">
        <f t="shared" si="13"/>
        <v>2003</v>
      </c>
      <c r="G109" s="18">
        <v>37810</v>
      </c>
      <c r="H109" s="22" t="s">
        <v>2959</v>
      </c>
      <c r="I109" s="64">
        <v>0</v>
      </c>
      <c r="J109" s="5" t="s">
        <v>145</v>
      </c>
      <c r="K109" s="17">
        <v>0</v>
      </c>
      <c r="L109" s="59">
        <v>1</v>
      </c>
      <c r="M109" t="s">
        <v>30</v>
      </c>
      <c r="N109" t="s">
        <v>2121</v>
      </c>
      <c r="P109" s="5" t="s">
        <v>146</v>
      </c>
      <c r="Q109" s="29" t="s">
        <v>147</v>
      </c>
      <c r="R109" s="17">
        <v>1</v>
      </c>
      <c r="S109" s="17">
        <v>0</v>
      </c>
      <c r="T109" s="17">
        <v>0</v>
      </c>
      <c r="U109" s="17">
        <v>1</v>
      </c>
      <c r="V109" s="17">
        <v>0</v>
      </c>
      <c r="W109" s="64">
        <v>127</v>
      </c>
      <c r="X109" s="64">
        <v>34</v>
      </c>
      <c r="Y109" s="64">
        <v>10</v>
      </c>
      <c r="Z109" s="64">
        <f t="shared" si="8"/>
        <v>171</v>
      </c>
      <c r="AA109" s="11">
        <f t="shared" si="9"/>
        <v>0.74269005847953218</v>
      </c>
      <c r="AB109" s="11">
        <f t="shared" si="10"/>
        <v>0.19883040935672514</v>
      </c>
      <c r="AC109" s="66">
        <f t="shared" si="11"/>
        <v>0.74269005847953218</v>
      </c>
      <c r="AD109" s="67">
        <f t="shared" si="12"/>
        <v>0.61403508771929827</v>
      </c>
    </row>
    <row r="110" spans="1:30" ht="14.5" customHeight="1" x14ac:dyDescent="0.2">
      <c r="A110" s="84" t="s">
        <v>2956</v>
      </c>
      <c r="B110" s="17">
        <v>1</v>
      </c>
      <c r="C110" s="17">
        <v>0</v>
      </c>
      <c r="D110" s="22" t="s">
        <v>132</v>
      </c>
      <c r="E110" s="22" t="s">
        <v>133</v>
      </c>
      <c r="F110" s="17">
        <f t="shared" si="13"/>
        <v>2003</v>
      </c>
      <c r="G110" s="18">
        <v>37972</v>
      </c>
      <c r="H110" s="22" t="s">
        <v>2960</v>
      </c>
      <c r="I110" s="64">
        <v>0</v>
      </c>
      <c r="J110" s="5" t="s">
        <v>274</v>
      </c>
      <c r="K110" s="17">
        <v>0</v>
      </c>
      <c r="L110" s="59">
        <v>1</v>
      </c>
      <c r="M110" s="22" t="s">
        <v>1162</v>
      </c>
      <c r="N110" s="22" t="s">
        <v>2637</v>
      </c>
      <c r="O110" s="22" t="s">
        <v>275</v>
      </c>
      <c r="P110" s="5" t="s">
        <v>276</v>
      </c>
      <c r="Q110" s="29" t="s">
        <v>277</v>
      </c>
      <c r="R110" s="17">
        <v>1</v>
      </c>
      <c r="S110" s="17">
        <v>0</v>
      </c>
      <c r="T110" s="17">
        <v>0</v>
      </c>
      <c r="U110" s="17">
        <v>1</v>
      </c>
      <c r="V110" s="17">
        <v>1</v>
      </c>
      <c r="W110" s="64">
        <v>49</v>
      </c>
      <c r="X110" s="64">
        <v>4</v>
      </c>
      <c r="Y110" s="64">
        <v>6</v>
      </c>
      <c r="Z110" s="64">
        <f t="shared" si="8"/>
        <v>59</v>
      </c>
      <c r="AA110" s="11">
        <f t="shared" si="9"/>
        <v>0.83050847457627119</v>
      </c>
      <c r="AB110" s="11">
        <f t="shared" si="10"/>
        <v>6.7796610169491525E-2</v>
      </c>
      <c r="AC110" s="66">
        <f t="shared" si="11"/>
        <v>0.83050847457627119</v>
      </c>
      <c r="AD110" s="67">
        <f t="shared" si="12"/>
        <v>0.74576271186440679</v>
      </c>
    </row>
    <row r="111" spans="1:30" ht="14.5" customHeight="1" x14ac:dyDescent="0.2">
      <c r="A111" s="84" t="s">
        <v>2956</v>
      </c>
      <c r="B111" s="17">
        <v>1</v>
      </c>
      <c r="C111" s="17">
        <v>0</v>
      </c>
      <c r="D111" s="22" t="s">
        <v>132</v>
      </c>
      <c r="E111" s="22" t="s">
        <v>133</v>
      </c>
      <c r="F111" s="17">
        <f t="shared" si="13"/>
        <v>2003</v>
      </c>
      <c r="G111" s="18">
        <v>37973</v>
      </c>
      <c r="H111" s="22" t="s">
        <v>2959</v>
      </c>
      <c r="I111" s="64">
        <v>0</v>
      </c>
      <c r="J111" s="5" t="s">
        <v>148</v>
      </c>
      <c r="K111" s="17">
        <v>0</v>
      </c>
      <c r="L111" s="59">
        <v>1</v>
      </c>
      <c r="M111" s="22" t="s">
        <v>1162</v>
      </c>
      <c r="N111" s="22" t="s">
        <v>2637</v>
      </c>
      <c r="O111" s="22" t="s">
        <v>149</v>
      </c>
      <c r="P111" s="5" t="s">
        <v>150</v>
      </c>
      <c r="Q111" s="29" t="s">
        <v>151</v>
      </c>
      <c r="R111" s="17">
        <v>1</v>
      </c>
      <c r="S111" s="17">
        <v>0</v>
      </c>
      <c r="T111" s="17">
        <v>0</v>
      </c>
      <c r="U111" s="17">
        <v>1</v>
      </c>
      <c r="V111" s="17">
        <v>1</v>
      </c>
      <c r="W111" s="64">
        <v>110</v>
      </c>
      <c r="X111" s="64">
        <v>35</v>
      </c>
      <c r="Y111" s="64">
        <v>2</v>
      </c>
      <c r="Z111" s="64">
        <f t="shared" si="8"/>
        <v>147</v>
      </c>
      <c r="AA111" s="11">
        <f t="shared" si="9"/>
        <v>0.74829931972789121</v>
      </c>
      <c r="AB111" s="11">
        <f t="shared" si="10"/>
        <v>0.23809523809523808</v>
      </c>
      <c r="AC111" s="66">
        <f t="shared" si="11"/>
        <v>0.74829931972789121</v>
      </c>
      <c r="AD111" s="67">
        <f t="shared" si="12"/>
        <v>0.62244897959183676</v>
      </c>
    </row>
    <row r="112" spans="1:30" ht="14.5" customHeight="1" x14ac:dyDescent="0.2">
      <c r="A112" s="84" t="s">
        <v>2956</v>
      </c>
      <c r="B112" s="17">
        <v>1</v>
      </c>
      <c r="C112" s="17">
        <v>0</v>
      </c>
      <c r="D112" s="22" t="s">
        <v>132</v>
      </c>
      <c r="E112" s="22" t="s">
        <v>133</v>
      </c>
      <c r="F112" s="17">
        <f t="shared" si="13"/>
        <v>2004</v>
      </c>
      <c r="G112" s="18">
        <v>38042</v>
      </c>
      <c r="H112" s="22" t="s">
        <v>2959</v>
      </c>
      <c r="I112" s="64">
        <v>0</v>
      </c>
      <c r="J112" s="5" t="s">
        <v>152</v>
      </c>
      <c r="K112" s="17">
        <v>0</v>
      </c>
      <c r="L112" s="59">
        <v>1</v>
      </c>
      <c r="M112" s="22" t="s">
        <v>1162</v>
      </c>
      <c r="N112" s="22" t="s">
        <v>2636</v>
      </c>
      <c r="O112" s="22" t="s">
        <v>153</v>
      </c>
      <c r="P112" s="5" t="s">
        <v>154</v>
      </c>
      <c r="Q112" s="29" t="s">
        <v>155</v>
      </c>
      <c r="R112" s="17">
        <v>1</v>
      </c>
      <c r="S112" s="17">
        <v>0</v>
      </c>
      <c r="T112" s="17">
        <v>0</v>
      </c>
      <c r="U112" s="17">
        <v>1</v>
      </c>
      <c r="V112" s="17">
        <v>1</v>
      </c>
      <c r="W112" s="64">
        <v>127</v>
      </c>
      <c r="X112" s="64">
        <v>46</v>
      </c>
      <c r="Y112" s="64">
        <v>13</v>
      </c>
      <c r="Z112" s="64">
        <f t="shared" si="8"/>
        <v>186</v>
      </c>
      <c r="AA112" s="11">
        <f t="shared" si="9"/>
        <v>0.68279569892473113</v>
      </c>
      <c r="AB112" s="11">
        <f t="shared" si="10"/>
        <v>0.24731182795698925</v>
      </c>
      <c r="AC112" s="66">
        <f t="shared" si="11"/>
        <v>0.68279569892473113</v>
      </c>
      <c r="AD112" s="67">
        <f t="shared" si="12"/>
        <v>0.52419354838709675</v>
      </c>
    </row>
    <row r="113" spans="1:30" ht="14.5" customHeight="1" x14ac:dyDescent="0.2">
      <c r="A113" s="84" t="s">
        <v>2956</v>
      </c>
      <c r="B113" s="17">
        <v>1</v>
      </c>
      <c r="C113" s="17">
        <v>0</v>
      </c>
      <c r="D113" s="22" t="s">
        <v>132</v>
      </c>
      <c r="E113" s="22" t="s">
        <v>133</v>
      </c>
      <c r="F113" s="17">
        <f t="shared" si="13"/>
        <v>2004</v>
      </c>
      <c r="G113" s="18">
        <v>38162</v>
      </c>
      <c r="H113" s="22" t="s">
        <v>2960</v>
      </c>
      <c r="I113" s="64">
        <v>0</v>
      </c>
      <c r="J113" s="5" t="s">
        <v>278</v>
      </c>
      <c r="K113" s="17">
        <v>0</v>
      </c>
      <c r="L113" s="59">
        <v>1</v>
      </c>
      <c r="M113" s="22" t="s">
        <v>157</v>
      </c>
      <c r="N113" s="55" t="s">
        <v>2628</v>
      </c>
      <c r="P113" s="5" t="s">
        <v>279</v>
      </c>
      <c r="Q113" s="29" t="s">
        <v>280</v>
      </c>
      <c r="R113" s="17">
        <v>1</v>
      </c>
      <c r="S113" s="17">
        <v>0</v>
      </c>
      <c r="T113" s="17">
        <v>0</v>
      </c>
      <c r="U113" s="17">
        <v>1</v>
      </c>
      <c r="V113" s="17">
        <v>1</v>
      </c>
      <c r="W113" s="64">
        <v>45</v>
      </c>
      <c r="X113" s="64">
        <v>0</v>
      </c>
      <c r="Y113" s="64">
        <v>10</v>
      </c>
      <c r="Z113" s="64">
        <f t="shared" si="8"/>
        <v>55</v>
      </c>
      <c r="AA113" s="11">
        <f t="shared" si="9"/>
        <v>0.81818181818181823</v>
      </c>
      <c r="AB113" s="11">
        <f t="shared" si="10"/>
        <v>0</v>
      </c>
      <c r="AC113" s="66">
        <f t="shared" si="11"/>
        <v>0.81818181818181823</v>
      </c>
      <c r="AD113" s="67">
        <f t="shared" si="12"/>
        <v>0.72727272727272729</v>
      </c>
    </row>
    <row r="114" spans="1:30" ht="14.5" customHeight="1" x14ac:dyDescent="0.2">
      <c r="A114" s="84" t="s">
        <v>2956</v>
      </c>
      <c r="B114" s="17">
        <v>1</v>
      </c>
      <c r="C114" s="17">
        <v>0</v>
      </c>
      <c r="D114" s="22" t="s">
        <v>132</v>
      </c>
      <c r="E114" s="22" t="s">
        <v>133</v>
      </c>
      <c r="F114" s="17">
        <f t="shared" si="13"/>
        <v>2004</v>
      </c>
      <c r="G114" s="18">
        <v>38162</v>
      </c>
      <c r="H114" s="22" t="s">
        <v>2959</v>
      </c>
      <c r="I114" s="64">
        <v>0</v>
      </c>
      <c r="J114" s="5" t="s">
        <v>156</v>
      </c>
      <c r="K114" s="17">
        <v>0</v>
      </c>
      <c r="L114" s="59">
        <v>1</v>
      </c>
      <c r="M114" s="22" t="s">
        <v>157</v>
      </c>
      <c r="N114" s="55" t="s">
        <v>2628</v>
      </c>
      <c r="P114" s="5" t="s">
        <v>158</v>
      </c>
      <c r="Q114" s="29" t="s">
        <v>159</v>
      </c>
      <c r="R114" s="17">
        <v>1</v>
      </c>
      <c r="S114" s="17">
        <v>0</v>
      </c>
      <c r="T114" s="17">
        <v>0</v>
      </c>
      <c r="U114" s="17">
        <v>1</v>
      </c>
      <c r="V114" s="17">
        <v>0</v>
      </c>
      <c r="W114" s="64">
        <v>111</v>
      </c>
      <c r="X114" s="64">
        <v>40</v>
      </c>
      <c r="Y114" s="64">
        <v>25</v>
      </c>
      <c r="Z114" s="64">
        <f t="shared" si="8"/>
        <v>176</v>
      </c>
      <c r="AA114" s="11">
        <f t="shared" si="9"/>
        <v>0.63068181818181823</v>
      </c>
      <c r="AB114" s="11">
        <f t="shared" si="10"/>
        <v>0.22727272727272727</v>
      </c>
      <c r="AC114" s="66">
        <f t="shared" si="11"/>
        <v>0.63068181818181823</v>
      </c>
      <c r="AD114" s="67">
        <f t="shared" si="12"/>
        <v>0.44602272727272729</v>
      </c>
    </row>
    <row r="115" spans="1:30" ht="14.5" customHeight="1" x14ac:dyDescent="0.2">
      <c r="A115" s="84" t="s">
        <v>2956</v>
      </c>
      <c r="B115" s="17">
        <v>1</v>
      </c>
      <c r="C115" s="17">
        <v>0</v>
      </c>
      <c r="D115" s="22" t="s">
        <v>132</v>
      </c>
      <c r="E115" s="22" t="s">
        <v>133</v>
      </c>
      <c r="F115" s="17">
        <f t="shared" si="13"/>
        <v>2004</v>
      </c>
      <c r="G115" s="18">
        <v>38168</v>
      </c>
      <c r="H115" s="22" t="s">
        <v>2960</v>
      </c>
      <c r="I115" s="64">
        <v>0</v>
      </c>
      <c r="J115" s="5" t="s">
        <v>281</v>
      </c>
      <c r="K115" s="17">
        <v>0</v>
      </c>
      <c r="L115" s="59">
        <v>1</v>
      </c>
      <c r="M115" s="22" t="s">
        <v>2608</v>
      </c>
      <c r="N115" s="55" t="s">
        <v>2628</v>
      </c>
      <c r="P115" s="5" t="s">
        <v>282</v>
      </c>
      <c r="Q115" s="29" t="s">
        <v>283</v>
      </c>
      <c r="R115" s="17">
        <v>1</v>
      </c>
      <c r="S115" s="17">
        <v>0</v>
      </c>
      <c r="T115" s="17">
        <v>0</v>
      </c>
      <c r="U115" s="17">
        <v>1</v>
      </c>
      <c r="V115" s="17">
        <v>0</v>
      </c>
      <c r="W115" s="64">
        <v>45</v>
      </c>
      <c r="X115" s="64">
        <v>0</v>
      </c>
      <c r="Y115" s="64">
        <v>10</v>
      </c>
      <c r="Z115" s="64">
        <f t="shared" si="8"/>
        <v>55</v>
      </c>
      <c r="AA115" s="11">
        <f t="shared" si="9"/>
        <v>0.81818181818181823</v>
      </c>
      <c r="AB115" s="11">
        <f t="shared" si="10"/>
        <v>0</v>
      </c>
      <c r="AC115" s="66">
        <f t="shared" si="11"/>
        <v>0.81818181818181823</v>
      </c>
      <c r="AD115" s="67">
        <f t="shared" si="12"/>
        <v>0.72727272727272729</v>
      </c>
    </row>
    <row r="116" spans="1:30" ht="14.5" customHeight="1" x14ac:dyDescent="0.2">
      <c r="A116" s="84" t="s">
        <v>2956</v>
      </c>
      <c r="B116" s="17">
        <v>1</v>
      </c>
      <c r="C116" s="17">
        <v>0</v>
      </c>
      <c r="D116" s="22" t="s">
        <v>132</v>
      </c>
      <c r="E116" s="22" t="s">
        <v>133</v>
      </c>
      <c r="F116" s="17">
        <f t="shared" si="13"/>
        <v>2004</v>
      </c>
      <c r="G116" s="18">
        <v>38168</v>
      </c>
      <c r="H116" s="22" t="s">
        <v>2959</v>
      </c>
      <c r="I116" s="64">
        <v>0</v>
      </c>
      <c r="J116" s="5" t="s">
        <v>160</v>
      </c>
      <c r="K116" s="17">
        <v>0</v>
      </c>
      <c r="L116" s="59">
        <v>1</v>
      </c>
      <c r="M116" s="22" t="s">
        <v>2608</v>
      </c>
      <c r="N116" s="55" t="s">
        <v>2628</v>
      </c>
      <c r="P116" s="5" t="s">
        <v>161</v>
      </c>
      <c r="Q116" s="29" t="s">
        <v>162</v>
      </c>
      <c r="R116" s="17">
        <v>1</v>
      </c>
      <c r="S116" s="17">
        <v>0</v>
      </c>
      <c r="T116" s="17">
        <v>0</v>
      </c>
      <c r="U116" s="17">
        <v>1</v>
      </c>
      <c r="V116" s="17">
        <v>0</v>
      </c>
      <c r="W116" s="64">
        <v>164</v>
      </c>
      <c r="X116" s="64">
        <v>0</v>
      </c>
      <c r="Y116" s="64">
        <v>8</v>
      </c>
      <c r="Z116" s="64">
        <f t="shared" si="8"/>
        <v>172</v>
      </c>
      <c r="AA116" s="11">
        <f t="shared" si="9"/>
        <v>0.95348837209302328</v>
      </c>
      <c r="AB116" s="11">
        <f t="shared" si="10"/>
        <v>0</v>
      </c>
      <c r="AC116" s="66">
        <f t="shared" si="11"/>
        <v>0.95348837209302328</v>
      </c>
      <c r="AD116" s="67">
        <f t="shared" si="12"/>
        <v>0.93023255813953487</v>
      </c>
    </row>
    <row r="117" spans="1:30" ht="14.5" customHeight="1" x14ac:dyDescent="0.2">
      <c r="A117" s="84" t="s">
        <v>2956</v>
      </c>
      <c r="B117" s="17">
        <v>1</v>
      </c>
      <c r="C117" s="17">
        <v>0</v>
      </c>
      <c r="D117" s="22" t="s">
        <v>163</v>
      </c>
      <c r="E117" s="22" t="s">
        <v>133</v>
      </c>
      <c r="F117" s="17">
        <f t="shared" si="13"/>
        <v>2004</v>
      </c>
      <c r="G117" s="18">
        <v>38295</v>
      </c>
      <c r="H117" s="22" t="s">
        <v>2960</v>
      </c>
      <c r="I117" s="64">
        <v>0</v>
      </c>
      <c r="J117" s="5" t="s">
        <v>284</v>
      </c>
      <c r="K117" s="17">
        <v>0</v>
      </c>
      <c r="L117" s="59">
        <v>1</v>
      </c>
      <c r="M117" s="22" t="s">
        <v>1162</v>
      </c>
      <c r="N117" s="22" t="s">
        <v>2637</v>
      </c>
      <c r="O117" s="22" t="s">
        <v>285</v>
      </c>
      <c r="P117" s="5" t="s">
        <v>286</v>
      </c>
      <c r="Q117" s="29" t="s">
        <v>287</v>
      </c>
      <c r="R117" s="17">
        <v>1</v>
      </c>
      <c r="S117" s="17">
        <v>0</v>
      </c>
      <c r="T117" s="17">
        <v>0</v>
      </c>
      <c r="U117" s="17">
        <v>1</v>
      </c>
      <c r="V117" s="17">
        <v>1</v>
      </c>
      <c r="W117" s="64">
        <v>49</v>
      </c>
      <c r="X117" s="64">
        <v>2</v>
      </c>
      <c r="Y117" s="64">
        <v>2</v>
      </c>
      <c r="Z117" s="64">
        <f t="shared" si="8"/>
        <v>53</v>
      </c>
      <c r="AA117" s="11">
        <f t="shared" si="9"/>
        <v>0.92452830188679247</v>
      </c>
      <c r="AB117" s="11">
        <f t="shared" si="10"/>
        <v>3.7735849056603772E-2</v>
      </c>
      <c r="AC117" s="66">
        <f t="shared" si="11"/>
        <v>0.92452830188679247</v>
      </c>
      <c r="AD117" s="67">
        <f t="shared" si="12"/>
        <v>0.8867924528301887</v>
      </c>
    </row>
    <row r="118" spans="1:30" ht="14.5" customHeight="1" x14ac:dyDescent="0.2">
      <c r="A118" s="84" t="s">
        <v>2956</v>
      </c>
      <c r="B118" s="17">
        <v>1</v>
      </c>
      <c r="C118" s="17">
        <v>0</v>
      </c>
      <c r="D118" s="22" t="s">
        <v>163</v>
      </c>
      <c r="E118" s="22" t="s">
        <v>133</v>
      </c>
      <c r="F118" s="17">
        <f t="shared" si="13"/>
        <v>2004</v>
      </c>
      <c r="G118" s="18">
        <v>38317</v>
      </c>
      <c r="H118" s="22" t="s">
        <v>2959</v>
      </c>
      <c r="I118" s="64">
        <v>0</v>
      </c>
      <c r="J118" s="5" t="s">
        <v>164</v>
      </c>
      <c r="K118" s="17">
        <v>0</v>
      </c>
      <c r="L118" s="59">
        <v>1</v>
      </c>
      <c r="M118" s="5" t="s">
        <v>165</v>
      </c>
      <c r="N118" s="24" t="s">
        <v>2630</v>
      </c>
      <c r="P118" s="5" t="s">
        <v>166</v>
      </c>
      <c r="Q118" s="29" t="s">
        <v>167</v>
      </c>
      <c r="R118" s="17">
        <v>1</v>
      </c>
      <c r="S118" s="17">
        <v>0</v>
      </c>
      <c r="T118" s="17">
        <v>0</v>
      </c>
      <c r="U118" s="17">
        <v>1</v>
      </c>
      <c r="V118" s="17">
        <v>1</v>
      </c>
      <c r="W118" s="64">
        <v>139</v>
      </c>
      <c r="X118" s="64">
        <v>36</v>
      </c>
      <c r="Y118" s="64">
        <v>1</v>
      </c>
      <c r="Z118" s="64">
        <f t="shared" si="8"/>
        <v>176</v>
      </c>
      <c r="AA118" s="11">
        <f t="shared" si="9"/>
        <v>0.78977272727272729</v>
      </c>
      <c r="AB118" s="11">
        <f t="shared" si="10"/>
        <v>0.20454545454545456</v>
      </c>
      <c r="AC118" s="66">
        <f t="shared" si="11"/>
        <v>0.78977272727272729</v>
      </c>
      <c r="AD118" s="67">
        <f t="shared" si="12"/>
        <v>0.68465909090909094</v>
      </c>
    </row>
    <row r="119" spans="1:30" ht="14.5" customHeight="1" x14ac:dyDescent="0.2">
      <c r="A119" s="84" t="s">
        <v>2956</v>
      </c>
      <c r="B119" s="17">
        <v>1</v>
      </c>
      <c r="C119" s="17">
        <v>0</v>
      </c>
      <c r="D119" s="22" t="s">
        <v>163</v>
      </c>
      <c r="E119" s="22" t="s">
        <v>133</v>
      </c>
      <c r="F119" s="17">
        <f t="shared" si="13"/>
        <v>2004</v>
      </c>
      <c r="G119" s="18">
        <v>38336</v>
      </c>
      <c r="H119" s="22" t="s">
        <v>2959</v>
      </c>
      <c r="I119" s="64">
        <v>0</v>
      </c>
      <c r="J119" s="5" t="s">
        <v>168</v>
      </c>
      <c r="K119" s="17">
        <v>0</v>
      </c>
      <c r="L119" s="59">
        <v>1</v>
      </c>
      <c r="M119" s="22" t="s">
        <v>2606</v>
      </c>
      <c r="N119" s="22" t="s">
        <v>2630</v>
      </c>
      <c r="P119" s="5" t="s">
        <v>169</v>
      </c>
      <c r="Q119" s="29" t="s">
        <v>167</v>
      </c>
      <c r="R119" s="17">
        <v>1</v>
      </c>
      <c r="S119" s="17">
        <v>0</v>
      </c>
      <c r="T119" s="17">
        <v>0</v>
      </c>
      <c r="U119" s="17">
        <v>1</v>
      </c>
      <c r="V119" s="17">
        <v>1</v>
      </c>
      <c r="W119" s="64">
        <v>101</v>
      </c>
      <c r="X119" s="64">
        <v>41</v>
      </c>
      <c r="Y119" s="64">
        <v>53</v>
      </c>
      <c r="Z119" s="64">
        <f t="shared" si="8"/>
        <v>195</v>
      </c>
      <c r="AA119" s="11">
        <f t="shared" si="9"/>
        <v>0.517948717948718</v>
      </c>
      <c r="AB119" s="11">
        <f t="shared" si="10"/>
        <v>0.21025641025641026</v>
      </c>
      <c r="AC119" s="66">
        <f t="shared" si="11"/>
        <v>0.517948717948718</v>
      </c>
      <c r="AD119" s="67">
        <f t="shared" si="12"/>
        <v>0.27692307692307694</v>
      </c>
    </row>
    <row r="120" spans="1:30" ht="14.5" customHeight="1" x14ac:dyDescent="0.2">
      <c r="A120" s="84" t="s">
        <v>2956</v>
      </c>
      <c r="B120" s="17">
        <v>1</v>
      </c>
      <c r="C120" s="17">
        <v>0</v>
      </c>
      <c r="D120" s="22" t="s">
        <v>163</v>
      </c>
      <c r="E120" s="22" t="s">
        <v>133</v>
      </c>
      <c r="F120" s="17">
        <f t="shared" si="13"/>
        <v>2004</v>
      </c>
      <c r="G120" s="18">
        <v>38336</v>
      </c>
      <c r="H120" s="22" t="s">
        <v>2959</v>
      </c>
      <c r="I120" s="64">
        <v>0</v>
      </c>
      <c r="J120" s="5" t="s">
        <v>168</v>
      </c>
      <c r="K120" s="17">
        <v>0</v>
      </c>
      <c r="L120" s="59">
        <v>1</v>
      </c>
      <c r="M120" t="s">
        <v>30</v>
      </c>
      <c r="N120" t="s">
        <v>2121</v>
      </c>
      <c r="P120" s="5" t="s">
        <v>170</v>
      </c>
      <c r="Q120" s="29" t="s">
        <v>167</v>
      </c>
      <c r="R120" s="17">
        <v>1</v>
      </c>
      <c r="S120" s="17">
        <v>0</v>
      </c>
      <c r="T120" s="17">
        <v>0</v>
      </c>
      <c r="U120" s="17">
        <v>1</v>
      </c>
      <c r="V120" s="17">
        <v>1</v>
      </c>
      <c r="W120" s="64">
        <v>149</v>
      </c>
      <c r="X120" s="64">
        <v>23</v>
      </c>
      <c r="Y120" s="64">
        <v>23</v>
      </c>
      <c r="Z120" s="64">
        <f t="shared" si="8"/>
        <v>195</v>
      </c>
      <c r="AA120" s="11">
        <f t="shared" si="9"/>
        <v>0.76410256410256405</v>
      </c>
      <c r="AB120" s="11">
        <f t="shared" si="10"/>
        <v>0.11794871794871795</v>
      </c>
      <c r="AC120" s="66">
        <f t="shared" si="11"/>
        <v>0.76410256410256405</v>
      </c>
      <c r="AD120" s="67">
        <f t="shared" si="12"/>
        <v>0.64615384615384619</v>
      </c>
    </row>
    <row r="121" spans="1:30" ht="14.5" customHeight="1" x14ac:dyDescent="0.2">
      <c r="A121" s="84" t="s">
        <v>2956</v>
      </c>
      <c r="B121" s="17">
        <v>1</v>
      </c>
      <c r="C121" s="17">
        <v>0</v>
      </c>
      <c r="D121" s="22" t="s">
        <v>163</v>
      </c>
      <c r="E121" s="22" t="s">
        <v>133</v>
      </c>
      <c r="F121" s="17">
        <f t="shared" si="13"/>
        <v>2004</v>
      </c>
      <c r="G121" s="18">
        <v>38336</v>
      </c>
      <c r="H121" s="22" t="s">
        <v>2959</v>
      </c>
      <c r="I121" s="64">
        <v>0</v>
      </c>
      <c r="J121" s="5" t="s">
        <v>168</v>
      </c>
      <c r="K121" s="17">
        <v>0</v>
      </c>
      <c r="L121" s="59">
        <v>1</v>
      </c>
      <c r="M121" s="22" t="s">
        <v>1162</v>
      </c>
      <c r="N121" s="22" t="s">
        <v>2637</v>
      </c>
      <c r="O121" s="22" t="s">
        <v>171</v>
      </c>
      <c r="P121" s="5" t="s">
        <v>172</v>
      </c>
      <c r="Q121" s="29" t="s">
        <v>167</v>
      </c>
      <c r="R121" s="17">
        <v>1</v>
      </c>
      <c r="S121" s="17">
        <v>0</v>
      </c>
      <c r="T121" s="17">
        <v>0</v>
      </c>
      <c r="U121" s="17">
        <v>1</v>
      </c>
      <c r="V121" s="17">
        <v>1</v>
      </c>
      <c r="W121" s="64">
        <v>149</v>
      </c>
      <c r="X121" s="64">
        <v>40</v>
      </c>
      <c r="Y121" s="64">
        <v>5</v>
      </c>
      <c r="Z121" s="64">
        <f t="shared" si="8"/>
        <v>194</v>
      </c>
      <c r="AA121" s="11">
        <f t="shared" si="9"/>
        <v>0.76804123711340211</v>
      </c>
      <c r="AB121" s="11">
        <f t="shared" si="10"/>
        <v>0.20618556701030927</v>
      </c>
      <c r="AC121" s="66">
        <f t="shared" si="11"/>
        <v>0.76804123711340211</v>
      </c>
      <c r="AD121" s="67">
        <f t="shared" si="12"/>
        <v>0.65206185567010311</v>
      </c>
    </row>
    <row r="122" spans="1:30" ht="14.5" customHeight="1" x14ac:dyDescent="0.2">
      <c r="A122" s="84" t="s">
        <v>2956</v>
      </c>
      <c r="B122" s="17">
        <v>1</v>
      </c>
      <c r="C122" s="17">
        <v>0</v>
      </c>
      <c r="D122" s="22" t="s">
        <v>163</v>
      </c>
      <c r="E122" s="22" t="s">
        <v>133</v>
      </c>
      <c r="F122" s="17">
        <f t="shared" si="13"/>
        <v>2004</v>
      </c>
      <c r="G122" s="18">
        <v>38336</v>
      </c>
      <c r="H122" s="22" t="s">
        <v>2959</v>
      </c>
      <c r="I122" s="64">
        <v>0</v>
      </c>
      <c r="J122" s="5" t="s">
        <v>168</v>
      </c>
      <c r="K122" s="17">
        <v>0</v>
      </c>
      <c r="L122" s="59">
        <v>1</v>
      </c>
      <c r="M122" s="22" t="s">
        <v>157</v>
      </c>
      <c r="N122" s="55" t="s">
        <v>2628</v>
      </c>
      <c r="P122" s="5" t="s">
        <v>173</v>
      </c>
      <c r="Q122" s="29" t="s">
        <v>167</v>
      </c>
      <c r="R122" s="17">
        <v>1</v>
      </c>
      <c r="S122" s="17">
        <v>0</v>
      </c>
      <c r="T122" s="17">
        <v>0</v>
      </c>
      <c r="U122" s="17">
        <v>1</v>
      </c>
      <c r="V122" s="17">
        <v>1</v>
      </c>
      <c r="W122" s="64">
        <v>146</v>
      </c>
      <c r="X122" s="64">
        <v>42</v>
      </c>
      <c r="Y122" s="64">
        <v>6</v>
      </c>
      <c r="Z122" s="64">
        <f t="shared" si="8"/>
        <v>194</v>
      </c>
      <c r="AA122" s="11">
        <f t="shared" si="9"/>
        <v>0.75257731958762886</v>
      </c>
      <c r="AB122" s="11">
        <f t="shared" si="10"/>
        <v>0.21649484536082475</v>
      </c>
      <c r="AC122" s="66">
        <f t="shared" si="11"/>
        <v>0.75257731958762886</v>
      </c>
      <c r="AD122" s="67">
        <f t="shared" si="12"/>
        <v>0.62886597938144329</v>
      </c>
    </row>
    <row r="123" spans="1:30" ht="14.5" customHeight="1" x14ac:dyDescent="0.2">
      <c r="A123" s="84" t="s">
        <v>2956</v>
      </c>
      <c r="B123" s="17">
        <v>1</v>
      </c>
      <c r="C123" s="17">
        <v>0</v>
      </c>
      <c r="D123" s="22" t="s">
        <v>163</v>
      </c>
      <c r="E123" s="22" t="s">
        <v>133</v>
      </c>
      <c r="F123" s="17">
        <f t="shared" si="13"/>
        <v>2005</v>
      </c>
      <c r="G123" s="18">
        <v>38373</v>
      </c>
      <c r="H123" s="22" t="s">
        <v>2959</v>
      </c>
      <c r="I123" s="64">
        <v>0</v>
      </c>
      <c r="J123" s="5" t="s">
        <v>174</v>
      </c>
      <c r="K123" s="17">
        <v>0</v>
      </c>
      <c r="L123" s="59">
        <v>1</v>
      </c>
      <c r="M123" t="s">
        <v>30</v>
      </c>
      <c r="N123" t="s">
        <v>2121</v>
      </c>
      <c r="P123" s="5" t="s">
        <v>175</v>
      </c>
      <c r="Q123" s="29" t="s">
        <v>176</v>
      </c>
      <c r="R123" s="17">
        <v>1</v>
      </c>
      <c r="S123" s="17">
        <v>0</v>
      </c>
      <c r="T123" s="17">
        <v>0</v>
      </c>
      <c r="U123" s="17">
        <v>1</v>
      </c>
      <c r="V123" s="17">
        <v>1</v>
      </c>
      <c r="W123" s="64">
        <v>125</v>
      </c>
      <c r="X123" s="64">
        <v>46</v>
      </c>
      <c r="Y123" s="64">
        <v>10</v>
      </c>
      <c r="Z123" s="64">
        <f t="shared" si="8"/>
        <v>181</v>
      </c>
      <c r="AA123" s="11">
        <f t="shared" si="9"/>
        <v>0.69060773480662985</v>
      </c>
      <c r="AB123" s="11">
        <f t="shared" si="10"/>
        <v>0.2541436464088398</v>
      </c>
      <c r="AC123" s="66">
        <f t="shared" si="11"/>
        <v>0.69060773480662985</v>
      </c>
      <c r="AD123" s="67">
        <f t="shared" si="12"/>
        <v>0.53591160220994472</v>
      </c>
    </row>
    <row r="124" spans="1:30" ht="14.5" customHeight="1" x14ac:dyDescent="0.2">
      <c r="A124" s="84" t="s">
        <v>2956</v>
      </c>
      <c r="B124" s="17">
        <v>1</v>
      </c>
      <c r="C124" s="17">
        <v>0</v>
      </c>
      <c r="D124" s="22" t="s">
        <v>177</v>
      </c>
      <c r="E124" s="22" t="s">
        <v>133</v>
      </c>
      <c r="F124" s="17">
        <f t="shared" si="13"/>
        <v>2005</v>
      </c>
      <c r="G124" s="18">
        <v>38693</v>
      </c>
      <c r="H124" s="22" t="s">
        <v>2959</v>
      </c>
      <c r="I124" s="64">
        <v>0</v>
      </c>
      <c r="J124" s="5" t="s">
        <v>178</v>
      </c>
      <c r="K124" s="17">
        <v>0</v>
      </c>
      <c r="L124" s="59">
        <v>1</v>
      </c>
      <c r="M124" s="22" t="s">
        <v>2606</v>
      </c>
      <c r="N124" s="22" t="s">
        <v>2630</v>
      </c>
      <c r="P124" s="5" t="s">
        <v>181</v>
      </c>
      <c r="Q124" s="29" t="s">
        <v>180</v>
      </c>
      <c r="R124" s="17">
        <v>1</v>
      </c>
      <c r="S124" s="17">
        <v>0</v>
      </c>
      <c r="T124" s="17">
        <v>0</v>
      </c>
      <c r="U124" s="17">
        <v>1</v>
      </c>
      <c r="V124" s="17">
        <v>0</v>
      </c>
      <c r="W124" s="64">
        <v>122</v>
      </c>
      <c r="X124" s="64">
        <v>29</v>
      </c>
      <c r="Y124" s="64">
        <v>5</v>
      </c>
      <c r="Z124" s="64">
        <f t="shared" si="8"/>
        <v>156</v>
      </c>
      <c r="AA124" s="11">
        <f t="shared" si="9"/>
        <v>0.78205128205128205</v>
      </c>
      <c r="AB124" s="11">
        <f t="shared" si="10"/>
        <v>0.1858974358974359</v>
      </c>
      <c r="AC124" s="66">
        <f t="shared" si="11"/>
        <v>0.78205128205128205</v>
      </c>
      <c r="AD124" s="67">
        <f t="shared" si="12"/>
        <v>0.67307692307692313</v>
      </c>
    </row>
    <row r="125" spans="1:30" ht="14.5" customHeight="1" x14ac:dyDescent="0.2">
      <c r="A125" s="84" t="s">
        <v>2956</v>
      </c>
      <c r="B125" s="17">
        <v>1</v>
      </c>
      <c r="C125" s="17">
        <v>0</v>
      </c>
      <c r="D125" s="22" t="s">
        <v>177</v>
      </c>
      <c r="E125" s="22" t="s">
        <v>133</v>
      </c>
      <c r="F125" s="17">
        <f t="shared" si="13"/>
        <v>2005</v>
      </c>
      <c r="G125" s="18">
        <v>38693</v>
      </c>
      <c r="H125" s="22" t="s">
        <v>2959</v>
      </c>
      <c r="I125" s="64">
        <v>0</v>
      </c>
      <c r="J125" s="5" t="s">
        <v>178</v>
      </c>
      <c r="K125" s="17">
        <v>0</v>
      </c>
      <c r="L125" s="59">
        <v>1</v>
      </c>
      <c r="M125" t="s">
        <v>30</v>
      </c>
      <c r="N125" t="s">
        <v>2121</v>
      </c>
      <c r="P125" s="5" t="s">
        <v>182</v>
      </c>
      <c r="Q125" s="29" t="s">
        <v>180</v>
      </c>
      <c r="R125" s="17">
        <v>1</v>
      </c>
      <c r="S125" s="17">
        <v>0</v>
      </c>
      <c r="T125" s="17">
        <v>0</v>
      </c>
      <c r="U125" s="17">
        <v>1</v>
      </c>
      <c r="V125" s="17">
        <v>1</v>
      </c>
      <c r="W125" s="64">
        <v>113</v>
      </c>
      <c r="X125" s="64">
        <v>29</v>
      </c>
      <c r="Y125" s="64">
        <v>15</v>
      </c>
      <c r="Z125" s="64">
        <f t="shared" si="8"/>
        <v>157</v>
      </c>
      <c r="AA125" s="11">
        <f t="shared" si="9"/>
        <v>0.71974522292993626</v>
      </c>
      <c r="AB125" s="11">
        <f t="shared" si="10"/>
        <v>0.18471337579617833</v>
      </c>
      <c r="AC125" s="66">
        <f t="shared" si="11"/>
        <v>0.71974522292993626</v>
      </c>
      <c r="AD125" s="67">
        <f t="shared" si="12"/>
        <v>0.57961783439490444</v>
      </c>
    </row>
    <row r="126" spans="1:30" ht="14.5" customHeight="1" x14ac:dyDescent="0.2">
      <c r="A126" s="84" t="s">
        <v>2956</v>
      </c>
      <c r="B126" s="17">
        <v>1</v>
      </c>
      <c r="C126" s="17">
        <v>0</v>
      </c>
      <c r="D126" s="22" t="s">
        <v>177</v>
      </c>
      <c r="E126" s="22" t="s">
        <v>133</v>
      </c>
      <c r="F126" s="17">
        <f t="shared" si="13"/>
        <v>2005</v>
      </c>
      <c r="G126" s="18">
        <v>38693</v>
      </c>
      <c r="H126" s="22" t="s">
        <v>2959</v>
      </c>
      <c r="I126" s="64">
        <v>0</v>
      </c>
      <c r="J126" s="5" t="s">
        <v>178</v>
      </c>
      <c r="K126" s="17">
        <v>0</v>
      </c>
      <c r="L126" s="59">
        <v>1</v>
      </c>
      <c r="M126" s="22" t="s">
        <v>129</v>
      </c>
      <c r="N126" s="22" t="s">
        <v>422</v>
      </c>
      <c r="P126" s="5" t="s">
        <v>183</v>
      </c>
      <c r="Q126" s="29" t="s">
        <v>180</v>
      </c>
      <c r="R126" s="17">
        <v>1</v>
      </c>
      <c r="S126" s="17">
        <v>0</v>
      </c>
      <c r="T126" s="17">
        <v>0</v>
      </c>
      <c r="U126" s="17">
        <v>1</v>
      </c>
      <c r="V126" s="17">
        <v>1</v>
      </c>
      <c r="W126" s="64">
        <v>122</v>
      </c>
      <c r="X126" s="64">
        <v>29</v>
      </c>
      <c r="Y126" s="64">
        <v>5</v>
      </c>
      <c r="Z126" s="64">
        <f t="shared" si="8"/>
        <v>156</v>
      </c>
      <c r="AA126" s="11">
        <f t="shared" si="9"/>
        <v>0.78205128205128205</v>
      </c>
      <c r="AB126" s="11">
        <f t="shared" si="10"/>
        <v>0.1858974358974359</v>
      </c>
      <c r="AC126" s="66">
        <f t="shared" si="11"/>
        <v>0.78205128205128205</v>
      </c>
      <c r="AD126" s="67">
        <f t="shared" si="12"/>
        <v>0.67307692307692313</v>
      </c>
    </row>
    <row r="127" spans="1:30" ht="14.5" customHeight="1" x14ac:dyDescent="0.2">
      <c r="A127" s="84" t="s">
        <v>2956</v>
      </c>
      <c r="B127" s="17">
        <v>1</v>
      </c>
      <c r="C127" s="17">
        <v>0</v>
      </c>
      <c r="D127" s="22" t="s">
        <v>177</v>
      </c>
      <c r="E127" s="22" t="s">
        <v>133</v>
      </c>
      <c r="F127" s="17">
        <f t="shared" si="13"/>
        <v>2005</v>
      </c>
      <c r="G127" s="18">
        <v>38693</v>
      </c>
      <c r="H127" s="22" t="s">
        <v>2959</v>
      </c>
      <c r="I127" s="64">
        <v>0</v>
      </c>
      <c r="J127" s="5" t="s">
        <v>178</v>
      </c>
      <c r="K127" s="17">
        <v>0</v>
      </c>
      <c r="L127" s="59">
        <v>1</v>
      </c>
      <c r="M127" s="22" t="s">
        <v>1162</v>
      </c>
      <c r="N127" s="22" t="s">
        <v>2637</v>
      </c>
      <c r="O127" s="22" t="s">
        <v>184</v>
      </c>
      <c r="P127" s="5" t="s">
        <v>185</v>
      </c>
      <c r="Q127" s="29" t="s">
        <v>180</v>
      </c>
      <c r="R127" s="17">
        <v>1</v>
      </c>
      <c r="S127" s="17">
        <v>0</v>
      </c>
      <c r="T127" s="17">
        <v>0</v>
      </c>
      <c r="U127" s="17">
        <v>1</v>
      </c>
      <c r="V127" s="17">
        <v>1</v>
      </c>
      <c r="W127" s="64">
        <v>120</v>
      </c>
      <c r="X127" s="64">
        <v>31</v>
      </c>
      <c r="Y127" s="64">
        <v>4</v>
      </c>
      <c r="Z127" s="64">
        <f t="shared" si="8"/>
        <v>155</v>
      </c>
      <c r="AA127" s="11">
        <f t="shared" si="9"/>
        <v>0.77419354838709675</v>
      </c>
      <c r="AB127" s="11">
        <f t="shared" si="10"/>
        <v>0.2</v>
      </c>
      <c r="AC127" s="66">
        <f t="shared" si="11"/>
        <v>0.77419354838709675</v>
      </c>
      <c r="AD127" s="67">
        <f t="shared" si="12"/>
        <v>0.66129032258064513</v>
      </c>
    </row>
    <row r="128" spans="1:30" ht="14.5" customHeight="1" x14ac:dyDescent="0.2">
      <c r="A128" s="84" t="s">
        <v>2956</v>
      </c>
      <c r="B128" s="17">
        <v>1</v>
      </c>
      <c r="C128" s="17">
        <v>0</v>
      </c>
      <c r="D128" s="22" t="s">
        <v>177</v>
      </c>
      <c r="E128" s="22" t="s">
        <v>133</v>
      </c>
      <c r="F128" s="17">
        <f t="shared" si="13"/>
        <v>2005</v>
      </c>
      <c r="G128" s="18">
        <v>38693</v>
      </c>
      <c r="H128" s="22" t="s">
        <v>2959</v>
      </c>
      <c r="I128" s="64">
        <v>0</v>
      </c>
      <c r="J128" s="5" t="s">
        <v>178</v>
      </c>
      <c r="K128" s="17">
        <v>0</v>
      </c>
      <c r="L128" s="59">
        <v>1</v>
      </c>
      <c r="M128" s="22" t="s">
        <v>2734</v>
      </c>
      <c r="N128" s="22" t="s">
        <v>2628</v>
      </c>
      <c r="P128" s="5" t="s">
        <v>179</v>
      </c>
      <c r="Q128" s="29" t="s">
        <v>180</v>
      </c>
      <c r="R128" s="17">
        <v>1</v>
      </c>
      <c r="S128" s="17">
        <v>0</v>
      </c>
      <c r="T128" s="17">
        <v>0</v>
      </c>
      <c r="U128" s="17">
        <v>1</v>
      </c>
      <c r="V128" s="17">
        <v>1</v>
      </c>
      <c r="W128" s="64">
        <v>119</v>
      </c>
      <c r="X128" s="64">
        <v>29</v>
      </c>
      <c r="Y128" s="64">
        <v>9</v>
      </c>
      <c r="Z128" s="64">
        <f t="shared" si="8"/>
        <v>157</v>
      </c>
      <c r="AA128" s="11">
        <f t="shared" si="9"/>
        <v>0.7579617834394905</v>
      </c>
      <c r="AB128" s="11">
        <f t="shared" si="10"/>
        <v>0.18471337579617833</v>
      </c>
      <c r="AC128" s="66">
        <f t="shared" si="11"/>
        <v>0.7579617834394905</v>
      </c>
      <c r="AD128" s="67">
        <f t="shared" si="12"/>
        <v>0.63694267515923564</v>
      </c>
    </row>
    <row r="129" spans="1:30" ht="14.5" customHeight="1" x14ac:dyDescent="0.2">
      <c r="A129" s="84" t="s">
        <v>2956</v>
      </c>
      <c r="B129" s="17">
        <v>1</v>
      </c>
      <c r="C129" s="17">
        <v>0</v>
      </c>
      <c r="D129" s="22" t="s">
        <v>177</v>
      </c>
      <c r="E129" s="22" t="s">
        <v>133</v>
      </c>
      <c r="F129" s="17">
        <f t="shared" ref="F129:F160" si="14">YEAR(G129)</f>
        <v>2005</v>
      </c>
      <c r="G129" s="18">
        <v>38693</v>
      </c>
      <c r="H129" s="22" t="s">
        <v>2959</v>
      </c>
      <c r="I129" s="64">
        <v>0</v>
      </c>
      <c r="J129" s="5" t="s">
        <v>178</v>
      </c>
      <c r="K129" s="17">
        <v>0</v>
      </c>
      <c r="L129" s="59">
        <v>1</v>
      </c>
      <c r="M129" s="22" t="s">
        <v>157</v>
      </c>
      <c r="N129" s="55" t="s">
        <v>2628</v>
      </c>
      <c r="P129" s="5" t="s">
        <v>186</v>
      </c>
      <c r="Q129" s="29" t="s">
        <v>180</v>
      </c>
      <c r="R129" s="17">
        <v>1</v>
      </c>
      <c r="S129" s="17">
        <v>0</v>
      </c>
      <c r="T129" s="17">
        <v>0</v>
      </c>
      <c r="U129" s="17">
        <v>1</v>
      </c>
      <c r="V129" s="17">
        <v>1</v>
      </c>
      <c r="W129" s="64">
        <v>123</v>
      </c>
      <c r="X129" s="64">
        <v>32</v>
      </c>
      <c r="Y129" s="64">
        <v>2</v>
      </c>
      <c r="Z129" s="64">
        <f t="shared" si="8"/>
        <v>157</v>
      </c>
      <c r="AA129" s="11">
        <f t="shared" si="9"/>
        <v>0.78343949044585992</v>
      </c>
      <c r="AB129" s="11">
        <f t="shared" si="10"/>
        <v>0.20382165605095542</v>
      </c>
      <c r="AC129" s="66">
        <f t="shared" si="11"/>
        <v>0.78343949044585992</v>
      </c>
      <c r="AD129" s="67">
        <f t="shared" si="12"/>
        <v>0.67515923566878977</v>
      </c>
    </row>
    <row r="130" spans="1:30" ht="14.5" customHeight="1" x14ac:dyDescent="0.2">
      <c r="A130" s="84" t="s">
        <v>2956</v>
      </c>
      <c r="B130" s="17">
        <v>1</v>
      </c>
      <c r="C130" s="17">
        <v>0</v>
      </c>
      <c r="D130" s="22" t="s">
        <v>177</v>
      </c>
      <c r="E130" s="22" t="s">
        <v>133</v>
      </c>
      <c r="F130" s="17">
        <f t="shared" si="14"/>
        <v>2006</v>
      </c>
      <c r="G130" s="18">
        <v>38750</v>
      </c>
      <c r="H130" s="22" t="s">
        <v>2960</v>
      </c>
      <c r="I130" s="64">
        <v>0</v>
      </c>
      <c r="J130" s="5" t="s">
        <v>288</v>
      </c>
      <c r="K130" s="17">
        <v>0</v>
      </c>
      <c r="L130" s="59">
        <v>1</v>
      </c>
      <c r="M130" s="5" t="s">
        <v>2566</v>
      </c>
      <c r="N130" s="5" t="s">
        <v>422</v>
      </c>
      <c r="P130" s="5" t="s">
        <v>289</v>
      </c>
      <c r="Q130" s="29" t="s">
        <v>290</v>
      </c>
      <c r="R130" s="17">
        <v>1</v>
      </c>
      <c r="S130" s="17">
        <v>0</v>
      </c>
      <c r="T130" s="17">
        <v>0</v>
      </c>
      <c r="U130" s="17">
        <v>1</v>
      </c>
      <c r="V130" s="17">
        <v>0</v>
      </c>
      <c r="W130" s="64">
        <v>65</v>
      </c>
      <c r="X130" s="64">
        <v>1</v>
      </c>
      <c r="Y130" s="64">
        <v>2</v>
      </c>
      <c r="Z130" s="64">
        <f t="shared" si="8"/>
        <v>68</v>
      </c>
      <c r="AA130" s="11">
        <f t="shared" si="9"/>
        <v>0.95588235294117652</v>
      </c>
      <c r="AB130" s="11">
        <f t="shared" si="10"/>
        <v>1.4705882352941176E-2</v>
      </c>
      <c r="AC130" s="66">
        <f t="shared" si="11"/>
        <v>0.95588235294117652</v>
      </c>
      <c r="AD130" s="67">
        <f t="shared" si="12"/>
        <v>0.93382352941176472</v>
      </c>
    </row>
    <row r="131" spans="1:30" ht="14.5" customHeight="1" x14ac:dyDescent="0.2">
      <c r="A131" s="84" t="s">
        <v>2956</v>
      </c>
      <c r="B131" s="17">
        <v>1</v>
      </c>
      <c r="C131" s="17">
        <v>0</v>
      </c>
      <c r="D131" s="22" t="s">
        <v>177</v>
      </c>
      <c r="E131" s="22" t="s">
        <v>133</v>
      </c>
      <c r="F131" s="17">
        <f t="shared" si="14"/>
        <v>2006</v>
      </c>
      <c r="G131" s="18">
        <v>38751</v>
      </c>
      <c r="H131" s="22" t="s">
        <v>2959</v>
      </c>
      <c r="I131" s="64">
        <v>0</v>
      </c>
      <c r="J131" s="5" t="s">
        <v>187</v>
      </c>
      <c r="K131" s="17">
        <v>0</v>
      </c>
      <c r="L131" s="59">
        <v>1</v>
      </c>
      <c r="M131" s="5" t="s">
        <v>2566</v>
      </c>
      <c r="N131" s="5" t="s">
        <v>422</v>
      </c>
      <c r="P131" s="5" t="s">
        <v>188</v>
      </c>
      <c r="Q131" s="29" t="s">
        <v>189</v>
      </c>
      <c r="R131" s="17">
        <v>1</v>
      </c>
      <c r="S131" s="17">
        <v>0</v>
      </c>
      <c r="T131" s="17">
        <v>0</v>
      </c>
      <c r="U131" s="17">
        <v>1</v>
      </c>
      <c r="V131" s="17">
        <v>0</v>
      </c>
      <c r="W131" s="64">
        <v>127</v>
      </c>
      <c r="X131" s="64">
        <v>39</v>
      </c>
      <c r="Y131" s="64">
        <v>3</v>
      </c>
      <c r="Z131" s="64">
        <f t="shared" ref="Z131:Z194" si="15">SUM(W131:Y131)</f>
        <v>169</v>
      </c>
      <c r="AA131" s="11">
        <f t="shared" ref="AA131:AA194" si="16">W131/Z131</f>
        <v>0.75147928994082835</v>
      </c>
      <c r="AB131" s="11">
        <f t="shared" ref="AB131:AB194" si="17">X131/Z131</f>
        <v>0.23076923076923078</v>
      </c>
      <c r="AC131" s="66">
        <f t="shared" ref="AC131:AC194" si="18">IF(K131=1,AB131,AA131)</f>
        <v>0.75147928994082835</v>
      </c>
      <c r="AD131" s="67">
        <f t="shared" ref="AD131:AD194" si="19">SUM((MAX(W131,X131,Y131)-0.5*(SUM(W131+X131+Y131)-MAX(W131,X131,Y131)))/SUM(W131+X131+Y131))</f>
        <v>0.62721893491124259</v>
      </c>
    </row>
    <row r="132" spans="1:30" ht="14.5" customHeight="1" x14ac:dyDescent="0.2">
      <c r="A132" s="84" t="s">
        <v>2956</v>
      </c>
      <c r="B132" s="17">
        <v>1</v>
      </c>
      <c r="C132" s="17">
        <v>0</v>
      </c>
      <c r="D132" s="22" t="s">
        <v>177</v>
      </c>
      <c r="E132" s="22" t="s">
        <v>133</v>
      </c>
      <c r="F132" s="17">
        <f t="shared" si="14"/>
        <v>2006</v>
      </c>
      <c r="G132" s="18">
        <v>38833</v>
      </c>
      <c r="H132" s="22" t="s">
        <v>2959</v>
      </c>
      <c r="I132" s="64">
        <v>0</v>
      </c>
      <c r="J132" s="5" t="s">
        <v>190</v>
      </c>
      <c r="K132" s="17">
        <v>0</v>
      </c>
      <c r="L132" s="59">
        <v>1</v>
      </c>
      <c r="M132" s="22" t="s">
        <v>157</v>
      </c>
      <c r="N132" s="55" t="s">
        <v>2628</v>
      </c>
      <c r="P132" s="5" t="s">
        <v>191</v>
      </c>
      <c r="Q132" s="29" t="s">
        <v>192</v>
      </c>
      <c r="R132" s="17">
        <v>1</v>
      </c>
      <c r="S132" s="17">
        <v>0</v>
      </c>
      <c r="T132" s="17">
        <v>0</v>
      </c>
      <c r="U132" s="17">
        <v>1</v>
      </c>
      <c r="V132" s="17">
        <v>1</v>
      </c>
      <c r="W132" s="64">
        <v>104</v>
      </c>
      <c r="X132" s="64">
        <v>37</v>
      </c>
      <c r="Y132" s="64">
        <v>10</v>
      </c>
      <c r="Z132" s="64">
        <f t="shared" si="15"/>
        <v>151</v>
      </c>
      <c r="AA132" s="11">
        <f t="shared" si="16"/>
        <v>0.6887417218543046</v>
      </c>
      <c r="AB132" s="11">
        <f t="shared" si="17"/>
        <v>0.24503311258278146</v>
      </c>
      <c r="AC132" s="66">
        <f t="shared" si="18"/>
        <v>0.6887417218543046</v>
      </c>
      <c r="AD132" s="67">
        <f t="shared" si="19"/>
        <v>0.5331125827814569</v>
      </c>
    </row>
    <row r="133" spans="1:30" ht="14.5" customHeight="1" x14ac:dyDescent="0.2">
      <c r="A133" s="84" t="s">
        <v>2956</v>
      </c>
      <c r="B133" s="17">
        <v>1</v>
      </c>
      <c r="C133" s="17">
        <v>0</v>
      </c>
      <c r="D133" s="22" t="s">
        <v>193</v>
      </c>
      <c r="E133" s="22" t="s">
        <v>194</v>
      </c>
      <c r="F133" s="17">
        <f t="shared" si="14"/>
        <v>2006</v>
      </c>
      <c r="G133" s="18">
        <v>39056</v>
      </c>
      <c r="H133" s="22" t="s">
        <v>2959</v>
      </c>
      <c r="I133" s="64">
        <v>0</v>
      </c>
      <c r="J133" s="5" t="s">
        <v>195</v>
      </c>
      <c r="K133" s="17">
        <v>0</v>
      </c>
      <c r="L133" s="59">
        <v>1</v>
      </c>
      <c r="M133" s="22" t="s">
        <v>2607</v>
      </c>
      <c r="N133" s="22" t="s">
        <v>2630</v>
      </c>
      <c r="P133" s="5" t="s">
        <v>196</v>
      </c>
      <c r="Q133" s="29" t="s">
        <v>197</v>
      </c>
      <c r="R133" s="17">
        <v>1</v>
      </c>
      <c r="S133" s="17">
        <v>0</v>
      </c>
      <c r="T133" s="17">
        <v>0</v>
      </c>
      <c r="U133" s="17">
        <v>1</v>
      </c>
      <c r="V133" s="17">
        <v>1</v>
      </c>
      <c r="W133" s="64">
        <v>128</v>
      </c>
      <c r="X133" s="64">
        <v>24</v>
      </c>
      <c r="Y133" s="64">
        <v>20</v>
      </c>
      <c r="Z133" s="64">
        <f t="shared" si="15"/>
        <v>172</v>
      </c>
      <c r="AA133" s="11">
        <f t="shared" si="16"/>
        <v>0.7441860465116279</v>
      </c>
      <c r="AB133" s="11">
        <f t="shared" si="17"/>
        <v>0.13953488372093023</v>
      </c>
      <c r="AC133" s="66">
        <f t="shared" si="18"/>
        <v>0.7441860465116279</v>
      </c>
      <c r="AD133" s="67">
        <f t="shared" si="19"/>
        <v>0.61627906976744184</v>
      </c>
    </row>
    <row r="134" spans="1:30" ht="14.5" customHeight="1" x14ac:dyDescent="0.2">
      <c r="A134" s="84" t="s">
        <v>2956</v>
      </c>
      <c r="B134" s="17">
        <v>1</v>
      </c>
      <c r="C134" s="17">
        <v>0</v>
      </c>
      <c r="D134" s="22" t="s">
        <v>193</v>
      </c>
      <c r="E134" s="22" t="s">
        <v>194</v>
      </c>
      <c r="F134" s="17">
        <f t="shared" si="14"/>
        <v>2006</v>
      </c>
      <c r="G134" s="18">
        <v>39056</v>
      </c>
      <c r="H134" s="22" t="s">
        <v>2959</v>
      </c>
      <c r="I134" s="64">
        <v>0</v>
      </c>
      <c r="J134" s="5" t="s">
        <v>195</v>
      </c>
      <c r="K134" s="17">
        <v>0</v>
      </c>
      <c r="L134" s="59">
        <v>1</v>
      </c>
      <c r="M134" t="s">
        <v>30</v>
      </c>
      <c r="N134" t="s">
        <v>2121</v>
      </c>
      <c r="P134" s="5" t="s">
        <v>198</v>
      </c>
      <c r="Q134" s="29" t="s">
        <v>197</v>
      </c>
      <c r="R134" s="17">
        <v>1</v>
      </c>
      <c r="S134" s="17">
        <v>0</v>
      </c>
      <c r="T134" s="17">
        <v>0</v>
      </c>
      <c r="U134" s="17">
        <v>1</v>
      </c>
      <c r="V134" s="17">
        <v>1</v>
      </c>
      <c r="W134" s="64">
        <v>129</v>
      </c>
      <c r="X134" s="64">
        <v>25</v>
      </c>
      <c r="Y134" s="64">
        <v>19</v>
      </c>
      <c r="Z134" s="64">
        <f t="shared" si="15"/>
        <v>173</v>
      </c>
      <c r="AA134" s="11">
        <f t="shared" si="16"/>
        <v>0.74566473988439308</v>
      </c>
      <c r="AB134" s="11">
        <f t="shared" si="17"/>
        <v>0.14450867052023122</v>
      </c>
      <c r="AC134" s="66">
        <f t="shared" si="18"/>
        <v>0.74566473988439308</v>
      </c>
      <c r="AD134" s="67">
        <f t="shared" si="19"/>
        <v>0.61849710982658956</v>
      </c>
    </row>
    <row r="135" spans="1:30" ht="14.5" customHeight="1" x14ac:dyDescent="0.2">
      <c r="A135" s="84" t="s">
        <v>2956</v>
      </c>
      <c r="B135" s="17">
        <v>1</v>
      </c>
      <c r="C135" s="17">
        <v>0</v>
      </c>
      <c r="D135" s="22" t="s">
        <v>193</v>
      </c>
      <c r="E135" s="22" t="s">
        <v>194</v>
      </c>
      <c r="F135" s="17">
        <f t="shared" si="14"/>
        <v>2006</v>
      </c>
      <c r="G135" s="18">
        <v>39056</v>
      </c>
      <c r="H135" s="22" t="s">
        <v>2959</v>
      </c>
      <c r="I135" s="64">
        <v>0</v>
      </c>
      <c r="J135" s="5" t="s">
        <v>195</v>
      </c>
      <c r="K135" s="17">
        <v>0</v>
      </c>
      <c r="L135" s="59">
        <v>1</v>
      </c>
      <c r="M135" s="22" t="s">
        <v>1162</v>
      </c>
      <c r="N135" s="22" t="s">
        <v>2637</v>
      </c>
      <c r="O135" s="22" t="s">
        <v>199</v>
      </c>
      <c r="P135" s="5" t="s">
        <v>200</v>
      </c>
      <c r="Q135" s="29" t="s">
        <v>197</v>
      </c>
      <c r="R135" s="17">
        <v>1</v>
      </c>
      <c r="S135" s="17">
        <v>0</v>
      </c>
      <c r="T135" s="17">
        <v>0</v>
      </c>
      <c r="U135" s="17">
        <v>1</v>
      </c>
      <c r="V135" s="17">
        <v>1</v>
      </c>
      <c r="W135" s="64">
        <v>130</v>
      </c>
      <c r="X135" s="64">
        <v>26</v>
      </c>
      <c r="Y135" s="64">
        <v>18</v>
      </c>
      <c r="Z135" s="64">
        <f t="shared" si="15"/>
        <v>174</v>
      </c>
      <c r="AA135" s="11">
        <f t="shared" si="16"/>
        <v>0.74712643678160917</v>
      </c>
      <c r="AB135" s="11">
        <f t="shared" si="17"/>
        <v>0.14942528735632185</v>
      </c>
      <c r="AC135" s="66">
        <f t="shared" si="18"/>
        <v>0.74712643678160917</v>
      </c>
      <c r="AD135" s="67">
        <f t="shared" si="19"/>
        <v>0.62068965517241381</v>
      </c>
    </row>
    <row r="136" spans="1:30" ht="14.5" customHeight="1" x14ac:dyDescent="0.2">
      <c r="A136" s="84" t="s">
        <v>2956</v>
      </c>
      <c r="B136" s="17">
        <v>1</v>
      </c>
      <c r="C136" s="17">
        <v>0</v>
      </c>
      <c r="D136" s="22" t="s">
        <v>193</v>
      </c>
      <c r="E136" s="22" t="s">
        <v>194</v>
      </c>
      <c r="F136" s="17">
        <f t="shared" si="14"/>
        <v>2006</v>
      </c>
      <c r="G136" s="18">
        <v>39056</v>
      </c>
      <c r="H136" s="22" t="s">
        <v>2959</v>
      </c>
      <c r="I136" s="64">
        <v>0</v>
      </c>
      <c r="J136" s="5" t="s">
        <v>195</v>
      </c>
      <c r="K136" s="17">
        <v>0</v>
      </c>
      <c r="L136" s="59">
        <v>1</v>
      </c>
      <c r="M136" s="22" t="s">
        <v>157</v>
      </c>
      <c r="N136" s="55" t="s">
        <v>2628</v>
      </c>
      <c r="P136" s="5" t="s">
        <v>201</v>
      </c>
      <c r="Q136" s="29" t="s">
        <v>197</v>
      </c>
      <c r="R136" s="17">
        <v>1</v>
      </c>
      <c r="S136" s="17">
        <v>0</v>
      </c>
      <c r="T136" s="17">
        <v>0</v>
      </c>
      <c r="U136" s="17">
        <v>1</v>
      </c>
      <c r="V136" s="17">
        <v>1</v>
      </c>
      <c r="W136" s="64">
        <v>130</v>
      </c>
      <c r="X136" s="64">
        <v>24</v>
      </c>
      <c r="Y136" s="64">
        <v>20</v>
      </c>
      <c r="Z136" s="64">
        <f t="shared" si="15"/>
        <v>174</v>
      </c>
      <c r="AA136" s="11">
        <f t="shared" si="16"/>
        <v>0.74712643678160917</v>
      </c>
      <c r="AB136" s="11">
        <f t="shared" si="17"/>
        <v>0.13793103448275862</v>
      </c>
      <c r="AC136" s="66">
        <f t="shared" si="18"/>
        <v>0.74712643678160917</v>
      </c>
      <c r="AD136" s="67">
        <f t="shared" si="19"/>
        <v>0.62068965517241381</v>
      </c>
    </row>
    <row r="137" spans="1:30" ht="14.5" customHeight="1" x14ac:dyDescent="0.2">
      <c r="A137" s="84" t="s">
        <v>2956</v>
      </c>
      <c r="B137" s="17">
        <v>1</v>
      </c>
      <c r="C137" s="17">
        <v>0</v>
      </c>
      <c r="D137" s="22" t="s">
        <v>193</v>
      </c>
      <c r="E137" s="22" t="s">
        <v>194</v>
      </c>
      <c r="F137" s="17">
        <f t="shared" si="14"/>
        <v>2006</v>
      </c>
      <c r="G137" s="18">
        <v>39056</v>
      </c>
      <c r="H137" s="22" t="s">
        <v>2959</v>
      </c>
      <c r="I137" s="64">
        <v>0</v>
      </c>
      <c r="J137" s="5" t="s">
        <v>195</v>
      </c>
      <c r="K137" s="17">
        <v>0</v>
      </c>
      <c r="L137" s="59">
        <v>1</v>
      </c>
      <c r="M137" s="50" t="s">
        <v>202</v>
      </c>
      <c r="N137" s="50" t="s">
        <v>2121</v>
      </c>
      <c r="P137" s="5" t="s">
        <v>203</v>
      </c>
      <c r="Q137" s="29" t="s">
        <v>197</v>
      </c>
      <c r="R137" s="17">
        <v>1</v>
      </c>
      <c r="S137" s="17">
        <v>0</v>
      </c>
      <c r="T137" s="17">
        <v>0</v>
      </c>
      <c r="U137" s="17">
        <v>1</v>
      </c>
      <c r="V137" s="17">
        <v>0</v>
      </c>
      <c r="W137" s="64">
        <v>129</v>
      </c>
      <c r="X137" s="64">
        <v>25</v>
      </c>
      <c r="Y137" s="64">
        <v>19</v>
      </c>
      <c r="Z137" s="64">
        <f t="shared" si="15"/>
        <v>173</v>
      </c>
      <c r="AA137" s="11">
        <f t="shared" si="16"/>
        <v>0.74566473988439308</v>
      </c>
      <c r="AB137" s="11">
        <f t="shared" si="17"/>
        <v>0.14450867052023122</v>
      </c>
      <c r="AC137" s="66">
        <f t="shared" si="18"/>
        <v>0.74566473988439308</v>
      </c>
      <c r="AD137" s="67">
        <f t="shared" si="19"/>
        <v>0.61849710982658956</v>
      </c>
    </row>
    <row r="138" spans="1:30" ht="14.5" customHeight="1" x14ac:dyDescent="0.2">
      <c r="A138" s="84" t="s">
        <v>2956</v>
      </c>
      <c r="B138" s="17">
        <v>1</v>
      </c>
      <c r="C138" s="17">
        <v>0</v>
      </c>
      <c r="D138" s="22" t="s">
        <v>204</v>
      </c>
      <c r="E138" s="22" t="s">
        <v>205</v>
      </c>
      <c r="F138" s="17">
        <f t="shared" si="14"/>
        <v>2007</v>
      </c>
      <c r="G138" s="18">
        <v>39120</v>
      </c>
      <c r="H138" s="22" t="s">
        <v>2960</v>
      </c>
      <c r="I138" s="64">
        <v>0</v>
      </c>
      <c r="J138" s="5" t="s">
        <v>291</v>
      </c>
      <c r="K138" s="17">
        <v>0</v>
      </c>
      <c r="L138" s="59">
        <v>1</v>
      </c>
      <c r="M138" s="22" t="s">
        <v>129</v>
      </c>
      <c r="N138" s="22" t="s">
        <v>422</v>
      </c>
      <c r="P138" s="5" t="s">
        <v>292</v>
      </c>
      <c r="Q138" s="29" t="s">
        <v>293</v>
      </c>
      <c r="R138" s="17">
        <v>1</v>
      </c>
      <c r="S138" s="17">
        <v>0</v>
      </c>
      <c r="T138" s="17">
        <v>0</v>
      </c>
      <c r="U138" s="17">
        <v>1</v>
      </c>
      <c r="V138" s="17">
        <v>0</v>
      </c>
      <c r="W138" s="64">
        <v>71</v>
      </c>
      <c r="X138" s="64">
        <v>1</v>
      </c>
      <c r="Y138" s="64">
        <v>0</v>
      </c>
      <c r="Z138" s="64">
        <f t="shared" si="15"/>
        <v>72</v>
      </c>
      <c r="AA138" s="11">
        <f t="shared" si="16"/>
        <v>0.98611111111111116</v>
      </c>
      <c r="AB138" s="11">
        <f t="shared" si="17"/>
        <v>1.3888888888888888E-2</v>
      </c>
      <c r="AC138" s="66">
        <f t="shared" si="18"/>
        <v>0.98611111111111116</v>
      </c>
      <c r="AD138" s="67">
        <f t="shared" si="19"/>
        <v>0.97916666666666663</v>
      </c>
    </row>
    <row r="139" spans="1:30" ht="14.5" customHeight="1" x14ac:dyDescent="0.2">
      <c r="A139" s="84" t="s">
        <v>2956</v>
      </c>
      <c r="B139" s="17">
        <v>1</v>
      </c>
      <c r="C139" s="17">
        <v>0</v>
      </c>
      <c r="D139" s="22" t="s">
        <v>204</v>
      </c>
      <c r="E139" s="22" t="s">
        <v>205</v>
      </c>
      <c r="F139" s="17">
        <f t="shared" si="14"/>
        <v>2007</v>
      </c>
      <c r="G139" s="18">
        <v>39121</v>
      </c>
      <c r="H139" s="22" t="s">
        <v>2959</v>
      </c>
      <c r="I139" s="64">
        <v>0</v>
      </c>
      <c r="J139" s="5" t="s">
        <v>206</v>
      </c>
      <c r="K139" s="17">
        <v>0</v>
      </c>
      <c r="L139" s="59">
        <v>1</v>
      </c>
      <c r="M139" s="22" t="s">
        <v>129</v>
      </c>
      <c r="N139" s="22" t="s">
        <v>422</v>
      </c>
      <c r="P139" s="5" t="s">
        <v>207</v>
      </c>
      <c r="Q139" s="29" t="s">
        <v>208</v>
      </c>
      <c r="R139" s="17">
        <v>1</v>
      </c>
      <c r="S139" s="17">
        <v>0</v>
      </c>
      <c r="T139" s="17">
        <v>0</v>
      </c>
      <c r="U139" s="17">
        <v>1</v>
      </c>
      <c r="V139" s="17">
        <v>0</v>
      </c>
      <c r="W139" s="64">
        <v>137</v>
      </c>
      <c r="X139" s="64">
        <v>24</v>
      </c>
      <c r="Y139" s="64">
        <v>23</v>
      </c>
      <c r="Z139" s="64">
        <f t="shared" si="15"/>
        <v>184</v>
      </c>
      <c r="AA139" s="11">
        <f t="shared" si="16"/>
        <v>0.74456521739130432</v>
      </c>
      <c r="AB139" s="11">
        <f t="shared" si="17"/>
        <v>0.13043478260869565</v>
      </c>
      <c r="AC139" s="66">
        <f t="shared" si="18"/>
        <v>0.74456521739130432</v>
      </c>
      <c r="AD139" s="67">
        <f t="shared" si="19"/>
        <v>0.61684782608695654</v>
      </c>
    </row>
    <row r="140" spans="1:30" ht="14.5" customHeight="1" x14ac:dyDescent="0.2">
      <c r="A140" s="84" t="s">
        <v>2956</v>
      </c>
      <c r="B140" s="17">
        <v>1</v>
      </c>
      <c r="C140" s="17">
        <v>0</v>
      </c>
      <c r="D140" s="22" t="s">
        <v>204</v>
      </c>
      <c r="E140" s="22" t="s">
        <v>205</v>
      </c>
      <c r="F140" s="17">
        <f t="shared" si="14"/>
        <v>2007</v>
      </c>
      <c r="G140" s="18">
        <v>39421</v>
      </c>
      <c r="H140" s="22" t="s">
        <v>2959</v>
      </c>
      <c r="I140" s="64">
        <v>0</v>
      </c>
      <c r="J140" s="5" t="s">
        <v>209</v>
      </c>
      <c r="K140" s="17">
        <v>0</v>
      </c>
      <c r="L140" s="59">
        <v>1</v>
      </c>
      <c r="M140" s="22" t="s">
        <v>2606</v>
      </c>
      <c r="N140" s="22" t="s">
        <v>2630</v>
      </c>
      <c r="P140" s="5" t="s">
        <v>210</v>
      </c>
      <c r="Q140" s="29" t="s">
        <v>211</v>
      </c>
      <c r="R140" s="17">
        <v>1</v>
      </c>
      <c r="S140" s="17">
        <v>0</v>
      </c>
      <c r="T140" s="17">
        <v>0</v>
      </c>
      <c r="U140" s="17">
        <v>1</v>
      </c>
      <c r="V140" s="17">
        <v>1</v>
      </c>
      <c r="W140" s="64">
        <v>156</v>
      </c>
      <c r="X140" s="64">
        <v>23</v>
      </c>
      <c r="Y140" s="64">
        <v>16</v>
      </c>
      <c r="Z140" s="64">
        <f t="shared" si="15"/>
        <v>195</v>
      </c>
      <c r="AA140" s="11">
        <f t="shared" si="16"/>
        <v>0.8</v>
      </c>
      <c r="AB140" s="11">
        <f t="shared" si="17"/>
        <v>0.11794871794871795</v>
      </c>
      <c r="AC140" s="66">
        <f t="shared" si="18"/>
        <v>0.8</v>
      </c>
      <c r="AD140" s="67">
        <f t="shared" si="19"/>
        <v>0.7</v>
      </c>
    </row>
    <row r="141" spans="1:30" ht="14.5" customHeight="1" x14ac:dyDescent="0.2">
      <c r="A141" s="84" t="s">
        <v>2956</v>
      </c>
      <c r="B141" s="17">
        <v>1</v>
      </c>
      <c r="C141" s="17">
        <v>0</v>
      </c>
      <c r="D141" s="22" t="s">
        <v>204</v>
      </c>
      <c r="E141" s="22" t="s">
        <v>205</v>
      </c>
      <c r="F141" s="17">
        <f t="shared" si="14"/>
        <v>2007</v>
      </c>
      <c r="G141" s="18">
        <v>39421</v>
      </c>
      <c r="H141" s="22" t="s">
        <v>2959</v>
      </c>
      <c r="I141" s="64">
        <v>0</v>
      </c>
      <c r="J141" s="5" t="s">
        <v>209</v>
      </c>
      <c r="K141" s="17">
        <v>0</v>
      </c>
      <c r="L141" s="59">
        <v>1</v>
      </c>
      <c r="M141" t="s">
        <v>30</v>
      </c>
      <c r="N141" t="s">
        <v>2121</v>
      </c>
      <c r="P141" s="5" t="s">
        <v>212</v>
      </c>
      <c r="Q141" s="29" t="s">
        <v>211</v>
      </c>
      <c r="R141" s="17">
        <v>1</v>
      </c>
      <c r="S141" s="17">
        <v>0</v>
      </c>
      <c r="T141" s="17">
        <v>0</v>
      </c>
      <c r="U141" s="17">
        <v>1</v>
      </c>
      <c r="V141" s="17">
        <v>1</v>
      </c>
      <c r="W141" s="64">
        <v>129</v>
      </c>
      <c r="X141" s="64">
        <v>45</v>
      </c>
      <c r="Y141" s="64">
        <v>21</v>
      </c>
      <c r="Z141" s="64">
        <f t="shared" si="15"/>
        <v>195</v>
      </c>
      <c r="AA141" s="11">
        <f t="shared" si="16"/>
        <v>0.66153846153846152</v>
      </c>
      <c r="AB141" s="11">
        <f t="shared" si="17"/>
        <v>0.23076923076923078</v>
      </c>
      <c r="AC141" s="66">
        <f t="shared" si="18"/>
        <v>0.66153846153846152</v>
      </c>
      <c r="AD141" s="67">
        <f t="shared" si="19"/>
        <v>0.49230769230769234</v>
      </c>
    </row>
    <row r="142" spans="1:30" ht="14.5" customHeight="1" x14ac:dyDescent="0.2">
      <c r="A142" s="84" t="s">
        <v>2956</v>
      </c>
      <c r="B142" s="17">
        <v>1</v>
      </c>
      <c r="C142" s="17">
        <v>0</v>
      </c>
      <c r="D142" s="22" t="s">
        <v>204</v>
      </c>
      <c r="E142" s="22" t="s">
        <v>205</v>
      </c>
      <c r="F142" s="17">
        <f t="shared" si="14"/>
        <v>2007</v>
      </c>
      <c r="G142" s="18">
        <v>39421</v>
      </c>
      <c r="H142" s="22" t="s">
        <v>2959</v>
      </c>
      <c r="I142" s="64">
        <v>0</v>
      </c>
      <c r="J142" s="5" t="s">
        <v>209</v>
      </c>
      <c r="K142" s="17">
        <v>0</v>
      </c>
      <c r="L142" s="59">
        <v>1</v>
      </c>
      <c r="M142" s="5" t="s">
        <v>165</v>
      </c>
      <c r="N142" s="24" t="s">
        <v>2630</v>
      </c>
      <c r="P142" s="5" t="s">
        <v>213</v>
      </c>
      <c r="Q142" s="29" t="s">
        <v>211</v>
      </c>
      <c r="R142" s="17">
        <v>1</v>
      </c>
      <c r="S142" s="17">
        <v>0</v>
      </c>
      <c r="T142" s="17">
        <v>0</v>
      </c>
      <c r="U142" s="17">
        <v>1</v>
      </c>
      <c r="V142" s="17">
        <v>1</v>
      </c>
      <c r="W142" s="64">
        <v>153</v>
      </c>
      <c r="X142" s="64">
        <v>25</v>
      </c>
      <c r="Y142" s="64">
        <v>17</v>
      </c>
      <c r="Z142" s="64">
        <f t="shared" si="15"/>
        <v>195</v>
      </c>
      <c r="AA142" s="11">
        <f t="shared" si="16"/>
        <v>0.7846153846153846</v>
      </c>
      <c r="AB142" s="11">
        <f t="shared" si="17"/>
        <v>0.12820512820512819</v>
      </c>
      <c r="AC142" s="66">
        <f t="shared" si="18"/>
        <v>0.7846153846153846</v>
      </c>
      <c r="AD142" s="67">
        <f t="shared" si="19"/>
        <v>0.67692307692307696</v>
      </c>
    </row>
    <row r="143" spans="1:30" ht="14.5" customHeight="1" x14ac:dyDescent="0.2">
      <c r="A143" s="84" t="s">
        <v>2956</v>
      </c>
      <c r="B143" s="17">
        <v>1</v>
      </c>
      <c r="C143" s="17">
        <v>0</v>
      </c>
      <c r="D143" s="22" t="s">
        <v>204</v>
      </c>
      <c r="E143" s="22" t="s">
        <v>205</v>
      </c>
      <c r="F143" s="17">
        <f t="shared" si="14"/>
        <v>2007</v>
      </c>
      <c r="G143" s="18">
        <v>39421</v>
      </c>
      <c r="H143" s="22" t="s">
        <v>2959</v>
      </c>
      <c r="I143" s="64">
        <v>0</v>
      </c>
      <c r="J143" s="5" t="s">
        <v>209</v>
      </c>
      <c r="K143" s="17">
        <v>0</v>
      </c>
      <c r="L143" s="59">
        <v>1</v>
      </c>
      <c r="M143" s="22" t="s">
        <v>1162</v>
      </c>
      <c r="N143" s="22" t="s">
        <v>2635</v>
      </c>
      <c r="O143" s="22" t="s">
        <v>214</v>
      </c>
      <c r="P143" s="5" t="s">
        <v>215</v>
      </c>
      <c r="Q143" s="29" t="s">
        <v>211</v>
      </c>
      <c r="R143" s="17">
        <v>1</v>
      </c>
      <c r="S143" s="17">
        <v>0</v>
      </c>
      <c r="T143" s="17">
        <v>0</v>
      </c>
      <c r="U143" s="17">
        <v>1</v>
      </c>
      <c r="V143" s="17">
        <v>0</v>
      </c>
      <c r="W143" s="64">
        <v>147</v>
      </c>
      <c r="X143" s="64">
        <v>31</v>
      </c>
      <c r="Y143" s="64">
        <v>17</v>
      </c>
      <c r="Z143" s="64">
        <f t="shared" si="15"/>
        <v>195</v>
      </c>
      <c r="AA143" s="11">
        <f t="shared" si="16"/>
        <v>0.75384615384615383</v>
      </c>
      <c r="AB143" s="11">
        <f t="shared" si="17"/>
        <v>0.15897435897435896</v>
      </c>
      <c r="AC143" s="66">
        <f t="shared" si="18"/>
        <v>0.75384615384615383</v>
      </c>
      <c r="AD143" s="67">
        <f t="shared" si="19"/>
        <v>0.63076923076923075</v>
      </c>
    </row>
    <row r="144" spans="1:30" ht="14.5" customHeight="1" x14ac:dyDescent="0.2">
      <c r="A144" s="84" t="s">
        <v>2956</v>
      </c>
      <c r="B144" s="17">
        <v>1</v>
      </c>
      <c r="C144" s="17">
        <v>0</v>
      </c>
      <c r="D144" s="22" t="s">
        <v>204</v>
      </c>
      <c r="E144" s="22" t="s">
        <v>205</v>
      </c>
      <c r="F144" s="17">
        <f t="shared" si="14"/>
        <v>2007</v>
      </c>
      <c r="G144" s="18">
        <v>39421</v>
      </c>
      <c r="H144" s="22" t="s">
        <v>2959</v>
      </c>
      <c r="I144" s="64">
        <v>0</v>
      </c>
      <c r="J144" s="5" t="s">
        <v>209</v>
      </c>
      <c r="K144" s="17">
        <v>0</v>
      </c>
      <c r="L144" s="59">
        <v>1</v>
      </c>
      <c r="M144" s="22" t="s">
        <v>1162</v>
      </c>
      <c r="N144" s="22" t="s">
        <v>2637</v>
      </c>
      <c r="O144" s="22" t="s">
        <v>216</v>
      </c>
      <c r="P144" s="5" t="s">
        <v>217</v>
      </c>
      <c r="Q144" s="29" t="s">
        <v>211</v>
      </c>
      <c r="R144" s="17">
        <v>1</v>
      </c>
      <c r="S144" s="17">
        <v>0</v>
      </c>
      <c r="T144" s="17">
        <v>0</v>
      </c>
      <c r="U144" s="17">
        <v>1</v>
      </c>
      <c r="V144" s="17">
        <v>1</v>
      </c>
      <c r="W144" s="64">
        <v>125</v>
      </c>
      <c r="X144" s="64">
        <v>54</v>
      </c>
      <c r="Y144" s="64">
        <v>16</v>
      </c>
      <c r="Z144" s="64">
        <f t="shared" si="15"/>
        <v>195</v>
      </c>
      <c r="AA144" s="11">
        <f t="shared" si="16"/>
        <v>0.64102564102564108</v>
      </c>
      <c r="AB144" s="11">
        <f t="shared" si="17"/>
        <v>0.27692307692307694</v>
      </c>
      <c r="AC144" s="66">
        <f t="shared" si="18"/>
        <v>0.64102564102564108</v>
      </c>
      <c r="AD144" s="67">
        <f t="shared" si="19"/>
        <v>0.46153846153846156</v>
      </c>
    </row>
    <row r="145" spans="1:30" ht="14.5" customHeight="1" x14ac:dyDescent="0.2">
      <c r="A145" s="84" t="s">
        <v>2956</v>
      </c>
      <c r="B145" s="17">
        <v>1</v>
      </c>
      <c r="C145" s="17">
        <v>0</v>
      </c>
      <c r="D145" s="22" t="s">
        <v>204</v>
      </c>
      <c r="E145" s="22" t="s">
        <v>205</v>
      </c>
      <c r="F145" s="17">
        <f t="shared" si="14"/>
        <v>2007</v>
      </c>
      <c r="G145" s="18">
        <v>39421</v>
      </c>
      <c r="H145" s="22" t="s">
        <v>2959</v>
      </c>
      <c r="I145" s="64">
        <v>0</v>
      </c>
      <c r="J145" s="5" t="s">
        <v>209</v>
      </c>
      <c r="K145" s="17">
        <v>0</v>
      </c>
      <c r="L145" s="59">
        <v>1</v>
      </c>
      <c r="M145" s="22" t="s">
        <v>157</v>
      </c>
      <c r="N145" s="55" t="s">
        <v>2628</v>
      </c>
      <c r="P145" s="5" t="s">
        <v>218</v>
      </c>
      <c r="Q145" s="29" t="s">
        <v>211</v>
      </c>
      <c r="R145" s="17">
        <v>1</v>
      </c>
      <c r="S145" s="17">
        <v>0</v>
      </c>
      <c r="T145" s="17">
        <v>0</v>
      </c>
      <c r="U145" s="17">
        <v>1</v>
      </c>
      <c r="V145" s="17">
        <v>1</v>
      </c>
      <c r="W145" s="64">
        <v>139</v>
      </c>
      <c r="X145" s="64">
        <v>39</v>
      </c>
      <c r="Y145" s="64">
        <v>17</v>
      </c>
      <c r="Z145" s="64">
        <f t="shared" si="15"/>
        <v>195</v>
      </c>
      <c r="AA145" s="11">
        <f t="shared" si="16"/>
        <v>0.71282051282051284</v>
      </c>
      <c r="AB145" s="11">
        <f t="shared" si="17"/>
        <v>0.2</v>
      </c>
      <c r="AC145" s="66">
        <f t="shared" si="18"/>
        <v>0.71282051282051284</v>
      </c>
      <c r="AD145" s="67">
        <f t="shared" si="19"/>
        <v>0.56923076923076921</v>
      </c>
    </row>
    <row r="146" spans="1:30" ht="14.5" customHeight="1" x14ac:dyDescent="0.2">
      <c r="A146" s="84" t="s">
        <v>2956</v>
      </c>
      <c r="B146" s="17">
        <v>1</v>
      </c>
      <c r="C146" s="17">
        <v>0</v>
      </c>
      <c r="D146" s="22" t="s">
        <v>204</v>
      </c>
      <c r="E146" s="22" t="s">
        <v>205</v>
      </c>
      <c r="F146" s="17">
        <f t="shared" si="14"/>
        <v>2008</v>
      </c>
      <c r="G146" s="18">
        <v>39568</v>
      </c>
      <c r="H146" s="22" t="s">
        <v>2959</v>
      </c>
      <c r="I146" s="64">
        <v>0</v>
      </c>
      <c r="J146" s="5" t="s">
        <v>219</v>
      </c>
      <c r="K146" s="17">
        <v>0</v>
      </c>
      <c r="L146" s="59">
        <v>1</v>
      </c>
      <c r="M146" s="5" t="s">
        <v>2566</v>
      </c>
      <c r="N146" s="5" t="s">
        <v>422</v>
      </c>
      <c r="P146" s="5" t="s">
        <v>220</v>
      </c>
      <c r="Q146" s="29" t="s">
        <v>221</v>
      </c>
      <c r="R146" s="17">
        <v>1</v>
      </c>
      <c r="S146" s="17">
        <v>0</v>
      </c>
      <c r="T146" s="17">
        <v>0</v>
      </c>
      <c r="U146" s="17">
        <v>1</v>
      </c>
      <c r="V146" s="17">
        <v>1</v>
      </c>
      <c r="W146" s="64">
        <v>112</v>
      </c>
      <c r="X146" s="64">
        <v>45</v>
      </c>
      <c r="Y146" s="64">
        <v>24</v>
      </c>
      <c r="Z146" s="64">
        <f t="shared" si="15"/>
        <v>181</v>
      </c>
      <c r="AA146" s="11">
        <f t="shared" si="16"/>
        <v>0.61878453038674031</v>
      </c>
      <c r="AB146" s="11">
        <f t="shared" si="17"/>
        <v>0.24861878453038674</v>
      </c>
      <c r="AC146" s="66">
        <f t="shared" si="18"/>
        <v>0.61878453038674031</v>
      </c>
      <c r="AD146" s="67">
        <f t="shared" si="19"/>
        <v>0.42817679558011051</v>
      </c>
    </row>
    <row r="147" spans="1:30" ht="14.5" customHeight="1" x14ac:dyDescent="0.2">
      <c r="A147" s="84" t="s">
        <v>2956</v>
      </c>
      <c r="B147" s="17">
        <v>1</v>
      </c>
      <c r="C147" s="17">
        <v>0</v>
      </c>
      <c r="D147" s="22" t="s">
        <v>204</v>
      </c>
      <c r="E147" s="22" t="s">
        <v>205</v>
      </c>
      <c r="F147" s="17">
        <f t="shared" si="14"/>
        <v>2008</v>
      </c>
      <c r="G147" s="18">
        <v>39793</v>
      </c>
      <c r="H147" s="22" t="s">
        <v>2960</v>
      </c>
      <c r="I147" s="64">
        <v>0</v>
      </c>
      <c r="J147" s="5" t="s">
        <v>294</v>
      </c>
      <c r="K147" s="17">
        <v>0</v>
      </c>
      <c r="L147" s="59">
        <v>1</v>
      </c>
      <c r="M147" s="22" t="s">
        <v>1162</v>
      </c>
      <c r="N147" s="22" t="s">
        <v>2637</v>
      </c>
      <c r="O147" s="22" t="s">
        <v>223</v>
      </c>
      <c r="P147" s="5" t="s">
        <v>295</v>
      </c>
      <c r="Q147" s="29" t="s">
        <v>296</v>
      </c>
      <c r="R147" s="17">
        <v>1</v>
      </c>
      <c r="S147" s="17">
        <v>0</v>
      </c>
      <c r="T147" s="17">
        <v>0</v>
      </c>
      <c r="U147" s="17">
        <v>1</v>
      </c>
      <c r="V147" s="17">
        <v>1</v>
      </c>
      <c r="W147" s="64">
        <v>51</v>
      </c>
      <c r="X147" s="64">
        <v>6</v>
      </c>
      <c r="Y147" s="64">
        <v>16</v>
      </c>
      <c r="Z147" s="64">
        <f t="shared" si="15"/>
        <v>73</v>
      </c>
      <c r="AA147" s="11">
        <f t="shared" si="16"/>
        <v>0.69863013698630139</v>
      </c>
      <c r="AB147" s="11">
        <f t="shared" si="17"/>
        <v>8.2191780821917804E-2</v>
      </c>
      <c r="AC147" s="66">
        <f t="shared" si="18"/>
        <v>0.69863013698630139</v>
      </c>
      <c r="AD147" s="67">
        <f t="shared" si="19"/>
        <v>0.54794520547945202</v>
      </c>
    </row>
    <row r="148" spans="1:30" ht="14.5" customHeight="1" x14ac:dyDescent="0.2">
      <c r="A148" s="84" t="s">
        <v>2956</v>
      </c>
      <c r="B148" s="17">
        <v>1</v>
      </c>
      <c r="C148" s="17">
        <v>0</v>
      </c>
      <c r="D148" s="22" t="s">
        <v>204</v>
      </c>
      <c r="E148" s="22" t="s">
        <v>205</v>
      </c>
      <c r="F148" s="17">
        <f t="shared" si="14"/>
        <v>2008</v>
      </c>
      <c r="G148" s="18">
        <v>39801</v>
      </c>
      <c r="H148" s="22" t="s">
        <v>2959</v>
      </c>
      <c r="I148" s="64">
        <v>0</v>
      </c>
      <c r="J148" s="24" t="s">
        <v>222</v>
      </c>
      <c r="K148" s="17">
        <v>0</v>
      </c>
      <c r="L148" s="59">
        <v>1</v>
      </c>
      <c r="M148" s="22" t="s">
        <v>1162</v>
      </c>
      <c r="N148" s="22" t="s">
        <v>2637</v>
      </c>
      <c r="O148" s="22" t="s">
        <v>223</v>
      </c>
      <c r="P148" s="24" t="s">
        <v>224</v>
      </c>
      <c r="Q148" s="29" t="s">
        <v>225</v>
      </c>
      <c r="R148" s="17">
        <v>1</v>
      </c>
      <c r="S148" s="17">
        <v>0</v>
      </c>
      <c r="T148" s="17">
        <v>0</v>
      </c>
      <c r="U148" s="17">
        <v>1</v>
      </c>
      <c r="V148" s="17">
        <v>1</v>
      </c>
      <c r="W148" s="64">
        <v>99</v>
      </c>
      <c r="X148" s="64">
        <v>75</v>
      </c>
      <c r="Y148" s="64">
        <v>18</v>
      </c>
      <c r="Z148" s="64">
        <f t="shared" si="15"/>
        <v>192</v>
      </c>
      <c r="AA148" s="11">
        <f t="shared" si="16"/>
        <v>0.515625</v>
      </c>
      <c r="AB148" s="11">
        <f t="shared" si="17"/>
        <v>0.390625</v>
      </c>
      <c r="AC148" s="66">
        <f t="shared" si="18"/>
        <v>0.515625</v>
      </c>
      <c r="AD148" s="67">
        <f t="shared" si="19"/>
        <v>0.2734375</v>
      </c>
    </row>
    <row r="149" spans="1:30" ht="14.5" customHeight="1" x14ac:dyDescent="0.2">
      <c r="A149" s="84" t="s">
        <v>2956</v>
      </c>
      <c r="B149" s="17">
        <v>1</v>
      </c>
      <c r="C149" s="17">
        <v>0</v>
      </c>
      <c r="D149" s="22" t="s">
        <v>204</v>
      </c>
      <c r="E149" s="22" t="s">
        <v>205</v>
      </c>
      <c r="F149" s="17">
        <f t="shared" si="14"/>
        <v>2009</v>
      </c>
      <c r="G149" s="18">
        <v>39841</v>
      </c>
      <c r="H149" s="22" t="s">
        <v>2960</v>
      </c>
      <c r="I149" s="64">
        <v>0</v>
      </c>
      <c r="J149" s="5" t="s">
        <v>297</v>
      </c>
      <c r="K149" s="17">
        <v>0</v>
      </c>
      <c r="L149" s="59">
        <v>1</v>
      </c>
      <c r="M149" s="22" t="s">
        <v>1162</v>
      </c>
      <c r="N149" s="22" t="s">
        <v>2637</v>
      </c>
      <c r="O149" s="22" t="s">
        <v>223</v>
      </c>
      <c r="P149" s="5" t="s">
        <v>298</v>
      </c>
      <c r="Q149" s="29" t="s">
        <v>299</v>
      </c>
      <c r="R149" s="17">
        <v>1</v>
      </c>
      <c r="S149" s="17">
        <v>0</v>
      </c>
      <c r="T149" s="17">
        <v>0</v>
      </c>
      <c r="U149" s="17">
        <v>1</v>
      </c>
      <c r="V149" s="17">
        <v>1</v>
      </c>
      <c r="W149" s="64">
        <v>53</v>
      </c>
      <c r="X149" s="64">
        <v>4</v>
      </c>
      <c r="Y149" s="64">
        <v>14</v>
      </c>
      <c r="Z149" s="64">
        <f t="shared" si="15"/>
        <v>71</v>
      </c>
      <c r="AA149" s="11">
        <f t="shared" si="16"/>
        <v>0.74647887323943662</v>
      </c>
      <c r="AB149" s="11">
        <f t="shared" si="17"/>
        <v>5.6338028169014086E-2</v>
      </c>
      <c r="AC149" s="66">
        <f t="shared" si="18"/>
        <v>0.74647887323943662</v>
      </c>
      <c r="AD149" s="67">
        <f t="shared" si="19"/>
        <v>0.61971830985915488</v>
      </c>
    </row>
    <row r="150" spans="1:30" ht="14.5" customHeight="1" x14ac:dyDescent="0.2">
      <c r="A150" s="84" t="s">
        <v>2956</v>
      </c>
      <c r="B150" s="17">
        <v>1</v>
      </c>
      <c r="C150" s="17">
        <v>0</v>
      </c>
      <c r="D150" s="22" t="s">
        <v>204</v>
      </c>
      <c r="E150" s="22" t="s">
        <v>205</v>
      </c>
      <c r="F150" s="17">
        <f t="shared" si="14"/>
        <v>2009</v>
      </c>
      <c r="G150" s="18">
        <v>39848</v>
      </c>
      <c r="H150" s="22" t="s">
        <v>2959</v>
      </c>
      <c r="I150" s="64">
        <v>0</v>
      </c>
      <c r="J150" s="5" t="s">
        <v>226</v>
      </c>
      <c r="K150" s="17">
        <v>0</v>
      </c>
      <c r="L150" s="59">
        <v>1</v>
      </c>
      <c r="M150" s="22" t="s">
        <v>1162</v>
      </c>
      <c r="N150" s="22" t="s">
        <v>2637</v>
      </c>
      <c r="O150" s="22" t="s">
        <v>223</v>
      </c>
      <c r="P150" s="5" t="s">
        <v>227</v>
      </c>
      <c r="Q150" s="29" t="s">
        <v>228</v>
      </c>
      <c r="R150" s="17">
        <v>1</v>
      </c>
      <c r="S150" s="17">
        <v>0</v>
      </c>
      <c r="T150" s="17">
        <v>0</v>
      </c>
      <c r="U150" s="17">
        <v>1</v>
      </c>
      <c r="V150" s="17">
        <v>1</v>
      </c>
      <c r="W150" s="64">
        <v>105</v>
      </c>
      <c r="X150" s="64">
        <v>66</v>
      </c>
      <c r="Y150" s="64">
        <v>14</v>
      </c>
      <c r="Z150" s="64">
        <f t="shared" si="15"/>
        <v>185</v>
      </c>
      <c r="AA150" s="11">
        <f t="shared" si="16"/>
        <v>0.56756756756756754</v>
      </c>
      <c r="AB150" s="11">
        <f t="shared" si="17"/>
        <v>0.35675675675675678</v>
      </c>
      <c r="AC150" s="66">
        <f t="shared" si="18"/>
        <v>0.56756756756756754</v>
      </c>
      <c r="AD150" s="67">
        <f t="shared" si="19"/>
        <v>0.35135135135135137</v>
      </c>
    </row>
    <row r="151" spans="1:30" ht="14.5" customHeight="1" x14ac:dyDescent="0.2">
      <c r="A151" s="84" t="s">
        <v>2956</v>
      </c>
      <c r="B151" s="17">
        <v>1</v>
      </c>
      <c r="C151" s="17">
        <v>0</v>
      </c>
      <c r="D151" s="22" t="s">
        <v>229</v>
      </c>
      <c r="E151" s="22" t="s">
        <v>2993</v>
      </c>
      <c r="F151" s="17">
        <f t="shared" si="14"/>
        <v>2009</v>
      </c>
      <c r="G151" s="18">
        <v>39980</v>
      </c>
      <c r="H151" s="22" t="s">
        <v>2959</v>
      </c>
      <c r="I151" s="64">
        <v>0</v>
      </c>
      <c r="J151" s="5" t="s">
        <v>230</v>
      </c>
      <c r="K151" s="17">
        <v>0</v>
      </c>
      <c r="L151" s="59">
        <v>1</v>
      </c>
      <c r="M151" s="22" t="s">
        <v>1162</v>
      </c>
      <c r="N151" s="22" t="s">
        <v>2637</v>
      </c>
      <c r="O151" s="22" t="s">
        <v>231</v>
      </c>
      <c r="P151" s="5" t="s">
        <v>232</v>
      </c>
      <c r="Q151" s="29" t="s">
        <v>233</v>
      </c>
      <c r="R151" s="17">
        <v>1</v>
      </c>
      <c r="S151" s="17">
        <v>0</v>
      </c>
      <c r="T151" s="17">
        <v>0</v>
      </c>
      <c r="U151" s="17">
        <v>1</v>
      </c>
      <c r="V151" s="17">
        <v>1</v>
      </c>
      <c r="W151" s="64">
        <v>122</v>
      </c>
      <c r="X151" s="64">
        <v>29</v>
      </c>
      <c r="Y151" s="64">
        <v>22</v>
      </c>
      <c r="Z151" s="64">
        <f t="shared" si="15"/>
        <v>173</v>
      </c>
      <c r="AA151" s="11">
        <f t="shared" si="16"/>
        <v>0.7052023121387283</v>
      </c>
      <c r="AB151" s="11">
        <f t="shared" si="17"/>
        <v>0.16763005780346821</v>
      </c>
      <c r="AC151" s="66">
        <f t="shared" si="18"/>
        <v>0.7052023121387283</v>
      </c>
      <c r="AD151" s="67">
        <f t="shared" si="19"/>
        <v>0.55780346820809246</v>
      </c>
    </row>
    <row r="152" spans="1:30" ht="14.5" customHeight="1" x14ac:dyDescent="0.2">
      <c r="A152" s="84" t="s">
        <v>2956</v>
      </c>
      <c r="B152" s="17">
        <v>1</v>
      </c>
      <c r="C152" s="17">
        <v>0</v>
      </c>
      <c r="D152" s="22" t="s">
        <v>229</v>
      </c>
      <c r="E152" s="22" t="s">
        <v>2993</v>
      </c>
      <c r="F152" s="17">
        <f t="shared" si="14"/>
        <v>2009</v>
      </c>
      <c r="G152" s="18">
        <v>39981</v>
      </c>
      <c r="H152" s="22" t="s">
        <v>2960</v>
      </c>
      <c r="I152" s="64">
        <v>0</v>
      </c>
      <c r="J152" s="5" t="s">
        <v>300</v>
      </c>
      <c r="K152" s="17">
        <v>0</v>
      </c>
      <c r="L152" s="59">
        <v>1</v>
      </c>
      <c r="M152" s="22" t="s">
        <v>1162</v>
      </c>
      <c r="N152" s="22" t="s">
        <v>2637</v>
      </c>
      <c r="O152" s="22" t="s">
        <v>231</v>
      </c>
      <c r="P152" s="5" t="s">
        <v>301</v>
      </c>
      <c r="Q152" s="29" t="s">
        <v>302</v>
      </c>
      <c r="R152" s="17">
        <v>1</v>
      </c>
      <c r="S152" s="17">
        <v>0</v>
      </c>
      <c r="T152" s="17">
        <v>0</v>
      </c>
      <c r="U152" s="17">
        <v>1</v>
      </c>
      <c r="V152" s="17">
        <v>1</v>
      </c>
      <c r="W152" s="64">
        <v>64</v>
      </c>
      <c r="X152" s="64">
        <v>2</v>
      </c>
      <c r="Y152" s="64">
        <v>3</v>
      </c>
      <c r="Z152" s="64">
        <f t="shared" si="15"/>
        <v>69</v>
      </c>
      <c r="AA152" s="11">
        <f t="shared" si="16"/>
        <v>0.92753623188405798</v>
      </c>
      <c r="AB152" s="11">
        <f t="shared" si="17"/>
        <v>2.8985507246376812E-2</v>
      </c>
      <c r="AC152" s="66">
        <f t="shared" si="18"/>
        <v>0.92753623188405798</v>
      </c>
      <c r="AD152" s="67">
        <f t="shared" si="19"/>
        <v>0.89130434782608692</v>
      </c>
    </row>
    <row r="153" spans="1:30" ht="14.5" customHeight="1" x14ac:dyDescent="0.2">
      <c r="A153" s="84" t="s">
        <v>2956</v>
      </c>
      <c r="B153" s="17">
        <v>1</v>
      </c>
      <c r="C153" s="17">
        <v>0</v>
      </c>
      <c r="D153" s="22" t="s">
        <v>234</v>
      </c>
      <c r="E153" s="22" t="s">
        <v>235</v>
      </c>
      <c r="F153" s="17">
        <f t="shared" si="14"/>
        <v>2010</v>
      </c>
      <c r="G153" s="18">
        <v>40485</v>
      </c>
      <c r="H153" s="22" t="s">
        <v>2959</v>
      </c>
      <c r="I153" s="64">
        <v>0</v>
      </c>
      <c r="J153" s="24" t="s">
        <v>236</v>
      </c>
      <c r="K153" s="17">
        <v>0</v>
      </c>
      <c r="L153" s="59">
        <v>1</v>
      </c>
      <c r="M153" s="22" t="s">
        <v>1162</v>
      </c>
      <c r="N153" s="22" t="s">
        <v>2637</v>
      </c>
      <c r="O153" s="22" t="s">
        <v>237</v>
      </c>
      <c r="P153" s="24" t="s">
        <v>238</v>
      </c>
      <c r="Q153" s="29" t="s">
        <v>239</v>
      </c>
      <c r="R153" s="17">
        <v>1</v>
      </c>
      <c r="S153" s="17">
        <v>0</v>
      </c>
      <c r="T153" s="17">
        <v>0</v>
      </c>
      <c r="U153" s="17">
        <v>1</v>
      </c>
      <c r="V153" s="17">
        <v>1</v>
      </c>
      <c r="W153" s="64">
        <v>106</v>
      </c>
      <c r="X153" s="64">
        <v>67</v>
      </c>
      <c r="Y153" s="64">
        <v>9</v>
      </c>
      <c r="Z153" s="64">
        <f t="shared" si="15"/>
        <v>182</v>
      </c>
      <c r="AA153" s="11">
        <f t="shared" si="16"/>
        <v>0.58241758241758246</v>
      </c>
      <c r="AB153" s="11">
        <f t="shared" si="17"/>
        <v>0.36813186813186816</v>
      </c>
      <c r="AC153" s="66">
        <f t="shared" si="18"/>
        <v>0.58241758241758246</v>
      </c>
      <c r="AD153" s="67">
        <f t="shared" si="19"/>
        <v>0.37362637362637363</v>
      </c>
    </row>
    <row r="154" spans="1:30" ht="14.5" customHeight="1" x14ac:dyDescent="0.2">
      <c r="A154" s="84" t="s">
        <v>2956</v>
      </c>
      <c r="B154" s="17">
        <v>1</v>
      </c>
      <c r="C154" s="17">
        <v>0</v>
      </c>
      <c r="D154" s="22" t="s">
        <v>240</v>
      </c>
      <c r="E154" s="22" t="s">
        <v>241</v>
      </c>
      <c r="F154" s="17">
        <f t="shared" si="14"/>
        <v>2014</v>
      </c>
      <c r="G154" s="18">
        <v>41943</v>
      </c>
      <c r="H154" s="22" t="s">
        <v>2959</v>
      </c>
      <c r="I154" s="64">
        <v>0</v>
      </c>
      <c r="J154" s="5" t="s">
        <v>242</v>
      </c>
      <c r="K154" s="17">
        <v>0</v>
      </c>
      <c r="L154" s="59">
        <v>1</v>
      </c>
      <c r="M154" s="22" t="s">
        <v>1162</v>
      </c>
      <c r="N154" s="22" t="s">
        <v>2637</v>
      </c>
      <c r="O154" s="22" t="s">
        <v>243</v>
      </c>
      <c r="P154" s="5" t="s">
        <v>244</v>
      </c>
      <c r="Q154" s="29" t="s">
        <v>245</v>
      </c>
      <c r="R154" s="17">
        <v>1</v>
      </c>
      <c r="S154" s="17">
        <v>0</v>
      </c>
      <c r="T154" s="17">
        <v>1</v>
      </c>
      <c r="U154" s="17">
        <v>1</v>
      </c>
      <c r="V154" s="17">
        <v>1</v>
      </c>
      <c r="W154" s="64">
        <v>133</v>
      </c>
      <c r="X154" s="64">
        <v>27</v>
      </c>
      <c r="Y154" s="64">
        <v>16</v>
      </c>
      <c r="Z154" s="64">
        <f t="shared" si="15"/>
        <v>176</v>
      </c>
      <c r="AA154" s="11">
        <f t="shared" si="16"/>
        <v>0.75568181818181823</v>
      </c>
      <c r="AB154" s="11">
        <f t="shared" si="17"/>
        <v>0.15340909090909091</v>
      </c>
      <c r="AC154" s="66">
        <f t="shared" si="18"/>
        <v>0.75568181818181823</v>
      </c>
      <c r="AD154" s="67">
        <f t="shared" si="19"/>
        <v>0.63352272727272729</v>
      </c>
    </row>
    <row r="155" spans="1:30" ht="14.5" customHeight="1" x14ac:dyDescent="0.2">
      <c r="A155" s="84" t="s">
        <v>2956</v>
      </c>
      <c r="B155" s="17">
        <v>1</v>
      </c>
      <c r="C155" s="17">
        <v>0</v>
      </c>
      <c r="D155" s="22" t="s">
        <v>240</v>
      </c>
      <c r="E155" s="22" t="s">
        <v>241</v>
      </c>
      <c r="F155" s="17">
        <f t="shared" si="14"/>
        <v>2015</v>
      </c>
      <c r="G155" s="18">
        <v>42137</v>
      </c>
      <c r="H155" s="22" t="s">
        <v>2960</v>
      </c>
      <c r="I155" s="64">
        <v>0</v>
      </c>
      <c r="J155" s="5" t="s">
        <v>303</v>
      </c>
      <c r="K155" s="17">
        <v>0</v>
      </c>
      <c r="L155" s="59">
        <v>1</v>
      </c>
      <c r="M155" s="22" t="s">
        <v>2863</v>
      </c>
      <c r="N155" s="24" t="s">
        <v>2637</v>
      </c>
      <c r="P155" s="5" t="s">
        <v>304</v>
      </c>
      <c r="Q155" s="29" t="s">
        <v>305</v>
      </c>
      <c r="R155" s="17">
        <v>1</v>
      </c>
      <c r="S155" s="17">
        <v>0</v>
      </c>
      <c r="T155" s="17">
        <v>0</v>
      </c>
      <c r="U155" s="17">
        <v>1</v>
      </c>
      <c r="V155" s="17">
        <v>1</v>
      </c>
      <c r="W155" s="64">
        <v>54</v>
      </c>
      <c r="X155" s="64">
        <v>2</v>
      </c>
      <c r="Y155" s="64">
        <v>6</v>
      </c>
      <c r="Z155" s="64">
        <f t="shared" si="15"/>
        <v>62</v>
      </c>
      <c r="AA155" s="11">
        <f t="shared" si="16"/>
        <v>0.87096774193548387</v>
      </c>
      <c r="AB155" s="11">
        <f t="shared" si="17"/>
        <v>3.2258064516129031E-2</v>
      </c>
      <c r="AC155" s="66">
        <f t="shared" si="18"/>
        <v>0.87096774193548387</v>
      </c>
      <c r="AD155" s="67">
        <f t="shared" si="19"/>
        <v>0.80645161290322576</v>
      </c>
    </row>
    <row r="156" spans="1:30" ht="14.5" customHeight="1" x14ac:dyDescent="0.2">
      <c r="A156" s="84" t="s">
        <v>2956</v>
      </c>
      <c r="B156" s="17">
        <v>1</v>
      </c>
      <c r="C156" s="17">
        <v>0</v>
      </c>
      <c r="D156" s="22" t="s">
        <v>240</v>
      </c>
      <c r="E156" s="22" t="s">
        <v>241</v>
      </c>
      <c r="F156" s="17">
        <f t="shared" si="14"/>
        <v>2015</v>
      </c>
      <c r="G156" s="18">
        <v>42171</v>
      </c>
      <c r="H156" s="22" t="s">
        <v>2959</v>
      </c>
      <c r="I156" s="64">
        <v>0</v>
      </c>
      <c r="J156" s="5" t="s">
        <v>246</v>
      </c>
      <c r="K156" s="17">
        <v>0</v>
      </c>
      <c r="L156" s="59">
        <v>1</v>
      </c>
      <c r="M156" s="22" t="s">
        <v>247</v>
      </c>
      <c r="N156" s="5" t="s">
        <v>2629</v>
      </c>
      <c r="P156" s="5" t="s">
        <v>248</v>
      </c>
      <c r="Q156" s="29" t="s">
        <v>249</v>
      </c>
      <c r="R156" s="17">
        <v>1</v>
      </c>
      <c r="S156" s="17">
        <v>0</v>
      </c>
      <c r="T156" s="17">
        <v>0</v>
      </c>
      <c r="U156" s="17">
        <v>1</v>
      </c>
      <c r="V156" s="17">
        <v>1</v>
      </c>
      <c r="W156" s="64">
        <v>117</v>
      </c>
      <c r="X156" s="64">
        <v>2</v>
      </c>
      <c r="Y156" s="64">
        <v>28</v>
      </c>
      <c r="Z156" s="64">
        <f t="shared" si="15"/>
        <v>147</v>
      </c>
      <c r="AA156" s="11">
        <f t="shared" si="16"/>
        <v>0.79591836734693877</v>
      </c>
      <c r="AB156" s="11">
        <f t="shared" si="17"/>
        <v>1.3605442176870748E-2</v>
      </c>
      <c r="AC156" s="66">
        <f t="shared" si="18"/>
        <v>0.79591836734693877</v>
      </c>
      <c r="AD156" s="67">
        <f t="shared" si="19"/>
        <v>0.69387755102040816</v>
      </c>
    </row>
    <row r="157" spans="1:30" ht="14.5" customHeight="1" x14ac:dyDescent="0.2">
      <c r="A157" s="84" t="s">
        <v>2956</v>
      </c>
      <c r="B157" s="17">
        <v>1</v>
      </c>
      <c r="C157" s="17">
        <v>0</v>
      </c>
      <c r="D157" s="22" t="s">
        <v>240</v>
      </c>
      <c r="E157" s="22" t="s">
        <v>241</v>
      </c>
      <c r="F157" s="17">
        <f t="shared" si="14"/>
        <v>2015</v>
      </c>
      <c r="G157" s="18">
        <v>42171</v>
      </c>
      <c r="H157" s="22" t="s">
        <v>2959</v>
      </c>
      <c r="I157" s="64">
        <v>0</v>
      </c>
      <c r="J157" s="5" t="s">
        <v>246</v>
      </c>
      <c r="K157" s="17">
        <v>0</v>
      </c>
      <c r="L157" s="59">
        <v>1</v>
      </c>
      <c r="M157" s="22" t="s">
        <v>250</v>
      </c>
      <c r="N157" s="24" t="s">
        <v>2121</v>
      </c>
      <c r="P157" s="5" t="s">
        <v>251</v>
      </c>
      <c r="Q157" s="29" t="s">
        <v>249</v>
      </c>
      <c r="R157" s="17">
        <v>1</v>
      </c>
      <c r="S157" s="17">
        <v>0</v>
      </c>
      <c r="T157" s="17">
        <v>0</v>
      </c>
      <c r="U157" s="17">
        <v>1</v>
      </c>
      <c r="V157" s="17">
        <v>1</v>
      </c>
      <c r="W157" s="64">
        <v>101</v>
      </c>
      <c r="X157" s="64">
        <v>7</v>
      </c>
      <c r="Y157" s="64">
        <v>40</v>
      </c>
      <c r="Z157" s="64">
        <f t="shared" si="15"/>
        <v>148</v>
      </c>
      <c r="AA157" s="11">
        <f t="shared" si="16"/>
        <v>0.68243243243243246</v>
      </c>
      <c r="AB157" s="11">
        <f t="shared" si="17"/>
        <v>4.72972972972973E-2</v>
      </c>
      <c r="AC157" s="66">
        <f t="shared" si="18"/>
        <v>0.68243243243243246</v>
      </c>
      <c r="AD157" s="67">
        <f t="shared" si="19"/>
        <v>0.52364864864864868</v>
      </c>
    </row>
    <row r="158" spans="1:30" ht="14.5" customHeight="1" x14ac:dyDescent="0.2">
      <c r="A158" s="84" t="s">
        <v>2956</v>
      </c>
      <c r="B158" s="17">
        <v>1</v>
      </c>
      <c r="C158" s="17">
        <v>0</v>
      </c>
      <c r="D158" s="22" t="s">
        <v>240</v>
      </c>
      <c r="E158" s="22" t="s">
        <v>241</v>
      </c>
      <c r="F158" s="17">
        <f t="shared" si="14"/>
        <v>2016</v>
      </c>
      <c r="G158" s="18">
        <v>42550</v>
      </c>
      <c r="H158" s="22" t="s">
        <v>2959</v>
      </c>
      <c r="I158" s="64">
        <v>0</v>
      </c>
      <c r="J158" s="5" t="s">
        <v>252</v>
      </c>
      <c r="K158" s="17">
        <v>0</v>
      </c>
      <c r="L158" s="59">
        <v>1</v>
      </c>
      <c r="M158" s="22" t="s">
        <v>1162</v>
      </c>
      <c r="N158" s="22" t="s">
        <v>2637</v>
      </c>
      <c r="O158" s="22" t="s">
        <v>253</v>
      </c>
      <c r="P158" s="5" t="s">
        <v>254</v>
      </c>
      <c r="Q158" s="29" t="s">
        <v>255</v>
      </c>
      <c r="R158" s="17">
        <v>1</v>
      </c>
      <c r="S158" s="17">
        <v>0</v>
      </c>
      <c r="T158" s="17">
        <v>1</v>
      </c>
      <c r="U158" s="17">
        <v>1</v>
      </c>
      <c r="V158" s="17">
        <v>1</v>
      </c>
      <c r="W158" s="64">
        <v>113</v>
      </c>
      <c r="X158" s="64">
        <v>29</v>
      </c>
      <c r="Y158" s="64">
        <v>2</v>
      </c>
      <c r="Z158" s="64">
        <f t="shared" si="15"/>
        <v>144</v>
      </c>
      <c r="AA158" s="11">
        <f t="shared" si="16"/>
        <v>0.78472222222222221</v>
      </c>
      <c r="AB158" s="11">
        <f t="shared" si="17"/>
        <v>0.2013888888888889</v>
      </c>
      <c r="AC158" s="66">
        <f t="shared" si="18"/>
        <v>0.78472222222222221</v>
      </c>
      <c r="AD158" s="67">
        <f t="shared" si="19"/>
        <v>0.67708333333333337</v>
      </c>
    </row>
    <row r="159" spans="1:30" ht="14.5" customHeight="1" x14ac:dyDescent="0.2">
      <c r="A159" s="84" t="s">
        <v>2956</v>
      </c>
      <c r="B159" s="17">
        <v>1</v>
      </c>
      <c r="C159" s="17">
        <v>0</v>
      </c>
      <c r="D159" s="22" t="s">
        <v>240</v>
      </c>
      <c r="E159" s="22" t="s">
        <v>241</v>
      </c>
      <c r="F159" s="17">
        <f t="shared" si="14"/>
        <v>2017</v>
      </c>
      <c r="G159" s="18">
        <v>42928</v>
      </c>
      <c r="H159" s="22" t="s">
        <v>2960</v>
      </c>
      <c r="I159" s="64">
        <v>0</v>
      </c>
      <c r="J159" s="5" t="s">
        <v>306</v>
      </c>
      <c r="K159" s="17">
        <v>0</v>
      </c>
      <c r="L159" s="59">
        <v>1</v>
      </c>
      <c r="M159" s="22" t="s">
        <v>2839</v>
      </c>
      <c r="N159" s="55" t="s">
        <v>2628</v>
      </c>
      <c r="P159" s="5" t="s">
        <v>307</v>
      </c>
      <c r="Q159" s="29" t="s">
        <v>308</v>
      </c>
      <c r="R159" s="17">
        <v>1</v>
      </c>
      <c r="S159" s="17">
        <v>0</v>
      </c>
      <c r="T159" s="17">
        <v>0</v>
      </c>
      <c r="U159" s="17">
        <v>1</v>
      </c>
      <c r="V159" s="17">
        <v>1</v>
      </c>
      <c r="W159" s="64">
        <v>20</v>
      </c>
      <c r="X159" s="64">
        <v>1</v>
      </c>
      <c r="Y159" s="64">
        <v>6</v>
      </c>
      <c r="Z159" s="64">
        <f t="shared" si="15"/>
        <v>27</v>
      </c>
      <c r="AA159" s="11">
        <f t="shared" si="16"/>
        <v>0.7407407407407407</v>
      </c>
      <c r="AB159" s="11">
        <f t="shared" si="17"/>
        <v>3.7037037037037035E-2</v>
      </c>
      <c r="AC159" s="66">
        <f t="shared" si="18"/>
        <v>0.7407407407407407</v>
      </c>
      <c r="AD159" s="67">
        <f t="shared" si="19"/>
        <v>0.61111111111111116</v>
      </c>
    </row>
    <row r="160" spans="1:30" ht="14.5" customHeight="1" x14ac:dyDescent="0.2">
      <c r="A160" s="84" t="s">
        <v>2956</v>
      </c>
      <c r="B160" s="17">
        <v>1</v>
      </c>
      <c r="C160" s="17">
        <v>0</v>
      </c>
      <c r="D160" s="22" t="s">
        <v>240</v>
      </c>
      <c r="E160" s="22" t="s">
        <v>241</v>
      </c>
      <c r="F160" s="17">
        <f t="shared" si="14"/>
        <v>2017</v>
      </c>
      <c r="G160" s="18">
        <v>42928</v>
      </c>
      <c r="H160" s="22" t="s">
        <v>2959</v>
      </c>
      <c r="I160" s="64">
        <v>0</v>
      </c>
      <c r="J160" s="5" t="s">
        <v>256</v>
      </c>
      <c r="K160" s="17">
        <v>0</v>
      </c>
      <c r="L160" s="59">
        <v>1</v>
      </c>
      <c r="M160" s="22" t="s">
        <v>2839</v>
      </c>
      <c r="N160" s="55" t="s">
        <v>2628</v>
      </c>
      <c r="P160" s="5" t="s">
        <v>257</v>
      </c>
      <c r="Q160" s="29" t="s">
        <v>258</v>
      </c>
      <c r="R160" s="17">
        <v>1</v>
      </c>
      <c r="S160" s="17">
        <v>0</v>
      </c>
      <c r="T160" s="17">
        <v>0</v>
      </c>
      <c r="U160" s="17">
        <v>1</v>
      </c>
      <c r="V160" s="17">
        <v>1</v>
      </c>
      <c r="W160" s="64">
        <v>119</v>
      </c>
      <c r="X160" s="64">
        <v>34</v>
      </c>
      <c r="Y160" s="64">
        <v>12</v>
      </c>
      <c r="Z160" s="64">
        <f t="shared" si="15"/>
        <v>165</v>
      </c>
      <c r="AA160" s="11">
        <f t="shared" si="16"/>
        <v>0.72121212121212119</v>
      </c>
      <c r="AB160" s="11">
        <f t="shared" si="17"/>
        <v>0.20606060606060606</v>
      </c>
      <c r="AC160" s="66">
        <f t="shared" si="18"/>
        <v>0.72121212121212119</v>
      </c>
      <c r="AD160" s="67">
        <f t="shared" si="19"/>
        <v>0.58181818181818179</v>
      </c>
    </row>
    <row r="161" spans="1:32" ht="14.5" customHeight="1" x14ac:dyDescent="0.2">
      <c r="A161" s="84" t="s">
        <v>2956</v>
      </c>
      <c r="B161" s="17">
        <v>1</v>
      </c>
      <c r="C161" s="17">
        <v>0</v>
      </c>
      <c r="D161" s="22" t="s">
        <v>259</v>
      </c>
      <c r="E161" s="22" t="s">
        <v>260</v>
      </c>
      <c r="F161" s="17">
        <f t="shared" ref="F161:F192" si="20">YEAR(G161)</f>
        <v>2018</v>
      </c>
      <c r="G161" s="18">
        <v>43106</v>
      </c>
      <c r="H161" s="22" t="s">
        <v>2959</v>
      </c>
      <c r="I161" s="64">
        <v>0</v>
      </c>
      <c r="J161" s="5" t="s">
        <v>261</v>
      </c>
      <c r="K161" s="17">
        <v>0</v>
      </c>
      <c r="L161" s="59">
        <v>1</v>
      </c>
      <c r="M161" s="22" t="s">
        <v>1162</v>
      </c>
      <c r="N161" s="22" t="s">
        <v>2637</v>
      </c>
      <c r="O161" s="22" t="s">
        <v>262</v>
      </c>
      <c r="P161" s="5" t="s">
        <v>263</v>
      </c>
      <c r="Q161" s="29" t="s">
        <v>264</v>
      </c>
      <c r="R161" s="17">
        <v>1</v>
      </c>
      <c r="S161" s="17">
        <v>1</v>
      </c>
      <c r="T161" s="17">
        <v>1</v>
      </c>
      <c r="U161" s="17">
        <v>1</v>
      </c>
      <c r="V161" s="17">
        <v>1</v>
      </c>
      <c r="W161" s="64">
        <v>140</v>
      </c>
      <c r="X161" s="64">
        <v>29</v>
      </c>
      <c r="Y161" s="64">
        <v>8</v>
      </c>
      <c r="Z161" s="64">
        <f t="shared" si="15"/>
        <v>177</v>
      </c>
      <c r="AA161" s="11">
        <f t="shared" si="16"/>
        <v>0.79096045197740117</v>
      </c>
      <c r="AB161" s="11">
        <f t="shared" si="17"/>
        <v>0.16384180790960451</v>
      </c>
      <c r="AC161" s="66">
        <f t="shared" si="18"/>
        <v>0.79096045197740117</v>
      </c>
      <c r="AD161" s="67">
        <f t="shared" si="19"/>
        <v>0.68644067796610164</v>
      </c>
    </row>
    <row r="162" spans="1:32" ht="14.5" customHeight="1" x14ac:dyDescent="0.2">
      <c r="A162" s="22" t="s">
        <v>2969</v>
      </c>
      <c r="B162" s="17">
        <v>1</v>
      </c>
      <c r="C162" s="17">
        <v>0</v>
      </c>
      <c r="D162" s="30" t="s">
        <v>2119</v>
      </c>
      <c r="E162" s="30" t="s">
        <v>2120</v>
      </c>
      <c r="F162" s="85">
        <f t="shared" si="20"/>
        <v>1990</v>
      </c>
      <c r="G162" s="44">
        <v>33116</v>
      </c>
      <c r="H162" s="58" t="s">
        <v>2986</v>
      </c>
      <c r="I162" s="85">
        <v>0</v>
      </c>
      <c r="J162" t="s">
        <v>2646</v>
      </c>
      <c r="K162" s="17">
        <v>0</v>
      </c>
      <c r="M162" s="51" t="s">
        <v>23</v>
      </c>
      <c r="N162" s="51" t="s">
        <v>2121</v>
      </c>
      <c r="O162" s="17"/>
      <c r="P162" t="s">
        <v>2647</v>
      </c>
      <c r="Q162" s="81" t="s">
        <v>2648</v>
      </c>
      <c r="R162" s="17">
        <v>1</v>
      </c>
      <c r="S162" s="17">
        <v>0</v>
      </c>
      <c r="T162" s="17">
        <v>0</v>
      </c>
      <c r="U162" s="17">
        <v>1</v>
      </c>
      <c r="V162" s="17">
        <v>0</v>
      </c>
      <c r="W162" s="32">
        <v>97</v>
      </c>
      <c r="X162" s="32">
        <v>25</v>
      </c>
      <c r="Y162" s="32">
        <v>0</v>
      </c>
      <c r="Z162" s="6">
        <f t="shared" si="15"/>
        <v>122</v>
      </c>
      <c r="AA162" s="11">
        <f t="shared" si="16"/>
        <v>0.79508196721311475</v>
      </c>
      <c r="AB162" s="11">
        <f t="shared" si="17"/>
        <v>0.20491803278688525</v>
      </c>
      <c r="AC162" s="66">
        <f t="shared" si="18"/>
        <v>0.79508196721311475</v>
      </c>
      <c r="AD162" s="67">
        <f t="shared" si="19"/>
        <v>0.69262295081967218</v>
      </c>
    </row>
    <row r="163" spans="1:32" ht="14.5" customHeight="1" x14ac:dyDescent="0.2">
      <c r="A163" s="22" t="s">
        <v>2969</v>
      </c>
      <c r="B163" s="17">
        <v>1</v>
      </c>
      <c r="C163" s="17">
        <v>0</v>
      </c>
      <c r="D163" s="30" t="s">
        <v>2122</v>
      </c>
      <c r="E163" s="30" t="s">
        <v>2123</v>
      </c>
      <c r="F163" s="85">
        <f t="shared" si="20"/>
        <v>1991</v>
      </c>
      <c r="G163" s="44">
        <v>33255</v>
      </c>
      <c r="H163" s="58" t="s">
        <v>2986</v>
      </c>
      <c r="I163" s="85">
        <v>0</v>
      </c>
      <c r="J163" t="s">
        <v>2649</v>
      </c>
      <c r="K163" s="17">
        <v>0</v>
      </c>
      <c r="M163" s="52" t="s">
        <v>23</v>
      </c>
      <c r="N163" s="51" t="s">
        <v>2121</v>
      </c>
      <c r="O163" s="17"/>
      <c r="P163" t="s">
        <v>2650</v>
      </c>
      <c r="Q163" s="86" t="s">
        <v>2651</v>
      </c>
      <c r="R163" s="17">
        <v>1</v>
      </c>
      <c r="S163" s="17">
        <v>0</v>
      </c>
      <c r="T163" s="17">
        <v>0</v>
      </c>
      <c r="U163" s="17">
        <v>1</v>
      </c>
      <c r="V163" s="17">
        <v>0</v>
      </c>
      <c r="W163" s="32">
        <v>132</v>
      </c>
      <c r="X163" s="32">
        <v>0</v>
      </c>
      <c r="Y163" s="32">
        <v>0</v>
      </c>
      <c r="Z163" s="6">
        <f t="shared" si="15"/>
        <v>132</v>
      </c>
      <c r="AA163" s="11">
        <f t="shared" si="16"/>
        <v>1</v>
      </c>
      <c r="AB163" s="11">
        <f t="shared" si="17"/>
        <v>0</v>
      </c>
      <c r="AC163" s="66">
        <f t="shared" si="18"/>
        <v>1</v>
      </c>
      <c r="AD163" s="67">
        <f t="shared" si="19"/>
        <v>1</v>
      </c>
    </row>
    <row r="164" spans="1:32" ht="14.5" customHeight="1" x14ac:dyDescent="0.2">
      <c r="A164" s="22" t="s">
        <v>2969</v>
      </c>
      <c r="B164" s="17">
        <v>1</v>
      </c>
      <c r="C164" s="17">
        <v>0</v>
      </c>
      <c r="D164" s="30" t="s">
        <v>2122</v>
      </c>
      <c r="E164" s="30" t="s">
        <v>2123</v>
      </c>
      <c r="F164" s="85">
        <f t="shared" si="20"/>
        <v>1992</v>
      </c>
      <c r="G164" s="44">
        <v>33865</v>
      </c>
      <c r="H164" s="58" t="s">
        <v>2986</v>
      </c>
      <c r="I164" s="85">
        <v>0</v>
      </c>
      <c r="J164" t="s">
        <v>2652</v>
      </c>
      <c r="K164" s="17">
        <v>0</v>
      </c>
      <c r="M164" s="52" t="s">
        <v>2558</v>
      </c>
      <c r="N164" s="52" t="s">
        <v>2630</v>
      </c>
      <c r="O164" s="17"/>
      <c r="P164" t="s">
        <v>2653</v>
      </c>
      <c r="Q164" s="86" t="s">
        <v>2654</v>
      </c>
      <c r="R164" s="17">
        <v>1</v>
      </c>
      <c r="S164" s="17">
        <v>0</v>
      </c>
      <c r="T164" s="17">
        <v>0</v>
      </c>
      <c r="U164" s="17">
        <v>1</v>
      </c>
      <c r="V164" s="17">
        <v>0</v>
      </c>
      <c r="W164" s="32">
        <v>95</v>
      </c>
      <c r="X164" s="32">
        <v>28</v>
      </c>
      <c r="Y164" s="32">
        <v>2</v>
      </c>
      <c r="Z164" s="6">
        <f t="shared" si="15"/>
        <v>125</v>
      </c>
      <c r="AA164" s="11">
        <f t="shared" si="16"/>
        <v>0.76</v>
      </c>
      <c r="AB164" s="11">
        <f t="shared" si="17"/>
        <v>0.224</v>
      </c>
      <c r="AC164" s="66">
        <f t="shared" si="18"/>
        <v>0.76</v>
      </c>
      <c r="AD164" s="67">
        <f t="shared" si="19"/>
        <v>0.64</v>
      </c>
    </row>
    <row r="165" spans="1:32" ht="14.5" customHeight="1" x14ac:dyDescent="0.2">
      <c r="A165" s="22" t="s">
        <v>2969</v>
      </c>
      <c r="B165" s="17">
        <v>1</v>
      </c>
      <c r="C165" s="17">
        <v>0</v>
      </c>
      <c r="D165" s="30" t="s">
        <v>2124</v>
      </c>
      <c r="E165" s="30" t="s">
        <v>2125</v>
      </c>
      <c r="F165" s="85">
        <f t="shared" si="20"/>
        <v>1993</v>
      </c>
      <c r="G165" s="44">
        <v>34060</v>
      </c>
      <c r="H165" s="58" t="s">
        <v>2986</v>
      </c>
      <c r="I165" s="85">
        <v>0</v>
      </c>
      <c r="J165" t="s">
        <v>2655</v>
      </c>
      <c r="K165" s="17">
        <v>0</v>
      </c>
      <c r="M165" s="52" t="s">
        <v>2558</v>
      </c>
      <c r="N165" s="52" t="s">
        <v>2630</v>
      </c>
      <c r="O165" s="17"/>
      <c r="P165" t="s">
        <v>2656</v>
      </c>
      <c r="Q165" s="86" t="s">
        <v>2657</v>
      </c>
      <c r="R165" s="17">
        <v>1</v>
      </c>
      <c r="S165" s="17">
        <v>0</v>
      </c>
      <c r="T165" s="17">
        <v>0</v>
      </c>
      <c r="U165" s="17">
        <v>1</v>
      </c>
      <c r="V165" s="17">
        <v>1</v>
      </c>
      <c r="W165" s="32">
        <v>116</v>
      </c>
      <c r="X165" s="32">
        <v>8</v>
      </c>
      <c r="Y165" s="32">
        <v>1</v>
      </c>
      <c r="Z165" s="6">
        <f t="shared" si="15"/>
        <v>125</v>
      </c>
      <c r="AA165" s="11">
        <f t="shared" si="16"/>
        <v>0.92800000000000005</v>
      </c>
      <c r="AB165" s="11">
        <f t="shared" si="17"/>
        <v>6.4000000000000001E-2</v>
      </c>
      <c r="AC165" s="66">
        <f t="shared" si="18"/>
        <v>0.92800000000000005</v>
      </c>
      <c r="AD165" s="67">
        <f t="shared" si="19"/>
        <v>0.89200000000000002</v>
      </c>
    </row>
    <row r="166" spans="1:32" ht="14.5" customHeight="1" x14ac:dyDescent="0.2">
      <c r="A166" s="22" t="s">
        <v>2969</v>
      </c>
      <c r="B166" s="17">
        <v>1</v>
      </c>
      <c r="C166" s="17">
        <v>0</v>
      </c>
      <c r="D166" s="30" t="s">
        <v>2124</v>
      </c>
      <c r="E166" s="30" t="s">
        <v>2125</v>
      </c>
      <c r="F166" s="85">
        <f t="shared" si="20"/>
        <v>1993</v>
      </c>
      <c r="G166" s="44">
        <v>34128</v>
      </c>
      <c r="H166" s="58" t="s">
        <v>2986</v>
      </c>
      <c r="I166" s="85">
        <v>0</v>
      </c>
      <c r="J166" t="s">
        <v>2658</v>
      </c>
      <c r="K166" s="17">
        <v>0</v>
      </c>
      <c r="M166" s="52" t="s">
        <v>2659</v>
      </c>
      <c r="N166" s="52" t="s">
        <v>2630</v>
      </c>
      <c r="O166" s="17"/>
      <c r="P166" t="s">
        <v>2660</v>
      </c>
      <c r="Q166" s="86" t="s">
        <v>2661</v>
      </c>
      <c r="R166" s="17">
        <v>1</v>
      </c>
      <c r="S166" s="17">
        <v>0</v>
      </c>
      <c r="T166" s="17">
        <v>0</v>
      </c>
      <c r="U166" s="17">
        <v>1</v>
      </c>
      <c r="V166" s="17">
        <v>1</v>
      </c>
      <c r="W166" s="32">
        <v>118</v>
      </c>
      <c r="X166" s="32">
        <v>0</v>
      </c>
      <c r="Y166" s="32">
        <v>0</v>
      </c>
      <c r="Z166" s="6">
        <f t="shared" si="15"/>
        <v>118</v>
      </c>
      <c r="AA166" s="11">
        <f t="shared" si="16"/>
        <v>1</v>
      </c>
      <c r="AB166" s="11">
        <f t="shared" si="17"/>
        <v>0</v>
      </c>
      <c r="AC166" s="66">
        <f t="shared" si="18"/>
        <v>1</v>
      </c>
      <c r="AD166" s="67">
        <f t="shared" si="19"/>
        <v>1</v>
      </c>
      <c r="AF166" s="36"/>
    </row>
    <row r="167" spans="1:32" ht="14.5" customHeight="1" x14ac:dyDescent="0.2">
      <c r="A167" s="22" t="s">
        <v>2969</v>
      </c>
      <c r="B167" s="17">
        <v>1</v>
      </c>
      <c r="C167" s="17">
        <v>0</v>
      </c>
      <c r="D167" s="30" t="s">
        <v>2124</v>
      </c>
      <c r="E167" s="30" t="s">
        <v>2125</v>
      </c>
      <c r="F167" s="85">
        <f t="shared" si="20"/>
        <v>1994</v>
      </c>
      <c r="G167" s="44">
        <v>34436</v>
      </c>
      <c r="H167" s="58" t="s">
        <v>2986</v>
      </c>
      <c r="I167" s="85">
        <v>0</v>
      </c>
      <c r="J167" t="s">
        <v>2658</v>
      </c>
      <c r="K167" s="17">
        <v>0</v>
      </c>
      <c r="M167" s="52" t="s">
        <v>2659</v>
      </c>
      <c r="N167" s="52" t="s">
        <v>2630</v>
      </c>
      <c r="O167" s="17"/>
      <c r="P167" t="s">
        <v>2662</v>
      </c>
      <c r="Q167" s="86" t="s">
        <v>2663</v>
      </c>
      <c r="R167" s="17">
        <v>1</v>
      </c>
      <c r="S167" s="17">
        <v>0</v>
      </c>
      <c r="T167" s="17">
        <v>0</v>
      </c>
      <c r="U167" s="17">
        <v>1</v>
      </c>
      <c r="V167" s="17">
        <v>1</v>
      </c>
      <c r="W167" s="32">
        <v>109</v>
      </c>
      <c r="X167" s="32">
        <v>0</v>
      </c>
      <c r="Y167" s="32">
        <v>0</v>
      </c>
      <c r="Z167" s="6">
        <f t="shared" si="15"/>
        <v>109</v>
      </c>
      <c r="AA167" s="11">
        <f t="shared" si="16"/>
        <v>1</v>
      </c>
      <c r="AB167" s="11">
        <f t="shared" si="17"/>
        <v>0</v>
      </c>
      <c r="AC167" s="66">
        <f t="shared" si="18"/>
        <v>1</v>
      </c>
      <c r="AD167" s="67">
        <f t="shared" si="19"/>
        <v>1</v>
      </c>
      <c r="AF167" s="36"/>
    </row>
    <row r="168" spans="1:32" ht="14.5" customHeight="1" x14ac:dyDescent="0.2">
      <c r="A168" s="22" t="s">
        <v>2969</v>
      </c>
      <c r="B168" s="17">
        <v>1</v>
      </c>
      <c r="C168" s="17">
        <v>0</v>
      </c>
      <c r="D168" s="30" t="s">
        <v>2126</v>
      </c>
      <c r="E168" s="30" t="s">
        <v>2127</v>
      </c>
      <c r="F168" s="85">
        <f t="shared" si="20"/>
        <v>1994</v>
      </c>
      <c r="G168" s="44">
        <v>34684</v>
      </c>
      <c r="H168" s="58" t="s">
        <v>2986</v>
      </c>
      <c r="I168" s="85">
        <v>0</v>
      </c>
      <c r="J168" t="s">
        <v>2664</v>
      </c>
      <c r="K168" s="17">
        <v>0</v>
      </c>
      <c r="M168" s="52" t="s">
        <v>2558</v>
      </c>
      <c r="N168" s="52" t="s">
        <v>2630</v>
      </c>
      <c r="O168" s="17"/>
      <c r="P168" t="s">
        <v>2665</v>
      </c>
      <c r="Q168" s="86" t="s">
        <v>2666</v>
      </c>
      <c r="R168" s="17">
        <v>1</v>
      </c>
      <c r="S168" s="17">
        <v>0</v>
      </c>
      <c r="T168" s="17">
        <v>0</v>
      </c>
      <c r="U168" s="17">
        <v>1</v>
      </c>
      <c r="V168" s="17">
        <v>1</v>
      </c>
      <c r="W168" s="32">
        <v>123</v>
      </c>
      <c r="X168" s="32">
        <v>14</v>
      </c>
      <c r="Y168" s="32">
        <v>0</v>
      </c>
      <c r="Z168" s="6">
        <f t="shared" si="15"/>
        <v>137</v>
      </c>
      <c r="AA168" s="11">
        <f t="shared" si="16"/>
        <v>0.8978102189781022</v>
      </c>
      <c r="AB168" s="11">
        <f t="shared" si="17"/>
        <v>0.10218978102189781</v>
      </c>
      <c r="AC168" s="66">
        <f t="shared" si="18"/>
        <v>0.8978102189781022</v>
      </c>
      <c r="AD168" s="67">
        <f t="shared" si="19"/>
        <v>0.84671532846715325</v>
      </c>
    </row>
    <row r="169" spans="1:32" ht="14.5" customHeight="1" x14ac:dyDescent="0.2">
      <c r="A169" s="22" t="s">
        <v>2969</v>
      </c>
      <c r="B169" s="17">
        <v>1</v>
      </c>
      <c r="C169" s="17">
        <v>0</v>
      </c>
      <c r="D169" s="30" t="s">
        <v>2126</v>
      </c>
      <c r="E169" s="30" t="s">
        <v>2127</v>
      </c>
      <c r="F169" s="85">
        <f t="shared" si="20"/>
        <v>1995</v>
      </c>
      <c r="G169" s="44">
        <v>35048</v>
      </c>
      <c r="H169" s="58" t="s">
        <v>2986</v>
      </c>
      <c r="I169" s="85">
        <v>0</v>
      </c>
      <c r="J169" t="s">
        <v>2667</v>
      </c>
      <c r="K169" s="17">
        <v>0</v>
      </c>
      <c r="M169" s="22" t="s">
        <v>2564</v>
      </c>
      <c r="N169" s="52" t="s">
        <v>2630</v>
      </c>
      <c r="O169" s="17"/>
      <c r="P169" t="s">
        <v>2668</v>
      </c>
      <c r="Q169" s="81" t="s">
        <v>2669</v>
      </c>
      <c r="R169" s="17">
        <v>1</v>
      </c>
      <c r="S169" s="17">
        <v>0</v>
      </c>
      <c r="T169" s="17">
        <v>0</v>
      </c>
      <c r="U169" s="17">
        <v>1</v>
      </c>
      <c r="V169" s="17">
        <v>0</v>
      </c>
      <c r="W169" s="31">
        <v>120</v>
      </c>
      <c r="X169" s="31">
        <v>9</v>
      </c>
      <c r="Y169" s="31">
        <v>0</v>
      </c>
      <c r="Z169" s="6">
        <f t="shared" si="15"/>
        <v>129</v>
      </c>
      <c r="AA169" s="11">
        <f t="shared" si="16"/>
        <v>0.93023255813953487</v>
      </c>
      <c r="AB169" s="11">
        <f t="shared" si="17"/>
        <v>6.9767441860465115E-2</v>
      </c>
      <c r="AC169" s="66">
        <f t="shared" si="18"/>
        <v>0.93023255813953487</v>
      </c>
      <c r="AD169" s="67">
        <f t="shared" si="19"/>
        <v>0.89534883720930236</v>
      </c>
      <c r="AF169" s="36"/>
    </row>
    <row r="170" spans="1:32" ht="14.5" customHeight="1" x14ac:dyDescent="0.2">
      <c r="A170" s="22" t="s">
        <v>2969</v>
      </c>
      <c r="B170" s="17">
        <v>1</v>
      </c>
      <c r="C170" s="17">
        <v>0</v>
      </c>
      <c r="D170" s="30" t="s">
        <v>2126</v>
      </c>
      <c r="E170" s="30" t="s">
        <v>2127</v>
      </c>
      <c r="F170" s="85">
        <f t="shared" si="20"/>
        <v>1996</v>
      </c>
      <c r="G170" s="44">
        <v>35419</v>
      </c>
      <c r="H170" s="58" t="s">
        <v>2986</v>
      </c>
      <c r="I170" s="85">
        <v>0</v>
      </c>
      <c r="J170" t="s">
        <v>2670</v>
      </c>
      <c r="K170" s="17">
        <v>0</v>
      </c>
      <c r="M170" s="22" t="s">
        <v>2559</v>
      </c>
      <c r="N170" s="52" t="s">
        <v>2630</v>
      </c>
      <c r="O170" s="17"/>
      <c r="P170" t="s">
        <v>2671</v>
      </c>
      <c r="Q170" s="81" t="s">
        <v>2672</v>
      </c>
      <c r="R170" s="17">
        <v>1</v>
      </c>
      <c r="S170" s="17">
        <v>0</v>
      </c>
      <c r="T170" s="17">
        <v>0</v>
      </c>
      <c r="U170" s="17">
        <v>1</v>
      </c>
      <c r="V170" s="17">
        <v>1</v>
      </c>
      <c r="W170" s="31">
        <v>119</v>
      </c>
      <c r="X170" s="31">
        <v>6</v>
      </c>
      <c r="Y170" s="31">
        <v>0</v>
      </c>
      <c r="Z170" s="6">
        <f t="shared" si="15"/>
        <v>125</v>
      </c>
      <c r="AA170" s="11">
        <f t="shared" si="16"/>
        <v>0.95199999999999996</v>
      </c>
      <c r="AB170" s="11">
        <f t="shared" si="17"/>
        <v>4.8000000000000001E-2</v>
      </c>
      <c r="AC170" s="66">
        <f t="shared" si="18"/>
        <v>0.95199999999999996</v>
      </c>
      <c r="AD170" s="67">
        <f t="shared" si="19"/>
        <v>0.92800000000000005</v>
      </c>
    </row>
    <row r="171" spans="1:32" ht="14.5" customHeight="1" x14ac:dyDescent="0.2">
      <c r="A171" s="22" t="s">
        <v>2969</v>
      </c>
      <c r="B171" s="17">
        <v>1</v>
      </c>
      <c r="C171" s="17">
        <v>0</v>
      </c>
      <c r="D171" s="30" t="s">
        <v>2128</v>
      </c>
      <c r="E171" s="30" t="s">
        <v>2129</v>
      </c>
      <c r="F171" s="85">
        <f t="shared" si="20"/>
        <v>1997</v>
      </c>
      <c r="G171" s="44">
        <v>35552</v>
      </c>
      <c r="H171" s="58" t="s">
        <v>2986</v>
      </c>
      <c r="I171" s="85">
        <v>0</v>
      </c>
      <c r="J171" t="s">
        <v>2673</v>
      </c>
      <c r="K171" s="17">
        <v>0</v>
      </c>
      <c r="M171" t="s">
        <v>2580</v>
      </c>
      <c r="N171" s="52" t="s">
        <v>2630</v>
      </c>
      <c r="O171" s="17"/>
      <c r="P171" t="s">
        <v>2674</v>
      </c>
      <c r="Q171" s="81" t="s">
        <v>2675</v>
      </c>
      <c r="R171" s="17">
        <v>1</v>
      </c>
      <c r="S171" s="17">
        <v>0</v>
      </c>
      <c r="T171" s="17">
        <v>0</v>
      </c>
      <c r="U171" s="17">
        <v>1</v>
      </c>
      <c r="V171" s="17">
        <v>0</v>
      </c>
      <c r="W171" s="31">
        <v>89</v>
      </c>
      <c r="X171" s="31">
        <v>20</v>
      </c>
      <c r="Y171" s="31">
        <v>0</v>
      </c>
      <c r="Z171" s="6">
        <f t="shared" si="15"/>
        <v>109</v>
      </c>
      <c r="AA171" s="11">
        <f t="shared" si="16"/>
        <v>0.8165137614678899</v>
      </c>
      <c r="AB171" s="11">
        <f t="shared" si="17"/>
        <v>0.1834862385321101</v>
      </c>
      <c r="AC171" s="66">
        <f t="shared" si="18"/>
        <v>0.8165137614678899</v>
      </c>
      <c r="AD171" s="67">
        <f t="shared" si="19"/>
        <v>0.72477064220183485</v>
      </c>
    </row>
    <row r="172" spans="1:32" ht="14.5" customHeight="1" x14ac:dyDescent="0.2">
      <c r="A172" s="22" t="s">
        <v>2969</v>
      </c>
      <c r="B172" s="17">
        <v>1</v>
      </c>
      <c r="C172" s="17">
        <v>0</v>
      </c>
      <c r="D172" s="30" t="s">
        <v>2128</v>
      </c>
      <c r="E172" s="30" t="s">
        <v>2129</v>
      </c>
      <c r="F172" s="85">
        <f t="shared" si="20"/>
        <v>1998</v>
      </c>
      <c r="G172" s="44">
        <v>35844</v>
      </c>
      <c r="H172" s="58" t="s">
        <v>2986</v>
      </c>
      <c r="I172" s="85">
        <v>0</v>
      </c>
      <c r="J172" t="s">
        <v>2676</v>
      </c>
      <c r="K172" s="17">
        <v>0</v>
      </c>
      <c r="M172" s="53" t="s">
        <v>2677</v>
      </c>
      <c r="N172" s="53" t="s">
        <v>2121</v>
      </c>
      <c r="O172" s="17"/>
      <c r="P172" t="s">
        <v>2678</v>
      </c>
      <c r="Q172" s="81" t="s">
        <v>2679</v>
      </c>
      <c r="R172" s="17">
        <v>1</v>
      </c>
      <c r="S172" s="17">
        <v>0</v>
      </c>
      <c r="T172" s="17">
        <v>0</v>
      </c>
      <c r="U172" s="17">
        <v>1</v>
      </c>
      <c r="V172" s="17">
        <v>1</v>
      </c>
      <c r="W172" s="31">
        <v>104</v>
      </c>
      <c r="X172" s="31">
        <v>18</v>
      </c>
      <c r="Y172" s="31">
        <v>0</v>
      </c>
      <c r="Z172" s="6">
        <f t="shared" si="15"/>
        <v>122</v>
      </c>
      <c r="AA172" s="11">
        <f t="shared" si="16"/>
        <v>0.85245901639344257</v>
      </c>
      <c r="AB172" s="11">
        <f t="shared" si="17"/>
        <v>0.14754098360655737</v>
      </c>
      <c r="AC172" s="66">
        <f t="shared" si="18"/>
        <v>0.85245901639344257</v>
      </c>
      <c r="AD172" s="67">
        <f t="shared" si="19"/>
        <v>0.77868852459016391</v>
      </c>
    </row>
    <row r="173" spans="1:32" ht="14.5" customHeight="1" x14ac:dyDescent="0.2">
      <c r="A173" s="22" t="s">
        <v>2969</v>
      </c>
      <c r="B173" s="17">
        <v>1</v>
      </c>
      <c r="C173" s="17">
        <v>0</v>
      </c>
      <c r="D173" s="30" t="s">
        <v>2130</v>
      </c>
      <c r="E173" s="30" t="s">
        <v>2129</v>
      </c>
      <c r="F173" s="85">
        <f t="shared" si="20"/>
        <v>1998</v>
      </c>
      <c r="G173" s="44">
        <v>35922</v>
      </c>
      <c r="H173" s="58" t="s">
        <v>2986</v>
      </c>
      <c r="I173" s="85">
        <v>0</v>
      </c>
      <c r="J173" t="s">
        <v>2680</v>
      </c>
      <c r="K173" s="17">
        <v>0</v>
      </c>
      <c r="M173" s="22" t="s">
        <v>2547</v>
      </c>
      <c r="N173" s="22" t="s">
        <v>2629</v>
      </c>
      <c r="O173" s="17"/>
      <c r="P173" t="s">
        <v>2681</v>
      </c>
      <c r="Q173" s="81" t="s">
        <v>2682</v>
      </c>
      <c r="R173" s="17">
        <v>1</v>
      </c>
      <c r="S173" s="17">
        <v>0</v>
      </c>
      <c r="T173" s="17">
        <v>0</v>
      </c>
      <c r="U173" s="17">
        <v>1</v>
      </c>
      <c r="V173" s="17">
        <v>0</v>
      </c>
      <c r="W173" s="31">
        <v>102</v>
      </c>
      <c r="X173" s="31">
        <v>11</v>
      </c>
      <c r="Y173" s="31">
        <v>0</v>
      </c>
      <c r="Z173" s="6">
        <f t="shared" si="15"/>
        <v>113</v>
      </c>
      <c r="AA173" s="11">
        <f t="shared" si="16"/>
        <v>0.90265486725663713</v>
      </c>
      <c r="AB173" s="11">
        <f t="shared" si="17"/>
        <v>9.7345132743362831E-2</v>
      </c>
      <c r="AC173" s="66">
        <f t="shared" si="18"/>
        <v>0.90265486725663713</v>
      </c>
      <c r="AD173" s="67">
        <f t="shared" si="19"/>
        <v>0.85398230088495575</v>
      </c>
    </row>
    <row r="174" spans="1:32" ht="14.5" customHeight="1" x14ac:dyDescent="0.2">
      <c r="A174" s="22" t="s">
        <v>2969</v>
      </c>
      <c r="B174" s="17">
        <v>1</v>
      </c>
      <c r="C174" s="17">
        <v>0</v>
      </c>
      <c r="D174" s="30" t="s">
        <v>2130</v>
      </c>
      <c r="E174" s="30" t="s">
        <v>2129</v>
      </c>
      <c r="F174" s="85">
        <f t="shared" si="20"/>
        <v>1998</v>
      </c>
      <c r="G174" s="44">
        <v>36076</v>
      </c>
      <c r="H174" s="58" t="s">
        <v>2986</v>
      </c>
      <c r="I174" s="85">
        <v>0</v>
      </c>
      <c r="J174" t="s">
        <v>2683</v>
      </c>
      <c r="K174" s="17">
        <v>0</v>
      </c>
      <c r="M174" s="53" t="s">
        <v>2567</v>
      </c>
      <c r="N174" s="52" t="s">
        <v>2630</v>
      </c>
      <c r="O174" s="17"/>
      <c r="P174" t="s">
        <v>2684</v>
      </c>
      <c r="Q174" s="81" t="s">
        <v>2685</v>
      </c>
      <c r="R174" s="17">
        <v>1</v>
      </c>
      <c r="S174" s="17">
        <v>0</v>
      </c>
      <c r="T174" s="17">
        <v>0</v>
      </c>
      <c r="U174" s="17">
        <v>1</v>
      </c>
      <c r="V174" s="17">
        <v>0</v>
      </c>
      <c r="W174" s="31">
        <v>92</v>
      </c>
      <c r="X174" s="31">
        <v>28</v>
      </c>
      <c r="Y174" s="31">
        <v>0</v>
      </c>
      <c r="Z174" s="6">
        <f t="shared" si="15"/>
        <v>120</v>
      </c>
      <c r="AA174" s="11">
        <f t="shared" si="16"/>
        <v>0.76666666666666672</v>
      </c>
      <c r="AB174" s="11">
        <f t="shared" si="17"/>
        <v>0.23333333333333334</v>
      </c>
      <c r="AC174" s="66">
        <f t="shared" si="18"/>
        <v>0.76666666666666672</v>
      </c>
      <c r="AD174" s="67">
        <f t="shared" si="19"/>
        <v>0.65</v>
      </c>
    </row>
    <row r="175" spans="1:32" ht="14.5" customHeight="1" x14ac:dyDescent="0.2">
      <c r="A175" s="22" t="s">
        <v>2969</v>
      </c>
      <c r="B175" s="17">
        <v>1</v>
      </c>
      <c r="C175" s="17">
        <v>0</v>
      </c>
      <c r="D175" s="30" t="s">
        <v>2130</v>
      </c>
      <c r="E175" s="30" t="s">
        <v>2129</v>
      </c>
      <c r="F175" s="85">
        <f t="shared" si="20"/>
        <v>1999</v>
      </c>
      <c r="G175" s="44">
        <v>36263</v>
      </c>
      <c r="H175" s="58" t="s">
        <v>2986</v>
      </c>
      <c r="I175" s="85">
        <v>0</v>
      </c>
      <c r="J175" t="s">
        <v>2686</v>
      </c>
      <c r="K175" s="17">
        <v>0</v>
      </c>
      <c r="M175" s="53" t="s">
        <v>109</v>
      </c>
      <c r="N175" s="52" t="s">
        <v>2630</v>
      </c>
      <c r="O175" s="17"/>
      <c r="P175" t="s">
        <v>2687</v>
      </c>
      <c r="Q175" s="81" t="s">
        <v>2688</v>
      </c>
      <c r="R175" s="17">
        <v>1</v>
      </c>
      <c r="S175" s="17">
        <v>0</v>
      </c>
      <c r="T175" s="17">
        <v>0</v>
      </c>
      <c r="U175" s="17">
        <v>1</v>
      </c>
      <c r="V175" s="17">
        <v>1</v>
      </c>
      <c r="W175" s="31">
        <v>107</v>
      </c>
      <c r="X175" s="31">
        <v>3</v>
      </c>
      <c r="Y175" s="31">
        <v>0</v>
      </c>
      <c r="Z175" s="6">
        <f t="shared" si="15"/>
        <v>110</v>
      </c>
      <c r="AA175" s="11">
        <f t="shared" si="16"/>
        <v>0.97272727272727277</v>
      </c>
      <c r="AB175" s="11">
        <f t="shared" si="17"/>
        <v>2.7272727272727271E-2</v>
      </c>
      <c r="AC175" s="66">
        <f t="shared" si="18"/>
        <v>0.97272727272727277</v>
      </c>
      <c r="AD175" s="67">
        <f t="shared" si="19"/>
        <v>0.95909090909090911</v>
      </c>
    </row>
    <row r="176" spans="1:32" ht="14.5" customHeight="1" x14ac:dyDescent="0.2">
      <c r="A176" s="22" t="s">
        <v>2969</v>
      </c>
      <c r="B176" s="17">
        <v>1</v>
      </c>
      <c r="C176" s="17">
        <v>0</v>
      </c>
      <c r="D176" s="30" t="s">
        <v>2130</v>
      </c>
      <c r="E176" s="30" t="s">
        <v>2129</v>
      </c>
      <c r="F176" s="85">
        <f t="shared" si="20"/>
        <v>1999</v>
      </c>
      <c r="G176" s="44">
        <v>36272</v>
      </c>
      <c r="H176" s="58" t="s">
        <v>2986</v>
      </c>
      <c r="I176" s="85">
        <v>0</v>
      </c>
      <c r="J176" t="s">
        <v>2689</v>
      </c>
      <c r="K176" s="17">
        <v>0</v>
      </c>
      <c r="M176" s="53" t="s">
        <v>2567</v>
      </c>
      <c r="N176" s="52" t="s">
        <v>2630</v>
      </c>
      <c r="O176" s="17"/>
      <c r="P176" t="s">
        <v>2690</v>
      </c>
      <c r="Q176" s="81" t="s">
        <v>2691</v>
      </c>
      <c r="R176" s="17">
        <v>1</v>
      </c>
      <c r="S176" s="17">
        <v>0</v>
      </c>
      <c r="T176" s="17">
        <v>0</v>
      </c>
      <c r="U176" s="17">
        <v>1</v>
      </c>
      <c r="V176" s="17">
        <v>1</v>
      </c>
      <c r="W176" s="31">
        <v>79</v>
      </c>
      <c r="X176" s="31">
        <v>24</v>
      </c>
      <c r="Y176" s="31">
        <v>0</v>
      </c>
      <c r="Z176" s="6">
        <f t="shared" si="15"/>
        <v>103</v>
      </c>
      <c r="AA176" s="11">
        <f t="shared" si="16"/>
        <v>0.76699029126213591</v>
      </c>
      <c r="AB176" s="11">
        <f t="shared" si="17"/>
        <v>0.23300970873786409</v>
      </c>
      <c r="AC176" s="66">
        <f t="shared" si="18"/>
        <v>0.76699029126213591</v>
      </c>
      <c r="AD176" s="67">
        <f t="shared" si="19"/>
        <v>0.65048543689320393</v>
      </c>
    </row>
    <row r="177" spans="1:95" ht="14.5" customHeight="1" x14ac:dyDescent="0.2">
      <c r="A177" s="22" t="s">
        <v>2969</v>
      </c>
      <c r="B177" s="17">
        <v>1</v>
      </c>
      <c r="C177" s="17">
        <v>0</v>
      </c>
      <c r="D177" s="30" t="s">
        <v>2130</v>
      </c>
      <c r="E177" s="30" t="s">
        <v>2129</v>
      </c>
      <c r="F177" s="85">
        <f t="shared" si="20"/>
        <v>1999</v>
      </c>
      <c r="G177" s="44">
        <v>36308</v>
      </c>
      <c r="H177" s="58" t="s">
        <v>2986</v>
      </c>
      <c r="I177" s="85">
        <v>0</v>
      </c>
      <c r="J177" t="s">
        <v>2692</v>
      </c>
      <c r="K177" s="17">
        <v>0</v>
      </c>
      <c r="M177" s="53" t="s">
        <v>2853</v>
      </c>
      <c r="N177" s="52" t="s">
        <v>2630</v>
      </c>
      <c r="O177" s="17"/>
      <c r="P177" t="s">
        <v>2693</v>
      </c>
      <c r="Q177" s="81" t="s">
        <v>2694</v>
      </c>
      <c r="R177" s="17">
        <v>1</v>
      </c>
      <c r="S177" s="17">
        <v>0</v>
      </c>
      <c r="T177" s="17">
        <v>0</v>
      </c>
      <c r="U177" s="17">
        <v>1</v>
      </c>
      <c r="V177" s="17">
        <v>1</v>
      </c>
      <c r="W177" s="31">
        <v>86</v>
      </c>
      <c r="X177" s="31">
        <v>22</v>
      </c>
      <c r="Y177" s="31">
        <v>0</v>
      </c>
      <c r="Z177" s="6">
        <f t="shared" si="15"/>
        <v>108</v>
      </c>
      <c r="AA177" s="11">
        <f t="shared" si="16"/>
        <v>0.79629629629629628</v>
      </c>
      <c r="AB177" s="11">
        <f t="shared" si="17"/>
        <v>0.20370370370370369</v>
      </c>
      <c r="AC177" s="66">
        <f t="shared" si="18"/>
        <v>0.79629629629629628</v>
      </c>
      <c r="AD177" s="67">
        <f t="shared" si="19"/>
        <v>0.69444444444444442</v>
      </c>
    </row>
    <row r="178" spans="1:95" ht="14.5" customHeight="1" x14ac:dyDescent="0.2">
      <c r="A178" s="22" t="s">
        <v>2969</v>
      </c>
      <c r="B178" s="17">
        <v>1</v>
      </c>
      <c r="C178" s="17">
        <v>0</v>
      </c>
      <c r="D178" s="30" t="s">
        <v>2130</v>
      </c>
      <c r="E178" s="30" t="s">
        <v>2129</v>
      </c>
      <c r="F178" s="85">
        <f t="shared" si="20"/>
        <v>1999</v>
      </c>
      <c r="G178" s="44">
        <v>36328</v>
      </c>
      <c r="H178" s="58" t="s">
        <v>2986</v>
      </c>
      <c r="I178" s="85">
        <v>0</v>
      </c>
      <c r="J178" t="s">
        <v>2695</v>
      </c>
      <c r="K178" s="17">
        <v>0</v>
      </c>
      <c r="M178" s="53" t="s">
        <v>165</v>
      </c>
      <c r="N178" s="52" t="s">
        <v>2630</v>
      </c>
      <c r="O178" s="17"/>
      <c r="P178" t="s">
        <v>2696</v>
      </c>
      <c r="Q178" s="81" t="s">
        <v>2697</v>
      </c>
      <c r="R178" s="17">
        <v>1</v>
      </c>
      <c r="S178" s="17">
        <v>0</v>
      </c>
      <c r="T178" s="17">
        <v>0</v>
      </c>
      <c r="U178" s="17">
        <v>1</v>
      </c>
      <c r="V178" s="17">
        <v>0</v>
      </c>
      <c r="W178" s="31">
        <v>97</v>
      </c>
      <c r="X178" s="31">
        <v>5</v>
      </c>
      <c r="Y178" s="31">
        <v>0</v>
      </c>
      <c r="Z178" s="6">
        <f t="shared" si="15"/>
        <v>102</v>
      </c>
      <c r="AA178" s="11">
        <f t="shared" si="16"/>
        <v>0.9509803921568627</v>
      </c>
      <c r="AB178" s="11">
        <f t="shared" si="17"/>
        <v>4.9019607843137254E-2</v>
      </c>
      <c r="AC178" s="66">
        <f t="shared" si="18"/>
        <v>0.9509803921568627</v>
      </c>
      <c r="AD178" s="67">
        <f t="shared" si="19"/>
        <v>0.92647058823529416</v>
      </c>
      <c r="BD178" s="36"/>
      <c r="BE178" s="36"/>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row>
    <row r="179" spans="1:95" ht="14.5" customHeight="1" x14ac:dyDescent="0.2">
      <c r="A179" s="22" t="s">
        <v>2969</v>
      </c>
      <c r="B179" s="17">
        <v>1</v>
      </c>
      <c r="C179" s="17">
        <v>0</v>
      </c>
      <c r="D179" s="30" t="s">
        <v>2130</v>
      </c>
      <c r="E179" s="30" t="s">
        <v>2129</v>
      </c>
      <c r="F179" s="85">
        <f t="shared" si="20"/>
        <v>1999</v>
      </c>
      <c r="G179" s="44">
        <v>36335</v>
      </c>
      <c r="H179" s="58" t="s">
        <v>2986</v>
      </c>
      <c r="I179" s="85">
        <v>0</v>
      </c>
      <c r="J179" t="s">
        <v>2698</v>
      </c>
      <c r="K179" s="17">
        <v>0</v>
      </c>
      <c r="M179" s="53" t="s">
        <v>109</v>
      </c>
      <c r="N179" s="52" t="s">
        <v>2630</v>
      </c>
      <c r="O179" s="17"/>
      <c r="P179" t="s">
        <v>2699</v>
      </c>
      <c r="Q179" s="81" t="s">
        <v>2700</v>
      </c>
      <c r="R179" s="17">
        <v>1</v>
      </c>
      <c r="S179" s="17">
        <v>0</v>
      </c>
      <c r="T179" s="17">
        <v>0</v>
      </c>
      <c r="U179" s="17">
        <v>1</v>
      </c>
      <c r="V179" s="17">
        <v>1</v>
      </c>
      <c r="W179" s="31">
        <v>109</v>
      </c>
      <c r="X179" s="31">
        <v>0</v>
      </c>
      <c r="Y179" s="31">
        <v>3</v>
      </c>
      <c r="Z179" s="6">
        <f t="shared" si="15"/>
        <v>112</v>
      </c>
      <c r="AA179" s="11">
        <f t="shared" si="16"/>
        <v>0.9732142857142857</v>
      </c>
      <c r="AB179" s="11">
        <f t="shared" si="17"/>
        <v>0</v>
      </c>
      <c r="AC179" s="66">
        <f t="shared" si="18"/>
        <v>0.9732142857142857</v>
      </c>
      <c r="AD179" s="67">
        <f t="shared" si="19"/>
        <v>0.9598214285714286</v>
      </c>
    </row>
    <row r="180" spans="1:95" ht="14.5" customHeight="1" x14ac:dyDescent="0.2">
      <c r="A180" s="22" t="s">
        <v>2969</v>
      </c>
      <c r="B180" s="17">
        <v>1</v>
      </c>
      <c r="C180" s="17">
        <v>0</v>
      </c>
      <c r="D180" s="30" t="s">
        <v>2130</v>
      </c>
      <c r="E180" s="30" t="s">
        <v>2129</v>
      </c>
      <c r="F180" s="85">
        <f t="shared" si="20"/>
        <v>2000</v>
      </c>
      <c r="G180" s="44">
        <v>36839</v>
      </c>
      <c r="H180" s="58" t="s">
        <v>2986</v>
      </c>
      <c r="I180" s="85">
        <v>0</v>
      </c>
      <c r="J180" t="s">
        <v>2701</v>
      </c>
      <c r="K180" s="17">
        <v>0</v>
      </c>
      <c r="M180" s="53" t="s">
        <v>2548</v>
      </c>
      <c r="N180" s="53" t="s">
        <v>2629</v>
      </c>
      <c r="O180" s="17"/>
      <c r="P180" t="s">
        <v>2702</v>
      </c>
      <c r="Q180" s="81" t="s">
        <v>2703</v>
      </c>
      <c r="R180" s="17">
        <v>1</v>
      </c>
      <c r="S180" s="17">
        <v>0</v>
      </c>
      <c r="T180" s="17">
        <v>0</v>
      </c>
      <c r="U180" s="17">
        <v>1</v>
      </c>
      <c r="V180" s="17">
        <v>0</v>
      </c>
      <c r="W180" s="31">
        <v>95</v>
      </c>
      <c r="X180" s="31">
        <v>9</v>
      </c>
      <c r="Y180" s="31">
        <v>0</v>
      </c>
      <c r="Z180" s="6">
        <f t="shared" si="15"/>
        <v>104</v>
      </c>
      <c r="AA180" s="11">
        <f t="shared" si="16"/>
        <v>0.91346153846153844</v>
      </c>
      <c r="AB180" s="11">
        <f t="shared" si="17"/>
        <v>8.6538461538461536E-2</v>
      </c>
      <c r="AC180" s="66">
        <f t="shared" si="18"/>
        <v>0.91346153846153844</v>
      </c>
      <c r="AD180" s="67">
        <f t="shared" si="19"/>
        <v>0.87019230769230771</v>
      </c>
    </row>
    <row r="181" spans="1:95" ht="14.5" customHeight="1" x14ac:dyDescent="0.2">
      <c r="A181" s="22" t="s">
        <v>2969</v>
      </c>
      <c r="B181" s="17">
        <v>1</v>
      </c>
      <c r="C181" s="17">
        <v>0</v>
      </c>
      <c r="D181" s="30" t="s">
        <v>2130</v>
      </c>
      <c r="E181" s="30" t="s">
        <v>2129</v>
      </c>
      <c r="F181" s="85">
        <f t="shared" si="20"/>
        <v>2001</v>
      </c>
      <c r="G181" s="44">
        <v>37173</v>
      </c>
      <c r="H181" s="58" t="s">
        <v>2986</v>
      </c>
      <c r="I181" s="85">
        <v>0</v>
      </c>
      <c r="J181" t="s">
        <v>2704</v>
      </c>
      <c r="K181" s="17">
        <v>0</v>
      </c>
      <c r="M181" s="50" t="s">
        <v>2568</v>
      </c>
      <c r="N181" s="50" t="s">
        <v>2630</v>
      </c>
      <c r="O181" s="17"/>
      <c r="P181" t="s">
        <v>2705</v>
      </c>
      <c r="Q181" s="81" t="s">
        <v>2706</v>
      </c>
      <c r="R181" s="17">
        <v>1</v>
      </c>
      <c r="S181" s="17">
        <v>0</v>
      </c>
      <c r="T181" s="17">
        <v>0</v>
      </c>
      <c r="U181" s="17">
        <v>1</v>
      </c>
      <c r="V181" s="17">
        <v>0</v>
      </c>
      <c r="W181" s="31">
        <v>100</v>
      </c>
      <c r="X181" s="31">
        <v>0</v>
      </c>
      <c r="Y181" s="31">
        <v>0</v>
      </c>
      <c r="Z181" s="6">
        <f t="shared" si="15"/>
        <v>100</v>
      </c>
      <c r="AA181" s="11">
        <f t="shared" si="16"/>
        <v>1</v>
      </c>
      <c r="AB181" s="11">
        <f t="shared" si="17"/>
        <v>0</v>
      </c>
      <c r="AC181" s="66">
        <f t="shared" si="18"/>
        <v>1</v>
      </c>
      <c r="AD181" s="67">
        <f t="shared" si="19"/>
        <v>1</v>
      </c>
      <c r="AF181" s="36"/>
    </row>
    <row r="182" spans="1:95" ht="14.5" customHeight="1" x14ac:dyDescent="0.2">
      <c r="A182" s="22" t="s">
        <v>2969</v>
      </c>
      <c r="B182" s="17">
        <v>1</v>
      </c>
      <c r="C182" s="17">
        <v>0</v>
      </c>
      <c r="D182" s="30" t="s">
        <v>2130</v>
      </c>
      <c r="E182" s="30" t="s">
        <v>2129</v>
      </c>
      <c r="F182" s="85">
        <f t="shared" si="20"/>
        <v>2001</v>
      </c>
      <c r="G182" s="44">
        <v>37189</v>
      </c>
      <c r="H182" s="58" t="s">
        <v>2986</v>
      </c>
      <c r="I182" s="85">
        <v>0</v>
      </c>
      <c r="J182" t="s">
        <v>2707</v>
      </c>
      <c r="K182" s="17">
        <v>0</v>
      </c>
      <c r="M182" s="53" t="s">
        <v>2132</v>
      </c>
      <c r="N182" s="53" t="s">
        <v>2627</v>
      </c>
      <c r="O182" s="17"/>
      <c r="P182" t="s">
        <v>2708</v>
      </c>
      <c r="Q182" s="81" t="s">
        <v>2709</v>
      </c>
      <c r="R182" s="17">
        <v>1</v>
      </c>
      <c r="S182" s="17">
        <v>0</v>
      </c>
      <c r="T182" s="17">
        <v>0</v>
      </c>
      <c r="U182" s="17">
        <v>1</v>
      </c>
      <c r="V182" s="17">
        <v>0</v>
      </c>
      <c r="W182" s="31">
        <v>101</v>
      </c>
      <c r="X182" s="31">
        <v>5</v>
      </c>
      <c r="Y182" s="31">
        <v>0</v>
      </c>
      <c r="Z182" s="6">
        <f t="shared" si="15"/>
        <v>106</v>
      </c>
      <c r="AA182" s="11">
        <f t="shared" si="16"/>
        <v>0.95283018867924529</v>
      </c>
      <c r="AB182" s="11">
        <f t="shared" si="17"/>
        <v>4.716981132075472E-2</v>
      </c>
      <c r="AC182" s="66">
        <f t="shared" si="18"/>
        <v>0.95283018867924529</v>
      </c>
      <c r="AD182" s="67">
        <f t="shared" si="19"/>
        <v>0.92924528301886788</v>
      </c>
    </row>
    <row r="183" spans="1:95" ht="14.5" customHeight="1" x14ac:dyDescent="0.2">
      <c r="A183" s="22" t="s">
        <v>2969</v>
      </c>
      <c r="B183" s="17">
        <v>1</v>
      </c>
      <c r="C183" s="17">
        <v>0</v>
      </c>
      <c r="D183" s="30" t="s">
        <v>2133</v>
      </c>
      <c r="E183" s="30" t="s">
        <v>2134</v>
      </c>
      <c r="F183" s="85">
        <f t="shared" si="20"/>
        <v>2001</v>
      </c>
      <c r="G183" s="44">
        <v>37239</v>
      </c>
      <c r="H183" s="58" t="s">
        <v>2986</v>
      </c>
      <c r="I183" s="85">
        <v>0</v>
      </c>
      <c r="J183" t="s">
        <v>2710</v>
      </c>
      <c r="K183" s="17">
        <v>0</v>
      </c>
      <c r="M183" s="53" t="s">
        <v>129</v>
      </c>
      <c r="N183" s="53" t="s">
        <v>422</v>
      </c>
      <c r="O183" s="17"/>
      <c r="P183" t="s">
        <v>2711</v>
      </c>
      <c r="Q183" s="81" t="s">
        <v>2712</v>
      </c>
      <c r="R183" s="17">
        <v>1</v>
      </c>
      <c r="S183" s="17">
        <v>0</v>
      </c>
      <c r="T183" s="17">
        <v>0</v>
      </c>
      <c r="U183" s="17">
        <v>1</v>
      </c>
      <c r="V183" s="17">
        <v>0</v>
      </c>
      <c r="W183" s="31">
        <v>101</v>
      </c>
      <c r="X183" s="31">
        <v>11</v>
      </c>
      <c r="Y183" s="31">
        <v>0</v>
      </c>
      <c r="Z183" s="6">
        <f t="shared" si="15"/>
        <v>112</v>
      </c>
      <c r="AA183" s="11">
        <f t="shared" si="16"/>
        <v>0.9017857142857143</v>
      </c>
      <c r="AB183" s="11">
        <f t="shared" si="17"/>
        <v>9.8214285714285712E-2</v>
      </c>
      <c r="AC183" s="66">
        <f t="shared" si="18"/>
        <v>0.9017857142857143</v>
      </c>
      <c r="AD183" s="67">
        <f t="shared" si="19"/>
        <v>0.8526785714285714</v>
      </c>
    </row>
    <row r="184" spans="1:95" ht="14.5" customHeight="1" x14ac:dyDescent="0.2">
      <c r="A184" s="22" t="s">
        <v>2969</v>
      </c>
      <c r="B184" s="17">
        <v>1</v>
      </c>
      <c r="C184" s="17">
        <v>0</v>
      </c>
      <c r="D184" s="30" t="s">
        <v>2133</v>
      </c>
      <c r="E184" s="30" t="s">
        <v>2134</v>
      </c>
      <c r="F184" s="85">
        <f t="shared" si="20"/>
        <v>2002</v>
      </c>
      <c r="G184" s="44">
        <v>37267</v>
      </c>
      <c r="H184" s="58" t="s">
        <v>2986</v>
      </c>
      <c r="I184" s="85">
        <v>0</v>
      </c>
      <c r="J184" t="s">
        <v>2713</v>
      </c>
      <c r="K184" s="17">
        <v>0</v>
      </c>
      <c r="M184" s="53" t="s">
        <v>129</v>
      </c>
      <c r="N184" s="53" t="s">
        <v>422</v>
      </c>
      <c r="O184" s="17"/>
      <c r="P184" t="s">
        <v>2714</v>
      </c>
      <c r="Q184" s="81" t="s">
        <v>2715</v>
      </c>
      <c r="R184" s="17">
        <v>1</v>
      </c>
      <c r="S184" s="17">
        <v>0</v>
      </c>
      <c r="T184" s="17">
        <v>0</v>
      </c>
      <c r="U184" s="17">
        <v>1</v>
      </c>
      <c r="V184" s="17">
        <v>1</v>
      </c>
      <c r="W184" s="31">
        <v>108</v>
      </c>
      <c r="X184" s="31">
        <v>0</v>
      </c>
      <c r="Y184" s="31">
        <v>0</v>
      </c>
      <c r="Z184" s="6">
        <f t="shared" si="15"/>
        <v>108</v>
      </c>
      <c r="AA184" s="11">
        <f t="shared" si="16"/>
        <v>1</v>
      </c>
      <c r="AB184" s="11">
        <f t="shared" si="17"/>
        <v>0</v>
      </c>
      <c r="AC184" s="66">
        <f t="shared" si="18"/>
        <v>1</v>
      </c>
      <c r="AD184" s="67">
        <f t="shared" si="19"/>
        <v>1</v>
      </c>
    </row>
    <row r="185" spans="1:95" ht="14.5" customHeight="1" x14ac:dyDescent="0.2">
      <c r="A185" s="22" t="s">
        <v>2969</v>
      </c>
      <c r="B185" s="17">
        <v>1</v>
      </c>
      <c r="C185" s="17">
        <v>0</v>
      </c>
      <c r="D185" s="30" t="s">
        <v>2133</v>
      </c>
      <c r="E185" s="30" t="s">
        <v>2134</v>
      </c>
      <c r="F185" s="85">
        <f t="shared" si="20"/>
        <v>2002</v>
      </c>
      <c r="G185" s="44">
        <v>37404</v>
      </c>
      <c r="H185" s="58" t="s">
        <v>2986</v>
      </c>
      <c r="I185" s="85">
        <v>0</v>
      </c>
      <c r="J185" t="s">
        <v>2716</v>
      </c>
      <c r="K185" s="17">
        <v>0</v>
      </c>
      <c r="M185" s="53" t="s">
        <v>2132</v>
      </c>
      <c r="N185" s="53" t="s">
        <v>2627</v>
      </c>
      <c r="O185" s="17"/>
      <c r="P185" t="s">
        <v>2717</v>
      </c>
      <c r="Q185" s="81" t="s">
        <v>2718</v>
      </c>
      <c r="R185" s="17">
        <v>1</v>
      </c>
      <c r="S185" s="17">
        <v>0</v>
      </c>
      <c r="T185" s="17">
        <v>0</v>
      </c>
      <c r="U185" s="17">
        <v>1</v>
      </c>
      <c r="V185" s="17">
        <v>1</v>
      </c>
      <c r="W185" s="31">
        <v>93</v>
      </c>
      <c r="X185" s="31">
        <v>12</v>
      </c>
      <c r="Y185" s="31">
        <v>0</v>
      </c>
      <c r="Z185" s="6">
        <f t="shared" si="15"/>
        <v>105</v>
      </c>
      <c r="AA185" s="11">
        <f t="shared" si="16"/>
        <v>0.88571428571428568</v>
      </c>
      <c r="AB185" s="11">
        <f t="shared" si="17"/>
        <v>0.11428571428571428</v>
      </c>
      <c r="AC185" s="66">
        <f t="shared" si="18"/>
        <v>0.88571428571428568</v>
      </c>
      <c r="AD185" s="67">
        <f t="shared" si="19"/>
        <v>0.82857142857142863</v>
      </c>
    </row>
    <row r="186" spans="1:95" ht="14.5" customHeight="1" x14ac:dyDescent="0.2">
      <c r="A186" s="22" t="s">
        <v>2969</v>
      </c>
      <c r="B186" s="17">
        <v>1</v>
      </c>
      <c r="C186" s="17">
        <v>0</v>
      </c>
      <c r="D186" s="30" t="s">
        <v>2133</v>
      </c>
      <c r="E186" s="30" t="s">
        <v>2134</v>
      </c>
      <c r="F186" s="85">
        <f t="shared" si="20"/>
        <v>2003</v>
      </c>
      <c r="G186" s="44">
        <v>37701</v>
      </c>
      <c r="H186" s="58" t="s">
        <v>2986</v>
      </c>
      <c r="I186" s="85">
        <v>0</v>
      </c>
      <c r="J186" s="54" t="s">
        <v>2719</v>
      </c>
      <c r="K186" s="17">
        <v>0</v>
      </c>
      <c r="M186" s="53" t="s">
        <v>30</v>
      </c>
      <c r="N186" s="51" t="s">
        <v>2121</v>
      </c>
      <c r="O186" s="17"/>
      <c r="P186" t="s">
        <v>2720</v>
      </c>
      <c r="Q186" s="81" t="s">
        <v>2721</v>
      </c>
      <c r="R186" s="17">
        <v>1</v>
      </c>
      <c r="S186" s="17">
        <v>0</v>
      </c>
      <c r="T186" s="17">
        <v>0</v>
      </c>
      <c r="U186" s="17">
        <v>1</v>
      </c>
      <c r="V186" s="17">
        <v>0</v>
      </c>
      <c r="W186" s="31">
        <v>61</v>
      </c>
      <c r="X186" s="31">
        <v>50</v>
      </c>
      <c r="Y186" s="31">
        <v>0</v>
      </c>
      <c r="Z186" s="6">
        <f t="shared" si="15"/>
        <v>111</v>
      </c>
      <c r="AA186" s="11">
        <f t="shared" si="16"/>
        <v>0.5495495495495496</v>
      </c>
      <c r="AB186" s="11">
        <f t="shared" si="17"/>
        <v>0.45045045045045046</v>
      </c>
      <c r="AC186" s="66">
        <f t="shared" si="18"/>
        <v>0.5495495495495496</v>
      </c>
      <c r="AD186" s="67">
        <f t="shared" si="19"/>
        <v>0.32432432432432434</v>
      </c>
    </row>
    <row r="187" spans="1:95" ht="14.5" customHeight="1" x14ac:dyDescent="0.2">
      <c r="A187" s="22" t="s">
        <v>2969</v>
      </c>
      <c r="B187" s="17">
        <v>1</v>
      </c>
      <c r="C187" s="17">
        <v>0</v>
      </c>
      <c r="D187" s="30" t="s">
        <v>2133</v>
      </c>
      <c r="E187" s="30" t="s">
        <v>2134</v>
      </c>
      <c r="F187" s="85">
        <f t="shared" si="20"/>
        <v>2003</v>
      </c>
      <c r="G187" s="44">
        <v>37756</v>
      </c>
      <c r="H187" s="58" t="s">
        <v>2986</v>
      </c>
      <c r="I187" s="85">
        <v>0</v>
      </c>
      <c r="J187" t="s">
        <v>2722</v>
      </c>
      <c r="K187" s="17">
        <v>0</v>
      </c>
      <c r="M187" s="53" t="s">
        <v>30</v>
      </c>
      <c r="N187" s="51" t="s">
        <v>2121</v>
      </c>
      <c r="O187" s="17"/>
      <c r="P187" t="s">
        <v>2723</v>
      </c>
      <c r="Q187" s="81" t="s">
        <v>2724</v>
      </c>
      <c r="R187" s="17">
        <v>1</v>
      </c>
      <c r="S187" s="17">
        <v>0</v>
      </c>
      <c r="T187" s="17">
        <v>0</v>
      </c>
      <c r="U187" s="17">
        <v>1</v>
      </c>
      <c r="V187" s="17">
        <v>1</v>
      </c>
      <c r="W187" s="31">
        <v>89</v>
      </c>
      <c r="X187" s="31">
        <v>15</v>
      </c>
      <c r="Y187" s="31">
        <v>0</v>
      </c>
      <c r="Z187" s="6">
        <f t="shared" si="15"/>
        <v>104</v>
      </c>
      <c r="AA187" s="11">
        <f t="shared" si="16"/>
        <v>0.85576923076923073</v>
      </c>
      <c r="AB187" s="11">
        <f t="shared" si="17"/>
        <v>0.14423076923076922</v>
      </c>
      <c r="AC187" s="66">
        <f t="shared" si="18"/>
        <v>0.85576923076923073</v>
      </c>
      <c r="AD187" s="67">
        <f t="shared" si="19"/>
        <v>0.78365384615384615</v>
      </c>
    </row>
    <row r="188" spans="1:95" ht="14.5" customHeight="1" x14ac:dyDescent="0.2">
      <c r="A188" s="22" t="s">
        <v>2969</v>
      </c>
      <c r="B188" s="17">
        <v>1</v>
      </c>
      <c r="C188" s="17">
        <v>0</v>
      </c>
      <c r="D188" s="30" t="s">
        <v>2133</v>
      </c>
      <c r="E188" s="30" t="s">
        <v>2134</v>
      </c>
      <c r="F188" s="85">
        <f t="shared" si="20"/>
        <v>2003</v>
      </c>
      <c r="G188" s="44">
        <v>37904</v>
      </c>
      <c r="H188" s="58" t="s">
        <v>2986</v>
      </c>
      <c r="I188" s="85">
        <v>0</v>
      </c>
      <c r="J188" t="s">
        <v>2725</v>
      </c>
      <c r="K188" s="17">
        <v>0</v>
      </c>
      <c r="M188" s="53" t="s">
        <v>30</v>
      </c>
      <c r="N188" s="51" t="s">
        <v>2121</v>
      </c>
      <c r="O188" s="17"/>
      <c r="P188" t="s">
        <v>2726</v>
      </c>
      <c r="Q188" s="81" t="s">
        <v>2727</v>
      </c>
      <c r="R188" s="17">
        <v>1</v>
      </c>
      <c r="S188" s="17">
        <v>0</v>
      </c>
      <c r="T188" s="17">
        <v>0</v>
      </c>
      <c r="U188" s="17">
        <v>1</v>
      </c>
      <c r="V188" s="17">
        <v>1</v>
      </c>
      <c r="W188" s="31">
        <v>94</v>
      </c>
      <c r="X188" s="31">
        <v>15</v>
      </c>
      <c r="Y188" s="31">
        <v>0</v>
      </c>
      <c r="Z188" s="6">
        <f t="shared" si="15"/>
        <v>109</v>
      </c>
      <c r="AA188" s="11">
        <f t="shared" si="16"/>
        <v>0.86238532110091748</v>
      </c>
      <c r="AB188" s="11">
        <f t="shared" si="17"/>
        <v>0.13761467889908258</v>
      </c>
      <c r="AC188" s="66">
        <f t="shared" si="18"/>
        <v>0.86238532110091748</v>
      </c>
      <c r="AD188" s="67">
        <f t="shared" si="19"/>
        <v>0.79357798165137616</v>
      </c>
    </row>
    <row r="189" spans="1:95" ht="14.5" customHeight="1" x14ac:dyDescent="0.2">
      <c r="A189" s="22" t="s">
        <v>2969</v>
      </c>
      <c r="B189" s="17">
        <v>1</v>
      </c>
      <c r="C189" s="17">
        <v>0</v>
      </c>
      <c r="D189" s="30" t="s">
        <v>2133</v>
      </c>
      <c r="E189" s="30" t="s">
        <v>2134</v>
      </c>
      <c r="F189" s="85">
        <f t="shared" si="20"/>
        <v>2003</v>
      </c>
      <c r="G189" s="44">
        <v>37957</v>
      </c>
      <c r="H189" s="58" t="s">
        <v>2986</v>
      </c>
      <c r="I189" s="85">
        <v>0</v>
      </c>
      <c r="J189" s="54" t="s">
        <v>2731</v>
      </c>
      <c r="K189" s="17">
        <v>0</v>
      </c>
      <c r="M189" s="53" t="s">
        <v>30</v>
      </c>
      <c r="N189" s="51" t="s">
        <v>2121</v>
      </c>
      <c r="O189" s="17"/>
      <c r="P189" t="s">
        <v>2732</v>
      </c>
      <c r="Q189" s="81" t="s">
        <v>2730</v>
      </c>
      <c r="R189" s="17">
        <v>1</v>
      </c>
      <c r="S189" s="17">
        <v>0</v>
      </c>
      <c r="T189" s="17">
        <v>0</v>
      </c>
      <c r="U189" s="17">
        <v>1</v>
      </c>
      <c r="V189" s="17">
        <v>1</v>
      </c>
      <c r="W189" s="31">
        <v>103</v>
      </c>
      <c r="X189" s="31">
        <v>9</v>
      </c>
      <c r="Y189" s="31">
        <v>0</v>
      </c>
      <c r="Z189" s="6">
        <f t="shared" si="15"/>
        <v>112</v>
      </c>
      <c r="AA189" s="11">
        <f t="shared" si="16"/>
        <v>0.9196428571428571</v>
      </c>
      <c r="AB189" s="11">
        <f t="shared" si="17"/>
        <v>8.0357142857142863E-2</v>
      </c>
      <c r="AC189" s="66">
        <f t="shared" si="18"/>
        <v>0.9196428571428571</v>
      </c>
      <c r="AD189" s="67">
        <f t="shared" si="19"/>
        <v>0.8794642857142857</v>
      </c>
    </row>
    <row r="190" spans="1:95" ht="14.5" customHeight="1" x14ac:dyDescent="0.2">
      <c r="A190" s="22" t="s">
        <v>2969</v>
      </c>
      <c r="B190" s="17">
        <v>1</v>
      </c>
      <c r="C190" s="17">
        <v>0</v>
      </c>
      <c r="D190" s="30" t="s">
        <v>2133</v>
      </c>
      <c r="E190" s="30" t="s">
        <v>2134</v>
      </c>
      <c r="F190" s="85">
        <f t="shared" si="20"/>
        <v>2003</v>
      </c>
      <c r="G190" s="44">
        <v>37957</v>
      </c>
      <c r="H190" s="58" t="s">
        <v>2986</v>
      </c>
      <c r="I190" s="85">
        <v>0</v>
      </c>
      <c r="J190" t="s">
        <v>2728</v>
      </c>
      <c r="K190" s="17">
        <v>0</v>
      </c>
      <c r="M190" s="53" t="s">
        <v>129</v>
      </c>
      <c r="N190" s="53" t="s">
        <v>422</v>
      </c>
      <c r="O190" s="17"/>
      <c r="P190" t="s">
        <v>2729</v>
      </c>
      <c r="Q190" s="81" t="s">
        <v>2730</v>
      </c>
      <c r="R190" s="17">
        <v>1</v>
      </c>
      <c r="S190" s="17">
        <v>0</v>
      </c>
      <c r="T190" s="17">
        <v>0</v>
      </c>
      <c r="U190" s="17">
        <v>1</v>
      </c>
      <c r="V190" s="17">
        <v>1</v>
      </c>
      <c r="W190" s="31">
        <v>102</v>
      </c>
      <c r="X190" s="31">
        <v>9</v>
      </c>
      <c r="Y190" s="31">
        <v>0</v>
      </c>
      <c r="Z190" s="6">
        <f t="shared" si="15"/>
        <v>111</v>
      </c>
      <c r="AA190" s="11">
        <f t="shared" si="16"/>
        <v>0.91891891891891897</v>
      </c>
      <c r="AB190" s="11">
        <f t="shared" si="17"/>
        <v>8.1081081081081086E-2</v>
      </c>
      <c r="AC190" s="66">
        <f t="shared" si="18"/>
        <v>0.91891891891891897</v>
      </c>
      <c r="AD190" s="67">
        <f t="shared" si="19"/>
        <v>0.8783783783783784</v>
      </c>
    </row>
    <row r="191" spans="1:95" ht="14.5" customHeight="1" x14ac:dyDescent="0.2">
      <c r="A191" s="22" t="s">
        <v>2969</v>
      </c>
      <c r="B191" s="17">
        <v>1</v>
      </c>
      <c r="C191" s="17">
        <v>0</v>
      </c>
      <c r="D191" s="30" t="s">
        <v>2133</v>
      </c>
      <c r="E191" s="30" t="s">
        <v>2134</v>
      </c>
      <c r="F191" s="85">
        <f t="shared" si="20"/>
        <v>2004</v>
      </c>
      <c r="G191" s="44">
        <v>38140</v>
      </c>
      <c r="H191" s="58" t="s">
        <v>2986</v>
      </c>
      <c r="I191" s="85">
        <v>0</v>
      </c>
      <c r="J191" t="s">
        <v>2737</v>
      </c>
      <c r="K191" s="17">
        <v>0</v>
      </c>
      <c r="M191" s="53" t="s">
        <v>30</v>
      </c>
      <c r="N191" s="51" t="s">
        <v>2121</v>
      </c>
      <c r="O191" s="17"/>
      <c r="P191" t="s">
        <v>2738</v>
      </c>
      <c r="Q191" s="81" t="s">
        <v>2739</v>
      </c>
      <c r="R191" s="17">
        <v>1</v>
      </c>
      <c r="S191" s="17">
        <v>0</v>
      </c>
      <c r="T191" s="17">
        <v>0</v>
      </c>
      <c r="U191" s="17">
        <v>1</v>
      </c>
      <c r="V191" s="17">
        <v>1</v>
      </c>
      <c r="W191" s="31">
        <v>92</v>
      </c>
      <c r="X191" s="31">
        <v>11</v>
      </c>
      <c r="Y191" s="31">
        <v>0</v>
      </c>
      <c r="Z191" s="6">
        <f t="shared" si="15"/>
        <v>103</v>
      </c>
      <c r="AA191" s="11">
        <f t="shared" si="16"/>
        <v>0.89320388349514568</v>
      </c>
      <c r="AB191" s="11">
        <f t="shared" si="17"/>
        <v>0.10679611650485436</v>
      </c>
      <c r="AC191" s="66">
        <f t="shared" si="18"/>
        <v>0.89320388349514568</v>
      </c>
      <c r="AD191" s="67">
        <f t="shared" si="19"/>
        <v>0.83980582524271841</v>
      </c>
    </row>
    <row r="192" spans="1:95" ht="14.5" customHeight="1" x14ac:dyDescent="0.2">
      <c r="A192" s="22" t="s">
        <v>2969</v>
      </c>
      <c r="B192" s="17">
        <v>1</v>
      </c>
      <c r="C192" s="17">
        <v>0</v>
      </c>
      <c r="D192" s="30" t="s">
        <v>2133</v>
      </c>
      <c r="E192" s="30" t="s">
        <v>2134</v>
      </c>
      <c r="F192" s="85">
        <f t="shared" si="20"/>
        <v>2004</v>
      </c>
      <c r="G192" s="44">
        <v>38140</v>
      </c>
      <c r="H192" s="58" t="s">
        <v>2986</v>
      </c>
      <c r="I192" s="85">
        <v>0</v>
      </c>
      <c r="J192" t="s">
        <v>2733</v>
      </c>
      <c r="K192" s="17">
        <v>0</v>
      </c>
      <c r="M192" s="53" t="s">
        <v>2734</v>
      </c>
      <c r="N192" s="22" t="s">
        <v>2628</v>
      </c>
      <c r="O192" s="17"/>
      <c r="P192" t="s">
        <v>2735</v>
      </c>
      <c r="Q192" s="81" t="s">
        <v>2736</v>
      </c>
      <c r="R192" s="17">
        <v>1</v>
      </c>
      <c r="S192" s="17">
        <v>0</v>
      </c>
      <c r="T192" s="17">
        <v>0</v>
      </c>
      <c r="U192" s="17">
        <v>1</v>
      </c>
      <c r="V192" s="17">
        <v>0</v>
      </c>
      <c r="W192" s="31">
        <v>97</v>
      </c>
      <c r="X192" s="31">
        <v>1</v>
      </c>
      <c r="Y192" s="31">
        <v>7</v>
      </c>
      <c r="Z192" s="6">
        <f t="shared" si="15"/>
        <v>105</v>
      </c>
      <c r="AA192" s="11">
        <f t="shared" si="16"/>
        <v>0.92380952380952386</v>
      </c>
      <c r="AB192" s="11">
        <f t="shared" si="17"/>
        <v>9.5238095238095247E-3</v>
      </c>
      <c r="AC192" s="66">
        <f t="shared" si="18"/>
        <v>0.92380952380952386</v>
      </c>
      <c r="AD192" s="67">
        <f t="shared" si="19"/>
        <v>0.88571428571428568</v>
      </c>
    </row>
    <row r="193" spans="1:30" ht="14.5" customHeight="1" x14ac:dyDescent="0.2">
      <c r="A193" s="22" t="s">
        <v>2969</v>
      </c>
      <c r="B193" s="17">
        <v>1</v>
      </c>
      <c r="C193" s="17">
        <v>0</v>
      </c>
      <c r="D193" s="30" t="s">
        <v>2133</v>
      </c>
      <c r="E193" s="30" t="s">
        <v>2134</v>
      </c>
      <c r="F193" s="85">
        <f t="shared" ref="F193:F200" si="21">YEAR(G193)</f>
        <v>2004</v>
      </c>
      <c r="G193" s="44">
        <v>38316</v>
      </c>
      <c r="H193" s="58" t="s">
        <v>2986</v>
      </c>
      <c r="I193" s="85">
        <v>0</v>
      </c>
      <c r="J193" t="s">
        <v>2742</v>
      </c>
      <c r="K193" s="17">
        <v>0</v>
      </c>
      <c r="M193" s="51" t="s">
        <v>30</v>
      </c>
      <c r="N193" s="51" t="s">
        <v>2121</v>
      </c>
      <c r="O193" s="17"/>
      <c r="P193" t="s">
        <v>2743</v>
      </c>
      <c r="Q193" s="81" t="s">
        <v>2744</v>
      </c>
      <c r="R193" s="17">
        <v>1</v>
      </c>
      <c r="S193" s="17">
        <v>0</v>
      </c>
      <c r="T193" s="17">
        <v>0</v>
      </c>
      <c r="U193" s="17">
        <v>1</v>
      </c>
      <c r="V193" s="17">
        <v>1</v>
      </c>
      <c r="W193" s="31">
        <v>97</v>
      </c>
      <c r="X193" s="31">
        <v>15</v>
      </c>
      <c r="Y193" s="31">
        <v>0</v>
      </c>
      <c r="Z193" s="6">
        <f t="shared" si="15"/>
        <v>112</v>
      </c>
      <c r="AA193" s="11">
        <f t="shared" si="16"/>
        <v>0.8660714285714286</v>
      </c>
      <c r="AB193" s="11">
        <f t="shared" si="17"/>
        <v>0.13392857142857142</v>
      </c>
      <c r="AC193" s="66">
        <f t="shared" si="18"/>
        <v>0.8660714285714286</v>
      </c>
      <c r="AD193" s="67">
        <f t="shared" si="19"/>
        <v>0.7991071428571429</v>
      </c>
    </row>
    <row r="194" spans="1:30" ht="14.5" customHeight="1" x14ac:dyDescent="0.2">
      <c r="A194" s="22" t="s">
        <v>2969</v>
      </c>
      <c r="B194" s="17">
        <v>1</v>
      </c>
      <c r="C194" s="17">
        <v>0</v>
      </c>
      <c r="D194" s="30" t="s">
        <v>2133</v>
      </c>
      <c r="E194" s="30" t="s">
        <v>2134</v>
      </c>
      <c r="F194" s="85">
        <f t="shared" si="21"/>
        <v>2004</v>
      </c>
      <c r="G194" s="44">
        <v>38316</v>
      </c>
      <c r="H194" s="58" t="s">
        <v>2986</v>
      </c>
      <c r="I194" s="85">
        <v>0</v>
      </c>
      <c r="J194" t="s">
        <v>2728</v>
      </c>
      <c r="K194" s="17">
        <v>0</v>
      </c>
      <c r="M194" s="22" t="s">
        <v>129</v>
      </c>
      <c r="N194" s="53" t="s">
        <v>422</v>
      </c>
      <c r="O194" s="17"/>
      <c r="P194" t="s">
        <v>2740</v>
      </c>
      <c r="Q194" s="81" t="s">
        <v>2741</v>
      </c>
      <c r="R194" s="17">
        <v>1</v>
      </c>
      <c r="S194" s="17">
        <v>0</v>
      </c>
      <c r="T194" s="17">
        <v>0</v>
      </c>
      <c r="U194" s="17">
        <v>1</v>
      </c>
      <c r="V194" s="17">
        <v>1</v>
      </c>
      <c r="W194" s="31">
        <v>96</v>
      </c>
      <c r="X194" s="31">
        <v>12</v>
      </c>
      <c r="Y194" s="31">
        <v>0</v>
      </c>
      <c r="Z194" s="6">
        <f t="shared" si="15"/>
        <v>108</v>
      </c>
      <c r="AA194" s="11">
        <f t="shared" si="16"/>
        <v>0.88888888888888884</v>
      </c>
      <c r="AB194" s="11">
        <f t="shared" si="17"/>
        <v>0.1111111111111111</v>
      </c>
      <c r="AC194" s="66">
        <f t="shared" si="18"/>
        <v>0.88888888888888884</v>
      </c>
      <c r="AD194" s="67">
        <f t="shared" si="19"/>
        <v>0.83333333333333337</v>
      </c>
    </row>
    <row r="195" spans="1:30" ht="14.5" customHeight="1" x14ac:dyDescent="0.2">
      <c r="A195" s="22" t="s">
        <v>2969</v>
      </c>
      <c r="B195" s="17">
        <v>1</v>
      </c>
      <c r="C195" s="17">
        <v>1</v>
      </c>
      <c r="D195" s="30" t="s">
        <v>2135</v>
      </c>
      <c r="E195" s="30" t="s">
        <v>2134</v>
      </c>
      <c r="F195" s="85">
        <f t="shared" si="21"/>
        <v>2005</v>
      </c>
      <c r="G195" s="44">
        <v>38470</v>
      </c>
      <c r="H195" s="58" t="s">
        <v>2986</v>
      </c>
      <c r="I195" s="85">
        <v>0</v>
      </c>
      <c r="J195" t="s">
        <v>2745</v>
      </c>
      <c r="K195" s="17">
        <v>0</v>
      </c>
      <c r="M195" s="51" t="s">
        <v>2576</v>
      </c>
      <c r="N195" s="51" t="s">
        <v>2629</v>
      </c>
      <c r="O195" s="17"/>
      <c r="P195" t="s">
        <v>2746</v>
      </c>
      <c r="Q195" s="81" t="s">
        <v>2747</v>
      </c>
      <c r="R195" s="17">
        <v>1</v>
      </c>
      <c r="S195" s="17">
        <v>0</v>
      </c>
      <c r="T195" s="17">
        <v>0</v>
      </c>
      <c r="U195" s="17">
        <v>1</v>
      </c>
      <c r="V195" s="17">
        <v>0</v>
      </c>
      <c r="W195" s="31">
        <v>119</v>
      </c>
      <c r="X195" s="31">
        <v>0</v>
      </c>
      <c r="Y195" s="31">
        <v>0</v>
      </c>
      <c r="Z195" s="6">
        <f t="shared" ref="Z195:Z245" si="22">SUM(W195:Y195)</f>
        <v>119</v>
      </c>
      <c r="AA195" s="11">
        <f t="shared" ref="AA195:AA245" si="23">W195/Z195</f>
        <v>1</v>
      </c>
      <c r="AB195" s="11">
        <f t="shared" ref="AB195:AB245" si="24">X195/Z195</f>
        <v>0</v>
      </c>
      <c r="AC195" s="66">
        <f t="shared" ref="AC195:AC245" si="25">IF(K195=1,AB195,AA195)</f>
        <v>1</v>
      </c>
      <c r="AD195" s="67">
        <f t="shared" ref="AD195:AD245" si="26">SUM((MAX(W195,X195,Y195)-0.5*(SUM(W195+X195+Y195)-MAX(W195,X195,Y195)))/SUM(W195+X195+Y195))</f>
        <v>1</v>
      </c>
    </row>
    <row r="196" spans="1:30" ht="14.5" customHeight="1" x14ac:dyDescent="0.2">
      <c r="A196" s="22" t="s">
        <v>2969</v>
      </c>
      <c r="B196" s="17">
        <v>1</v>
      </c>
      <c r="C196" s="17">
        <v>1</v>
      </c>
      <c r="D196" s="30" t="s">
        <v>2135</v>
      </c>
      <c r="E196" s="30" t="s">
        <v>2134</v>
      </c>
      <c r="F196" s="85">
        <f t="shared" si="21"/>
        <v>2005</v>
      </c>
      <c r="G196" s="44">
        <v>38503</v>
      </c>
      <c r="H196" s="58" t="s">
        <v>2986</v>
      </c>
      <c r="I196" s="85">
        <v>0</v>
      </c>
      <c r="J196" t="s">
        <v>2742</v>
      </c>
      <c r="K196" s="17">
        <v>0</v>
      </c>
      <c r="M196" s="51" t="s">
        <v>30</v>
      </c>
      <c r="N196" s="51" t="s">
        <v>2121</v>
      </c>
      <c r="O196" s="17"/>
      <c r="P196" t="s">
        <v>2748</v>
      </c>
      <c r="Q196" s="81" t="s">
        <v>2749</v>
      </c>
      <c r="R196" s="17">
        <v>1</v>
      </c>
      <c r="S196" s="17">
        <v>0</v>
      </c>
      <c r="T196" s="17">
        <v>0</v>
      </c>
      <c r="U196" s="17">
        <v>1</v>
      </c>
      <c r="V196" s="17">
        <v>1</v>
      </c>
      <c r="W196" s="31">
        <v>96</v>
      </c>
      <c r="X196" s="31">
        <v>16</v>
      </c>
      <c r="Y196" s="31">
        <v>0</v>
      </c>
      <c r="Z196" s="6">
        <f t="shared" si="22"/>
        <v>112</v>
      </c>
      <c r="AA196" s="11">
        <f t="shared" si="23"/>
        <v>0.8571428571428571</v>
      </c>
      <c r="AB196" s="11">
        <f t="shared" si="24"/>
        <v>0.14285714285714285</v>
      </c>
      <c r="AC196" s="66">
        <f t="shared" si="25"/>
        <v>0.8571428571428571</v>
      </c>
      <c r="AD196" s="67">
        <f t="shared" si="26"/>
        <v>0.7857142857142857</v>
      </c>
    </row>
    <row r="197" spans="1:30" ht="14.5" customHeight="1" x14ac:dyDescent="0.2">
      <c r="A197" s="22" t="s">
        <v>2969</v>
      </c>
      <c r="B197" s="17">
        <v>1</v>
      </c>
      <c r="C197" s="17">
        <v>1</v>
      </c>
      <c r="D197" s="30" t="s">
        <v>2135</v>
      </c>
      <c r="E197" s="30" t="s">
        <v>2134</v>
      </c>
      <c r="F197" s="85">
        <f t="shared" si="21"/>
        <v>2006</v>
      </c>
      <c r="G197" s="44">
        <v>38743</v>
      </c>
      <c r="H197" s="58" t="s">
        <v>2986</v>
      </c>
      <c r="I197" s="85">
        <v>0</v>
      </c>
      <c r="J197" t="s">
        <v>2742</v>
      </c>
      <c r="K197" s="17">
        <v>0</v>
      </c>
      <c r="M197" s="51" t="s">
        <v>30</v>
      </c>
      <c r="N197" s="51" t="s">
        <v>2121</v>
      </c>
      <c r="O197" s="17"/>
      <c r="P197" t="s">
        <v>2750</v>
      </c>
      <c r="Q197" s="81" t="s">
        <v>2751</v>
      </c>
      <c r="R197" s="17">
        <v>1</v>
      </c>
      <c r="S197" s="17">
        <v>0</v>
      </c>
      <c r="T197" s="17">
        <v>0</v>
      </c>
      <c r="U197" s="17">
        <v>1</v>
      </c>
      <c r="V197" s="17">
        <v>1</v>
      </c>
      <c r="W197" s="31">
        <v>102</v>
      </c>
      <c r="X197" s="31">
        <v>15</v>
      </c>
      <c r="Y197" s="31">
        <v>0</v>
      </c>
      <c r="Z197" s="6">
        <f t="shared" si="22"/>
        <v>117</v>
      </c>
      <c r="AA197" s="11">
        <f t="shared" si="23"/>
        <v>0.87179487179487181</v>
      </c>
      <c r="AB197" s="11">
        <f t="shared" si="24"/>
        <v>0.12820512820512819</v>
      </c>
      <c r="AC197" s="66">
        <f t="shared" si="25"/>
        <v>0.87179487179487181</v>
      </c>
      <c r="AD197" s="67">
        <f t="shared" si="26"/>
        <v>0.80769230769230771</v>
      </c>
    </row>
    <row r="198" spans="1:30" ht="14.5" customHeight="1" x14ac:dyDescent="0.2">
      <c r="A198" s="22" t="s">
        <v>2969</v>
      </c>
      <c r="B198" s="17">
        <v>1</v>
      </c>
      <c r="C198" s="17">
        <v>1</v>
      </c>
      <c r="D198" s="30" t="s">
        <v>2135</v>
      </c>
      <c r="E198" s="30" t="s">
        <v>2134</v>
      </c>
      <c r="F198" s="85">
        <f t="shared" si="21"/>
        <v>2006</v>
      </c>
      <c r="G198" s="44">
        <v>38750</v>
      </c>
      <c r="H198" s="58" t="s">
        <v>2986</v>
      </c>
      <c r="I198" s="85">
        <v>0</v>
      </c>
      <c r="J198" t="s">
        <v>2752</v>
      </c>
      <c r="K198" s="17">
        <v>0</v>
      </c>
      <c r="M198" s="22" t="s">
        <v>129</v>
      </c>
      <c r="N198" s="53" t="s">
        <v>422</v>
      </c>
      <c r="O198" s="17"/>
      <c r="P198" t="s">
        <v>2753</v>
      </c>
      <c r="Q198" s="81" t="s">
        <v>2754</v>
      </c>
      <c r="R198" s="17">
        <v>1</v>
      </c>
      <c r="S198" s="17">
        <v>0</v>
      </c>
      <c r="T198" s="17">
        <v>0</v>
      </c>
      <c r="U198" s="17">
        <v>1</v>
      </c>
      <c r="V198" s="17">
        <v>1</v>
      </c>
      <c r="W198" s="31">
        <v>102</v>
      </c>
      <c r="X198" s="31">
        <v>10</v>
      </c>
      <c r="Y198" s="31">
        <v>0</v>
      </c>
      <c r="Z198" s="6">
        <f t="shared" si="22"/>
        <v>112</v>
      </c>
      <c r="AA198" s="11">
        <f t="shared" si="23"/>
        <v>0.9107142857142857</v>
      </c>
      <c r="AB198" s="11">
        <f t="shared" si="24"/>
        <v>8.9285714285714288E-2</v>
      </c>
      <c r="AC198" s="66">
        <f t="shared" si="25"/>
        <v>0.9107142857142857</v>
      </c>
      <c r="AD198" s="67">
        <f t="shared" si="26"/>
        <v>0.8660714285714286</v>
      </c>
    </row>
    <row r="199" spans="1:30" ht="14.5" customHeight="1" x14ac:dyDescent="0.2">
      <c r="A199" s="22" t="s">
        <v>2969</v>
      </c>
      <c r="B199" s="17">
        <v>1</v>
      </c>
      <c r="C199" s="17">
        <v>1</v>
      </c>
      <c r="D199" s="30" t="s">
        <v>2135</v>
      </c>
      <c r="E199" s="30" t="s">
        <v>2134</v>
      </c>
      <c r="F199" s="85">
        <f t="shared" si="21"/>
        <v>2006</v>
      </c>
      <c r="G199" s="44">
        <v>38867</v>
      </c>
      <c r="H199" s="58" t="s">
        <v>2986</v>
      </c>
      <c r="I199" s="85">
        <v>0</v>
      </c>
      <c r="J199" t="s">
        <v>2755</v>
      </c>
      <c r="K199" s="17">
        <v>0</v>
      </c>
      <c r="M199" s="51" t="s">
        <v>30</v>
      </c>
      <c r="N199" s="51" t="s">
        <v>2121</v>
      </c>
      <c r="O199" s="17"/>
      <c r="P199" t="s">
        <v>2756</v>
      </c>
      <c r="Q199" s="81" t="s">
        <v>2757</v>
      </c>
      <c r="R199" s="17">
        <v>1</v>
      </c>
      <c r="S199" s="17">
        <v>0</v>
      </c>
      <c r="T199" s="17">
        <v>0</v>
      </c>
      <c r="U199" s="17">
        <v>1</v>
      </c>
      <c r="V199" s="17">
        <v>1</v>
      </c>
      <c r="W199" s="31">
        <v>65</v>
      </c>
      <c r="X199" s="31">
        <v>53</v>
      </c>
      <c r="Y199" s="31">
        <v>0</v>
      </c>
      <c r="Z199" s="6">
        <f t="shared" si="22"/>
        <v>118</v>
      </c>
      <c r="AA199" s="11">
        <f t="shared" si="23"/>
        <v>0.55084745762711862</v>
      </c>
      <c r="AB199" s="11">
        <f t="shared" si="24"/>
        <v>0.44915254237288138</v>
      </c>
      <c r="AC199" s="66">
        <f t="shared" si="25"/>
        <v>0.55084745762711862</v>
      </c>
      <c r="AD199" s="67">
        <f t="shared" si="26"/>
        <v>0.32627118644067798</v>
      </c>
    </row>
    <row r="200" spans="1:30" ht="14.5" customHeight="1" x14ac:dyDescent="0.2">
      <c r="A200" s="22" t="s">
        <v>2969</v>
      </c>
      <c r="B200" s="17">
        <v>1</v>
      </c>
      <c r="C200" s="17">
        <v>1</v>
      </c>
      <c r="D200" s="30" t="s">
        <v>2135</v>
      </c>
      <c r="E200" s="30" t="s">
        <v>2134</v>
      </c>
      <c r="F200" s="85">
        <f t="shared" si="21"/>
        <v>2006</v>
      </c>
      <c r="G200" s="44">
        <v>38974</v>
      </c>
      <c r="H200" s="58" t="s">
        <v>2986</v>
      </c>
      <c r="I200" s="85">
        <v>0</v>
      </c>
      <c r="J200" t="s">
        <v>2758</v>
      </c>
      <c r="K200" s="17">
        <v>0</v>
      </c>
      <c r="M200" s="51" t="s">
        <v>202</v>
      </c>
      <c r="N200" s="51" t="s">
        <v>2121</v>
      </c>
      <c r="O200" s="17"/>
      <c r="P200" t="s">
        <v>2759</v>
      </c>
      <c r="Q200" s="81" t="s">
        <v>2760</v>
      </c>
      <c r="R200" s="17">
        <v>1</v>
      </c>
      <c r="S200" s="17">
        <v>0</v>
      </c>
      <c r="T200" s="17">
        <v>0</v>
      </c>
      <c r="U200" s="17">
        <v>1</v>
      </c>
      <c r="V200" s="17">
        <v>0</v>
      </c>
      <c r="W200" s="31">
        <v>104</v>
      </c>
      <c r="X200" s="31">
        <v>3</v>
      </c>
      <c r="Y200" s="31">
        <v>0</v>
      </c>
      <c r="Z200" s="6">
        <f t="shared" si="22"/>
        <v>107</v>
      </c>
      <c r="AA200" s="11">
        <f t="shared" si="23"/>
        <v>0.9719626168224299</v>
      </c>
      <c r="AB200" s="11">
        <f t="shared" si="24"/>
        <v>2.8037383177570093E-2</v>
      </c>
      <c r="AC200" s="66">
        <f t="shared" si="25"/>
        <v>0.9719626168224299</v>
      </c>
      <c r="AD200" s="67">
        <f t="shared" si="26"/>
        <v>0.95794392523364491</v>
      </c>
    </row>
    <row r="201" spans="1:30" ht="14.5" customHeight="1" x14ac:dyDescent="0.2">
      <c r="A201" s="22" t="s">
        <v>2969</v>
      </c>
      <c r="B201" s="17">
        <v>1</v>
      </c>
      <c r="C201" s="17">
        <v>1</v>
      </c>
      <c r="D201" s="30" t="s">
        <v>2135</v>
      </c>
      <c r="E201" s="30" t="s">
        <v>2134</v>
      </c>
      <c r="F201" s="85">
        <v>2006</v>
      </c>
      <c r="G201" s="44">
        <v>39234</v>
      </c>
      <c r="H201" s="58" t="s">
        <v>2986</v>
      </c>
      <c r="I201" s="85">
        <v>0</v>
      </c>
      <c r="J201" t="s">
        <v>2761</v>
      </c>
      <c r="K201" s="17">
        <v>1</v>
      </c>
      <c r="M201" s="22" t="s">
        <v>2762</v>
      </c>
      <c r="N201" s="53" t="s">
        <v>422</v>
      </c>
      <c r="O201" s="17"/>
      <c r="P201" t="s">
        <v>2763</v>
      </c>
      <c r="Q201" s="81" t="s">
        <v>2764</v>
      </c>
      <c r="R201" s="17">
        <v>1</v>
      </c>
      <c r="S201" s="17">
        <v>0</v>
      </c>
      <c r="T201" s="17">
        <v>0</v>
      </c>
      <c r="U201" s="17">
        <v>0</v>
      </c>
      <c r="V201" s="17">
        <v>1</v>
      </c>
      <c r="W201" s="31">
        <v>11</v>
      </c>
      <c r="X201" s="31">
        <v>97</v>
      </c>
      <c r="Y201" s="31">
        <v>0</v>
      </c>
      <c r="Z201" s="6">
        <f t="shared" si="22"/>
        <v>108</v>
      </c>
      <c r="AA201" s="11">
        <f t="shared" si="23"/>
        <v>0.10185185185185185</v>
      </c>
      <c r="AB201" s="11">
        <f t="shared" si="24"/>
        <v>0.89814814814814814</v>
      </c>
      <c r="AC201" s="66">
        <f t="shared" si="25"/>
        <v>0.89814814814814814</v>
      </c>
      <c r="AD201" s="67">
        <f t="shared" si="26"/>
        <v>0.84722222222222221</v>
      </c>
    </row>
    <row r="202" spans="1:30" ht="14.5" customHeight="1" x14ac:dyDescent="0.2">
      <c r="A202" s="22" t="s">
        <v>2969</v>
      </c>
      <c r="B202" s="17">
        <v>1</v>
      </c>
      <c r="C202" s="17">
        <v>0</v>
      </c>
      <c r="D202" s="30" t="s">
        <v>2135</v>
      </c>
      <c r="E202" s="30" t="s">
        <v>2134</v>
      </c>
      <c r="F202" s="85">
        <f>YEAR(G202)</f>
        <v>2007</v>
      </c>
      <c r="G202" s="44">
        <v>39234</v>
      </c>
      <c r="H202" s="58" t="s">
        <v>2986</v>
      </c>
      <c r="I202" s="85">
        <v>0</v>
      </c>
      <c r="J202" t="s">
        <v>2768</v>
      </c>
      <c r="K202" s="17">
        <v>0</v>
      </c>
      <c r="M202" s="51" t="s">
        <v>30</v>
      </c>
      <c r="N202" s="51" t="s">
        <v>2121</v>
      </c>
      <c r="O202" s="17"/>
      <c r="P202" t="s">
        <v>2769</v>
      </c>
      <c r="Q202" s="81" t="s">
        <v>2770</v>
      </c>
      <c r="R202" s="17">
        <v>1</v>
      </c>
      <c r="S202" s="17">
        <v>0</v>
      </c>
      <c r="T202" s="17">
        <v>0</v>
      </c>
      <c r="U202" s="17">
        <v>1</v>
      </c>
      <c r="V202" s="17">
        <v>1</v>
      </c>
      <c r="W202" s="31">
        <v>107</v>
      </c>
      <c r="X202" s="31">
        <v>2</v>
      </c>
      <c r="Y202" s="31">
        <v>0</v>
      </c>
      <c r="Z202" s="6">
        <f t="shared" si="22"/>
        <v>109</v>
      </c>
      <c r="AA202" s="11">
        <f t="shared" si="23"/>
        <v>0.98165137614678899</v>
      </c>
      <c r="AB202" s="11">
        <f t="shared" si="24"/>
        <v>1.834862385321101E-2</v>
      </c>
      <c r="AC202" s="66">
        <f t="shared" si="25"/>
        <v>0.98165137614678899</v>
      </c>
      <c r="AD202" s="67">
        <f t="shared" si="26"/>
        <v>0.97247706422018354</v>
      </c>
    </row>
    <row r="203" spans="1:30" ht="14.5" customHeight="1" x14ac:dyDescent="0.2">
      <c r="A203" s="22" t="s">
        <v>2969</v>
      </c>
      <c r="B203" s="17">
        <v>1</v>
      </c>
      <c r="C203" s="17">
        <v>0</v>
      </c>
      <c r="D203" s="30" t="s">
        <v>2135</v>
      </c>
      <c r="E203" s="30" t="s">
        <v>2134</v>
      </c>
      <c r="F203" s="85">
        <f>YEAR(G203)</f>
        <v>2007</v>
      </c>
      <c r="G203" s="44">
        <v>39234</v>
      </c>
      <c r="H203" s="58" t="s">
        <v>2986</v>
      </c>
      <c r="I203" s="85">
        <v>0</v>
      </c>
      <c r="J203" t="s">
        <v>2765</v>
      </c>
      <c r="K203" s="17">
        <v>0</v>
      </c>
      <c r="M203" s="22" t="s">
        <v>129</v>
      </c>
      <c r="N203" s="53" t="s">
        <v>422</v>
      </c>
      <c r="O203" s="17"/>
      <c r="P203" t="s">
        <v>2766</v>
      </c>
      <c r="Q203" s="81" t="s">
        <v>2767</v>
      </c>
      <c r="R203" s="17">
        <v>1</v>
      </c>
      <c r="S203" s="17">
        <v>0</v>
      </c>
      <c r="T203" s="17">
        <v>0</v>
      </c>
      <c r="U203" s="17">
        <v>1</v>
      </c>
      <c r="V203" s="17">
        <v>1</v>
      </c>
      <c r="W203" s="31">
        <v>99</v>
      </c>
      <c r="X203" s="31">
        <v>12</v>
      </c>
      <c r="Y203" s="31">
        <v>0</v>
      </c>
      <c r="Z203" s="6">
        <f t="shared" si="22"/>
        <v>111</v>
      </c>
      <c r="AA203" s="11">
        <f t="shared" si="23"/>
        <v>0.89189189189189189</v>
      </c>
      <c r="AB203" s="11">
        <f t="shared" si="24"/>
        <v>0.10810810810810811</v>
      </c>
      <c r="AC203" s="66">
        <f t="shared" si="25"/>
        <v>0.89189189189189189</v>
      </c>
      <c r="AD203" s="67">
        <f t="shared" si="26"/>
        <v>0.83783783783783783</v>
      </c>
    </row>
    <row r="204" spans="1:30" ht="14.5" customHeight="1" x14ac:dyDescent="0.2">
      <c r="A204" s="22" t="s">
        <v>2969</v>
      </c>
      <c r="B204" s="17">
        <v>1</v>
      </c>
      <c r="C204" s="17">
        <v>0</v>
      </c>
      <c r="D204" s="30" t="s">
        <v>2135</v>
      </c>
      <c r="E204" s="30" t="s">
        <v>2134</v>
      </c>
      <c r="F204" s="85">
        <f>YEAR(G204)</f>
        <v>2007</v>
      </c>
      <c r="G204" s="44">
        <v>39378</v>
      </c>
      <c r="H204" s="58" t="s">
        <v>2986</v>
      </c>
      <c r="I204" s="85">
        <v>0</v>
      </c>
      <c r="J204" t="s">
        <v>2771</v>
      </c>
      <c r="K204" s="17">
        <v>0</v>
      </c>
      <c r="M204" s="22" t="s">
        <v>129</v>
      </c>
      <c r="N204" s="53" t="s">
        <v>422</v>
      </c>
      <c r="O204" s="17"/>
      <c r="P204" t="s">
        <v>2772</v>
      </c>
      <c r="Q204" s="81" t="s">
        <v>2773</v>
      </c>
      <c r="R204" s="17">
        <v>1</v>
      </c>
      <c r="S204" s="17">
        <v>0</v>
      </c>
      <c r="T204" s="17">
        <v>0</v>
      </c>
      <c r="U204" s="17">
        <v>1</v>
      </c>
      <c r="V204" s="17">
        <v>1</v>
      </c>
      <c r="W204" s="31">
        <v>99</v>
      </c>
      <c r="X204" s="31">
        <v>8</v>
      </c>
      <c r="Y204" s="31">
        <v>0</v>
      </c>
      <c r="Z204" s="6">
        <f t="shared" si="22"/>
        <v>107</v>
      </c>
      <c r="AA204" s="11">
        <f t="shared" si="23"/>
        <v>0.92523364485981308</v>
      </c>
      <c r="AB204" s="11">
        <f t="shared" si="24"/>
        <v>7.476635514018691E-2</v>
      </c>
      <c r="AC204" s="66">
        <f t="shared" si="25"/>
        <v>0.92523364485981308</v>
      </c>
      <c r="AD204" s="67">
        <f t="shared" si="26"/>
        <v>0.88785046728971961</v>
      </c>
    </row>
    <row r="205" spans="1:30" ht="14.5" customHeight="1" x14ac:dyDescent="0.2">
      <c r="A205" s="22" t="s">
        <v>2969</v>
      </c>
      <c r="B205" s="17">
        <v>1</v>
      </c>
      <c r="C205" s="17">
        <v>0</v>
      </c>
      <c r="D205" s="30" t="s">
        <v>2136</v>
      </c>
      <c r="E205" s="30" t="s">
        <v>2134</v>
      </c>
      <c r="F205" s="85">
        <v>2008</v>
      </c>
      <c r="G205" s="44">
        <v>39471</v>
      </c>
      <c r="H205" s="58" t="s">
        <v>2986</v>
      </c>
      <c r="I205" s="85">
        <v>0</v>
      </c>
      <c r="J205" t="s">
        <v>2777</v>
      </c>
      <c r="K205" s="17">
        <v>0</v>
      </c>
      <c r="M205" s="51" t="s">
        <v>2857</v>
      </c>
      <c r="N205" s="54" t="s">
        <v>2631</v>
      </c>
      <c r="O205" s="17"/>
      <c r="P205" t="s">
        <v>2778</v>
      </c>
      <c r="Q205" s="81" t="s">
        <v>2779</v>
      </c>
      <c r="R205" s="17">
        <v>1</v>
      </c>
      <c r="S205" s="17">
        <v>0</v>
      </c>
      <c r="T205" s="17">
        <v>0</v>
      </c>
      <c r="U205" s="17">
        <v>1</v>
      </c>
      <c r="V205" s="17">
        <v>0</v>
      </c>
      <c r="W205" s="31">
        <v>103</v>
      </c>
      <c r="X205" s="31">
        <v>2</v>
      </c>
      <c r="Y205" s="31">
        <v>1</v>
      </c>
      <c r="Z205" s="6">
        <f t="shared" si="22"/>
        <v>106</v>
      </c>
      <c r="AA205" s="11">
        <f t="shared" si="23"/>
        <v>0.97169811320754718</v>
      </c>
      <c r="AB205" s="11">
        <f t="shared" si="24"/>
        <v>1.8867924528301886E-2</v>
      </c>
      <c r="AC205" s="66">
        <f t="shared" si="25"/>
        <v>0.97169811320754718</v>
      </c>
      <c r="AD205" s="67">
        <f t="shared" si="26"/>
        <v>0.95754716981132071</v>
      </c>
    </row>
    <row r="206" spans="1:30" ht="14.5" customHeight="1" x14ac:dyDescent="0.2">
      <c r="A206" s="22" t="s">
        <v>2969</v>
      </c>
      <c r="B206" s="17">
        <v>1</v>
      </c>
      <c r="C206" s="17">
        <v>0</v>
      </c>
      <c r="D206" s="30" t="s">
        <v>2136</v>
      </c>
      <c r="E206" s="30" t="s">
        <v>2134</v>
      </c>
      <c r="F206" s="85">
        <v>2008</v>
      </c>
      <c r="G206" s="44">
        <v>39471</v>
      </c>
      <c r="H206" s="58" t="s">
        <v>2986</v>
      </c>
      <c r="I206" s="85">
        <v>0</v>
      </c>
      <c r="J206" t="s">
        <v>2780</v>
      </c>
      <c r="K206" s="17">
        <v>0</v>
      </c>
      <c r="M206" s="22" t="s">
        <v>129</v>
      </c>
      <c r="N206" s="53" t="s">
        <v>422</v>
      </c>
      <c r="O206" s="17"/>
      <c r="P206" t="s">
        <v>2781</v>
      </c>
      <c r="Q206" s="81" t="s">
        <v>2782</v>
      </c>
      <c r="R206" s="17">
        <v>1</v>
      </c>
      <c r="S206" s="17">
        <v>0</v>
      </c>
      <c r="T206" s="17">
        <v>0</v>
      </c>
      <c r="U206" s="17">
        <v>1</v>
      </c>
      <c r="V206" s="17">
        <v>1</v>
      </c>
      <c r="W206" s="31">
        <v>90</v>
      </c>
      <c r="X206" s="31">
        <v>16</v>
      </c>
      <c r="Y206" s="31">
        <v>0</v>
      </c>
      <c r="Z206" s="6">
        <f t="shared" si="22"/>
        <v>106</v>
      </c>
      <c r="AA206" s="11">
        <f t="shared" si="23"/>
        <v>0.84905660377358494</v>
      </c>
      <c r="AB206" s="11">
        <f t="shared" si="24"/>
        <v>0.15094339622641509</v>
      </c>
      <c r="AC206" s="66">
        <f t="shared" si="25"/>
        <v>0.84905660377358494</v>
      </c>
      <c r="AD206" s="67">
        <f t="shared" si="26"/>
        <v>0.77358490566037741</v>
      </c>
    </row>
    <row r="207" spans="1:30" ht="14.5" customHeight="1" x14ac:dyDescent="0.2">
      <c r="A207" s="22" t="s">
        <v>2969</v>
      </c>
      <c r="B207" s="17">
        <v>1</v>
      </c>
      <c r="C207" s="17">
        <v>1</v>
      </c>
      <c r="D207" s="30" t="s">
        <v>2136</v>
      </c>
      <c r="E207" s="30" t="s">
        <v>2134</v>
      </c>
      <c r="F207" s="85">
        <v>2008</v>
      </c>
      <c r="G207" s="44">
        <v>39471</v>
      </c>
      <c r="H207" s="58" t="s">
        <v>2986</v>
      </c>
      <c r="I207" s="85">
        <v>0</v>
      </c>
      <c r="J207" t="s">
        <v>2774</v>
      </c>
      <c r="K207" s="17">
        <v>0</v>
      </c>
      <c r="M207" s="51" t="s">
        <v>2539</v>
      </c>
      <c r="N207" s="51" t="s">
        <v>2629</v>
      </c>
      <c r="O207" s="17"/>
      <c r="P207" t="s">
        <v>2775</v>
      </c>
      <c r="Q207" s="81" t="s">
        <v>2776</v>
      </c>
      <c r="R207" s="17">
        <v>1</v>
      </c>
      <c r="S207" s="17">
        <v>0</v>
      </c>
      <c r="T207" s="17">
        <v>0</v>
      </c>
      <c r="U207" s="17">
        <v>1</v>
      </c>
      <c r="V207" s="17">
        <v>0</v>
      </c>
      <c r="W207" s="31">
        <v>106</v>
      </c>
      <c r="X207" s="31">
        <v>0</v>
      </c>
      <c r="Y207" s="31">
        <v>0</v>
      </c>
      <c r="Z207" s="6">
        <f t="shared" si="22"/>
        <v>106</v>
      </c>
      <c r="AA207" s="11">
        <f t="shared" si="23"/>
        <v>1</v>
      </c>
      <c r="AB207" s="11">
        <f t="shared" si="24"/>
        <v>0</v>
      </c>
      <c r="AC207" s="66">
        <f t="shared" si="25"/>
        <v>1</v>
      </c>
      <c r="AD207" s="67">
        <f t="shared" si="26"/>
        <v>1</v>
      </c>
    </row>
    <row r="208" spans="1:30" ht="14.5" customHeight="1" x14ac:dyDescent="0.2">
      <c r="A208" s="22" t="s">
        <v>2969</v>
      </c>
      <c r="B208" s="17">
        <v>1</v>
      </c>
      <c r="C208" s="17">
        <v>0</v>
      </c>
      <c r="D208" s="30" t="s">
        <v>2136</v>
      </c>
      <c r="E208" s="30" t="s">
        <v>2134</v>
      </c>
      <c r="F208" s="85">
        <f>YEAR(G208)</f>
        <v>2008</v>
      </c>
      <c r="G208" s="44">
        <v>39791</v>
      </c>
      <c r="H208" s="58" t="s">
        <v>2986</v>
      </c>
      <c r="I208" s="85">
        <v>0</v>
      </c>
      <c r="J208" t="s">
        <v>2783</v>
      </c>
      <c r="K208" s="17">
        <v>0</v>
      </c>
      <c r="M208" s="22" t="s">
        <v>129</v>
      </c>
      <c r="N208" s="53" t="s">
        <v>422</v>
      </c>
      <c r="O208" s="17"/>
      <c r="P208" t="s">
        <v>2784</v>
      </c>
      <c r="Q208" s="81" t="s">
        <v>2785</v>
      </c>
      <c r="R208" s="17">
        <v>1</v>
      </c>
      <c r="S208" s="17">
        <v>0</v>
      </c>
      <c r="T208" s="17">
        <v>0</v>
      </c>
      <c r="U208" s="17">
        <v>1</v>
      </c>
      <c r="V208" s="17">
        <v>1</v>
      </c>
      <c r="W208" s="31">
        <v>88</v>
      </c>
      <c r="X208" s="31">
        <v>16</v>
      </c>
      <c r="Y208" s="31">
        <v>0</v>
      </c>
      <c r="Z208" s="6">
        <f t="shared" si="22"/>
        <v>104</v>
      </c>
      <c r="AA208" s="11">
        <f t="shared" si="23"/>
        <v>0.84615384615384615</v>
      </c>
      <c r="AB208" s="11">
        <f t="shared" si="24"/>
        <v>0.15384615384615385</v>
      </c>
      <c r="AC208" s="66">
        <f t="shared" si="25"/>
        <v>0.84615384615384615</v>
      </c>
      <c r="AD208" s="67">
        <f t="shared" si="26"/>
        <v>0.76923076923076927</v>
      </c>
    </row>
    <row r="209" spans="1:30" ht="14.5" customHeight="1" x14ac:dyDescent="0.2">
      <c r="A209" s="22" t="s">
        <v>2969</v>
      </c>
      <c r="B209" s="17">
        <v>1</v>
      </c>
      <c r="C209" s="17">
        <v>0</v>
      </c>
      <c r="D209" s="30" t="s">
        <v>2136</v>
      </c>
      <c r="E209" s="30" t="s">
        <v>2134</v>
      </c>
      <c r="F209" s="85">
        <f>YEAR(G209)</f>
        <v>2008</v>
      </c>
      <c r="G209" s="44">
        <v>39791</v>
      </c>
      <c r="H209" s="58" t="s">
        <v>2986</v>
      </c>
      <c r="I209" s="85">
        <v>0</v>
      </c>
      <c r="J209" t="s">
        <v>2786</v>
      </c>
      <c r="K209" s="17">
        <v>0</v>
      </c>
      <c r="M209" s="52" t="s">
        <v>2787</v>
      </c>
      <c r="N209" s="52" t="s">
        <v>2628</v>
      </c>
      <c r="O209" s="17"/>
      <c r="P209" t="s">
        <v>2788</v>
      </c>
      <c r="Q209" s="86" t="s">
        <v>2789</v>
      </c>
      <c r="R209" s="17">
        <v>1</v>
      </c>
      <c r="S209" s="17">
        <v>0</v>
      </c>
      <c r="T209" s="17">
        <v>0</v>
      </c>
      <c r="U209" s="17">
        <v>1</v>
      </c>
      <c r="V209" s="17">
        <v>0</v>
      </c>
      <c r="W209" s="31">
        <v>106</v>
      </c>
      <c r="X209" s="31">
        <v>0</v>
      </c>
      <c r="Y209" s="31">
        <v>0</v>
      </c>
      <c r="Z209" s="6">
        <f t="shared" si="22"/>
        <v>106</v>
      </c>
      <c r="AA209" s="11">
        <f t="shared" si="23"/>
        <v>1</v>
      </c>
      <c r="AB209" s="11">
        <f t="shared" si="24"/>
        <v>0</v>
      </c>
      <c r="AC209" s="66">
        <f t="shared" si="25"/>
        <v>1</v>
      </c>
      <c r="AD209" s="67">
        <f t="shared" si="26"/>
        <v>1</v>
      </c>
    </row>
    <row r="210" spans="1:30" ht="14.5" customHeight="1" x14ac:dyDescent="0.2">
      <c r="A210" s="22" t="s">
        <v>2969</v>
      </c>
      <c r="B210" s="17">
        <v>1</v>
      </c>
      <c r="C210" s="17">
        <v>1</v>
      </c>
      <c r="D210" s="30" t="s">
        <v>2137</v>
      </c>
      <c r="E210" s="30" t="s">
        <v>2134</v>
      </c>
      <c r="F210" s="85">
        <f>YEAR(G210)</f>
        <v>2009</v>
      </c>
      <c r="G210" s="44">
        <v>40141</v>
      </c>
      <c r="H210" s="58" t="s">
        <v>2986</v>
      </c>
      <c r="I210" s="85">
        <v>0</v>
      </c>
      <c r="J210" t="s">
        <v>2790</v>
      </c>
      <c r="K210" s="17">
        <v>0</v>
      </c>
      <c r="M210" s="51" t="s">
        <v>202</v>
      </c>
      <c r="N210" s="51" t="s">
        <v>2121</v>
      </c>
      <c r="O210" s="17"/>
      <c r="P210" t="s">
        <v>2791</v>
      </c>
      <c r="Q210" s="81" t="s">
        <v>2792</v>
      </c>
      <c r="R210" s="17">
        <v>1</v>
      </c>
      <c r="S210" s="17">
        <v>0</v>
      </c>
      <c r="T210" s="17">
        <v>0</v>
      </c>
      <c r="U210" s="17">
        <v>1</v>
      </c>
      <c r="V210" s="17">
        <v>0</v>
      </c>
      <c r="W210" s="31">
        <v>108</v>
      </c>
      <c r="X210" s="31">
        <v>0</v>
      </c>
      <c r="Y210" s="31">
        <v>0</v>
      </c>
      <c r="Z210" s="6">
        <f t="shared" si="22"/>
        <v>108</v>
      </c>
      <c r="AA210" s="11">
        <f t="shared" si="23"/>
        <v>1</v>
      </c>
      <c r="AB210" s="11">
        <f t="shared" si="24"/>
        <v>0</v>
      </c>
      <c r="AC210" s="66">
        <f t="shared" si="25"/>
        <v>1</v>
      </c>
      <c r="AD210" s="67">
        <f t="shared" si="26"/>
        <v>1</v>
      </c>
    </row>
    <row r="211" spans="1:30" ht="14.5" customHeight="1" x14ac:dyDescent="0.2">
      <c r="A211" s="22" t="s">
        <v>2969</v>
      </c>
      <c r="B211" s="17">
        <v>1</v>
      </c>
      <c r="C211" s="17">
        <v>0</v>
      </c>
      <c r="D211" s="30" t="s">
        <v>2137</v>
      </c>
      <c r="E211" s="30" t="s">
        <v>2134</v>
      </c>
      <c r="F211" s="85">
        <v>2009</v>
      </c>
      <c r="G211" s="45">
        <v>40164</v>
      </c>
      <c r="H211" s="58" t="s">
        <v>2986</v>
      </c>
      <c r="I211" s="85">
        <v>0</v>
      </c>
      <c r="J211" t="s">
        <v>2793</v>
      </c>
      <c r="K211" s="17">
        <v>0</v>
      </c>
      <c r="M211" s="51" t="s">
        <v>2794</v>
      </c>
      <c r="N211" s="54" t="s">
        <v>2631</v>
      </c>
      <c r="O211" s="17"/>
      <c r="P211" t="s">
        <v>2795</v>
      </c>
      <c r="Q211" s="81" t="s">
        <v>2796</v>
      </c>
      <c r="R211" s="17">
        <v>1</v>
      </c>
      <c r="S211" s="17">
        <v>0</v>
      </c>
      <c r="T211" s="17">
        <v>0</v>
      </c>
      <c r="U211" s="17">
        <v>1</v>
      </c>
      <c r="V211" s="17">
        <v>0</v>
      </c>
      <c r="W211" s="31">
        <v>102</v>
      </c>
      <c r="X211" s="31">
        <v>0</v>
      </c>
      <c r="Y211" s="31">
        <v>0</v>
      </c>
      <c r="Z211" s="6">
        <f t="shared" si="22"/>
        <v>102</v>
      </c>
      <c r="AA211" s="11">
        <f t="shared" si="23"/>
        <v>1</v>
      </c>
      <c r="AB211" s="11">
        <f t="shared" si="24"/>
        <v>0</v>
      </c>
      <c r="AC211" s="66">
        <f t="shared" si="25"/>
        <v>1</v>
      </c>
      <c r="AD211" s="67">
        <f t="shared" si="26"/>
        <v>1</v>
      </c>
    </row>
    <row r="212" spans="1:30" ht="14.5" customHeight="1" x14ac:dyDescent="0.2">
      <c r="A212" s="22" t="s">
        <v>2969</v>
      </c>
      <c r="B212" s="17">
        <v>1</v>
      </c>
      <c r="C212" s="17">
        <v>0</v>
      </c>
      <c r="D212" s="30" t="s">
        <v>2137</v>
      </c>
      <c r="E212" s="30" t="s">
        <v>2134</v>
      </c>
      <c r="F212" s="85">
        <f t="shared" ref="F212:F275" si="27">YEAR(G212)</f>
        <v>2011</v>
      </c>
      <c r="G212" s="44">
        <v>40620</v>
      </c>
      <c r="H212" s="58" t="s">
        <v>2986</v>
      </c>
      <c r="I212" s="85">
        <v>0</v>
      </c>
      <c r="J212" t="s">
        <v>2797</v>
      </c>
      <c r="K212" s="17">
        <v>0</v>
      </c>
      <c r="M212" t="s">
        <v>949</v>
      </c>
      <c r="N212" t="s">
        <v>2629</v>
      </c>
      <c r="O212" s="17"/>
      <c r="P212" t="s">
        <v>2798</v>
      </c>
      <c r="Q212" s="81" t="s">
        <v>2799</v>
      </c>
      <c r="R212" s="17">
        <v>1</v>
      </c>
      <c r="S212" s="17">
        <v>0</v>
      </c>
      <c r="T212" s="17">
        <v>0</v>
      </c>
      <c r="U212" s="17">
        <v>1</v>
      </c>
      <c r="V212" s="17">
        <v>1</v>
      </c>
      <c r="W212" s="31">
        <v>110</v>
      </c>
      <c r="X212" s="31">
        <v>0</v>
      </c>
      <c r="Y212" s="31">
        <v>0</v>
      </c>
      <c r="Z212" s="6">
        <f t="shared" si="22"/>
        <v>110</v>
      </c>
      <c r="AA212" s="11">
        <f t="shared" si="23"/>
        <v>1</v>
      </c>
      <c r="AB212" s="11">
        <f t="shared" si="24"/>
        <v>0</v>
      </c>
      <c r="AC212" s="66">
        <f t="shared" si="25"/>
        <v>1</v>
      </c>
      <c r="AD212" s="67">
        <f t="shared" si="26"/>
        <v>1</v>
      </c>
    </row>
    <row r="213" spans="1:30" ht="14.5" customHeight="1" x14ac:dyDescent="0.2">
      <c r="A213" s="22" t="s">
        <v>2969</v>
      </c>
      <c r="B213" s="17">
        <v>1</v>
      </c>
      <c r="C213" s="17">
        <v>0</v>
      </c>
      <c r="D213" s="30" t="s">
        <v>2138</v>
      </c>
      <c r="E213" s="30" t="s">
        <v>2139</v>
      </c>
      <c r="F213" s="85">
        <f t="shared" si="27"/>
        <v>2013</v>
      </c>
      <c r="G213" s="44">
        <v>41289</v>
      </c>
      <c r="H213" s="58" t="s">
        <v>2986</v>
      </c>
      <c r="I213" s="85">
        <v>0</v>
      </c>
      <c r="J213" t="s">
        <v>2800</v>
      </c>
      <c r="K213" s="17">
        <v>0</v>
      </c>
      <c r="M213" s="22" t="s">
        <v>2573</v>
      </c>
      <c r="N213" s="22" t="s">
        <v>2629</v>
      </c>
      <c r="O213" s="17"/>
      <c r="P213" t="s">
        <v>2801</v>
      </c>
      <c r="Q213" s="81" t="s">
        <v>2802</v>
      </c>
      <c r="R213" s="17">
        <v>1</v>
      </c>
      <c r="S213" s="17">
        <v>0</v>
      </c>
      <c r="T213" s="17">
        <v>0</v>
      </c>
      <c r="U213" s="17">
        <v>1</v>
      </c>
      <c r="V213" s="17">
        <v>0</v>
      </c>
      <c r="W213" s="31">
        <v>99</v>
      </c>
      <c r="X213" s="31">
        <v>8</v>
      </c>
      <c r="Y213" s="31">
        <v>0</v>
      </c>
      <c r="Z213" s="6">
        <f t="shared" si="22"/>
        <v>107</v>
      </c>
      <c r="AA213" s="11">
        <f t="shared" si="23"/>
        <v>0.92523364485981308</v>
      </c>
      <c r="AB213" s="11">
        <f t="shared" si="24"/>
        <v>7.476635514018691E-2</v>
      </c>
      <c r="AC213" s="66">
        <f t="shared" si="25"/>
        <v>0.92523364485981308</v>
      </c>
      <c r="AD213" s="67">
        <f t="shared" si="26"/>
        <v>0.88785046728971961</v>
      </c>
    </row>
    <row r="214" spans="1:30" ht="14.5" customHeight="1" x14ac:dyDescent="0.2">
      <c r="A214" s="22" t="s">
        <v>2969</v>
      </c>
      <c r="B214" s="17">
        <v>1</v>
      </c>
      <c r="C214" s="17">
        <v>0</v>
      </c>
      <c r="D214" s="30" t="s">
        <v>2138</v>
      </c>
      <c r="E214" s="30" t="s">
        <v>2139</v>
      </c>
      <c r="F214" s="85">
        <f t="shared" si="27"/>
        <v>2013</v>
      </c>
      <c r="G214" s="44">
        <v>41627</v>
      </c>
      <c r="H214" s="58" t="s">
        <v>2986</v>
      </c>
      <c r="I214" s="85">
        <v>0</v>
      </c>
      <c r="J214" t="s">
        <v>2803</v>
      </c>
      <c r="K214" s="17">
        <v>0</v>
      </c>
      <c r="M214" s="22" t="s">
        <v>247</v>
      </c>
      <c r="N214" s="22" t="s">
        <v>2629</v>
      </c>
      <c r="O214" s="17"/>
      <c r="P214" t="s">
        <v>2804</v>
      </c>
      <c r="Q214" s="81" t="s">
        <v>2805</v>
      </c>
      <c r="R214" s="17">
        <v>1</v>
      </c>
      <c r="S214" s="17">
        <v>0</v>
      </c>
      <c r="T214" s="17">
        <v>0</v>
      </c>
      <c r="U214" s="17">
        <v>1</v>
      </c>
      <c r="V214" s="17">
        <v>1</v>
      </c>
      <c r="W214" s="31">
        <v>106</v>
      </c>
      <c r="X214" s="31">
        <v>0</v>
      </c>
      <c r="Y214" s="31">
        <v>0</v>
      </c>
      <c r="Z214" s="6">
        <f t="shared" si="22"/>
        <v>106</v>
      </c>
      <c r="AA214" s="11">
        <f t="shared" si="23"/>
        <v>1</v>
      </c>
      <c r="AB214" s="11">
        <f t="shared" si="24"/>
        <v>0</v>
      </c>
      <c r="AC214" s="66">
        <f t="shared" si="25"/>
        <v>1</v>
      </c>
      <c r="AD214" s="67">
        <f t="shared" si="26"/>
        <v>1</v>
      </c>
    </row>
    <row r="215" spans="1:30" ht="14.5" customHeight="1" x14ac:dyDescent="0.2">
      <c r="A215" s="22" t="s">
        <v>2969</v>
      </c>
      <c r="B215" s="17">
        <v>1</v>
      </c>
      <c r="C215" s="17">
        <v>0</v>
      </c>
      <c r="D215" s="30" t="s">
        <v>2138</v>
      </c>
      <c r="E215" s="30" t="s">
        <v>2139</v>
      </c>
      <c r="F215" s="85">
        <f t="shared" si="27"/>
        <v>2013</v>
      </c>
      <c r="G215" s="44">
        <v>41627</v>
      </c>
      <c r="H215" s="58" t="s">
        <v>2986</v>
      </c>
      <c r="I215" s="85">
        <v>0</v>
      </c>
      <c r="J215" t="s">
        <v>2806</v>
      </c>
      <c r="K215" s="17">
        <v>0</v>
      </c>
      <c r="M215" t="s">
        <v>2574</v>
      </c>
      <c r="N215" t="s">
        <v>2121</v>
      </c>
      <c r="O215" s="17"/>
      <c r="P215" t="s">
        <v>2807</v>
      </c>
      <c r="Q215" s="81" t="s">
        <v>2808</v>
      </c>
      <c r="R215" s="17">
        <v>1</v>
      </c>
      <c r="S215" s="17">
        <v>0</v>
      </c>
      <c r="T215" s="17">
        <v>0</v>
      </c>
      <c r="U215" s="17">
        <v>1</v>
      </c>
      <c r="V215" s="17">
        <v>0</v>
      </c>
      <c r="W215" s="31">
        <v>97</v>
      </c>
      <c r="X215" s="31">
        <v>14</v>
      </c>
      <c r="Y215" s="31">
        <v>0</v>
      </c>
      <c r="Z215" s="6">
        <f t="shared" si="22"/>
        <v>111</v>
      </c>
      <c r="AA215" s="11">
        <f t="shared" si="23"/>
        <v>0.87387387387387383</v>
      </c>
      <c r="AB215" s="11">
        <f t="shared" si="24"/>
        <v>0.12612612612612611</v>
      </c>
      <c r="AC215" s="66">
        <f t="shared" si="25"/>
        <v>0.87387387387387383</v>
      </c>
      <c r="AD215" s="67">
        <f t="shared" si="26"/>
        <v>0.81081081081081086</v>
      </c>
    </row>
    <row r="216" spans="1:30" ht="14.5" customHeight="1" x14ac:dyDescent="0.2">
      <c r="A216" s="22" t="s">
        <v>2969</v>
      </c>
      <c r="B216" s="17">
        <v>1</v>
      </c>
      <c r="C216" s="17">
        <v>0</v>
      </c>
      <c r="D216" s="30" t="s">
        <v>2140</v>
      </c>
      <c r="E216" s="30" t="s">
        <v>2129</v>
      </c>
      <c r="F216" s="85">
        <f t="shared" si="27"/>
        <v>2014</v>
      </c>
      <c r="G216" s="44">
        <v>41739</v>
      </c>
      <c r="H216" s="58" t="s">
        <v>2986</v>
      </c>
      <c r="I216" s="85">
        <v>0</v>
      </c>
      <c r="J216" t="s">
        <v>2809</v>
      </c>
      <c r="K216" s="17">
        <v>0</v>
      </c>
      <c r="M216" s="22" t="s">
        <v>2562</v>
      </c>
      <c r="N216" s="22" t="s">
        <v>2629</v>
      </c>
      <c r="O216" s="17"/>
      <c r="P216" t="s">
        <v>2810</v>
      </c>
      <c r="Q216" s="81" t="s">
        <v>2811</v>
      </c>
      <c r="R216" s="17">
        <v>1</v>
      </c>
      <c r="S216" s="17">
        <v>0</v>
      </c>
      <c r="T216" s="17">
        <v>0</v>
      </c>
      <c r="U216" s="17">
        <v>1</v>
      </c>
      <c r="V216" s="17">
        <v>0</v>
      </c>
      <c r="W216" s="31">
        <v>94</v>
      </c>
      <c r="X216" s="31">
        <v>8</v>
      </c>
      <c r="Y216" s="31">
        <v>0</v>
      </c>
      <c r="Z216" s="6">
        <f t="shared" si="22"/>
        <v>102</v>
      </c>
      <c r="AA216" s="11">
        <f t="shared" si="23"/>
        <v>0.92156862745098034</v>
      </c>
      <c r="AB216" s="11">
        <f t="shared" si="24"/>
        <v>7.8431372549019607E-2</v>
      </c>
      <c r="AC216" s="66">
        <f t="shared" si="25"/>
        <v>0.92156862745098034</v>
      </c>
      <c r="AD216" s="67">
        <f t="shared" si="26"/>
        <v>0.88235294117647056</v>
      </c>
    </row>
    <row r="217" spans="1:30" ht="14.5" customHeight="1" x14ac:dyDescent="0.2">
      <c r="A217" s="22" t="s">
        <v>2969</v>
      </c>
      <c r="B217" s="17">
        <v>1</v>
      </c>
      <c r="C217" s="17">
        <v>0</v>
      </c>
      <c r="D217" s="30" t="s">
        <v>2140</v>
      </c>
      <c r="E217" s="30" t="s">
        <v>2129</v>
      </c>
      <c r="F217" s="85">
        <f t="shared" si="27"/>
        <v>2014</v>
      </c>
      <c r="G217" s="44">
        <v>41878</v>
      </c>
      <c r="H217" s="58" t="s">
        <v>2986</v>
      </c>
      <c r="I217" s="85">
        <v>0</v>
      </c>
      <c r="J217" t="s">
        <v>2812</v>
      </c>
      <c r="K217" s="17">
        <v>0</v>
      </c>
      <c r="M217" s="51" t="s">
        <v>2544</v>
      </c>
      <c r="N217" s="51" t="s">
        <v>2121</v>
      </c>
      <c r="O217" s="17"/>
      <c r="P217" t="s">
        <v>2813</v>
      </c>
      <c r="Q217" s="81" t="s">
        <v>2814</v>
      </c>
      <c r="R217" s="17">
        <v>1</v>
      </c>
      <c r="S217" s="17">
        <v>0</v>
      </c>
      <c r="T217" s="17">
        <v>0</v>
      </c>
      <c r="U217" s="17">
        <v>1</v>
      </c>
      <c r="V217" s="17">
        <v>0</v>
      </c>
      <c r="W217" s="31">
        <v>104</v>
      </c>
      <c r="X217" s="31">
        <v>0</v>
      </c>
      <c r="Y217" s="31">
        <v>0</v>
      </c>
      <c r="Z217" s="6">
        <f t="shared" si="22"/>
        <v>104</v>
      </c>
      <c r="AA217" s="11">
        <f t="shared" si="23"/>
        <v>1</v>
      </c>
      <c r="AB217" s="11">
        <f t="shared" si="24"/>
        <v>0</v>
      </c>
      <c r="AC217" s="66">
        <f t="shared" si="25"/>
        <v>1</v>
      </c>
      <c r="AD217" s="67">
        <f t="shared" si="26"/>
        <v>1</v>
      </c>
    </row>
    <row r="218" spans="1:30" ht="14.5" customHeight="1" x14ac:dyDescent="0.2">
      <c r="A218" s="22" t="s">
        <v>2969</v>
      </c>
      <c r="B218" s="17">
        <v>1</v>
      </c>
      <c r="C218" s="17">
        <v>0</v>
      </c>
      <c r="D218" s="30" t="s">
        <v>2140</v>
      </c>
      <c r="E218" s="30" t="s">
        <v>2129</v>
      </c>
      <c r="F218" s="85">
        <f t="shared" si="27"/>
        <v>2014</v>
      </c>
      <c r="G218" s="44">
        <v>41914</v>
      </c>
      <c r="H218" s="58" t="s">
        <v>2986</v>
      </c>
      <c r="I218" s="85">
        <v>0</v>
      </c>
      <c r="J218" t="s">
        <v>2815</v>
      </c>
      <c r="K218" s="17">
        <v>0</v>
      </c>
      <c r="M218" s="51" t="s">
        <v>2544</v>
      </c>
      <c r="N218" s="51" t="s">
        <v>2121</v>
      </c>
      <c r="O218" s="17"/>
      <c r="P218" t="s">
        <v>2816</v>
      </c>
      <c r="Q218" s="81" t="s">
        <v>2817</v>
      </c>
      <c r="R218" s="17">
        <v>1</v>
      </c>
      <c r="S218" s="17">
        <v>0</v>
      </c>
      <c r="T218" s="17">
        <v>0</v>
      </c>
      <c r="U218" s="17">
        <v>1</v>
      </c>
      <c r="V218" s="17">
        <v>1</v>
      </c>
      <c r="W218" s="31">
        <v>94</v>
      </c>
      <c r="X218" s="31">
        <v>9</v>
      </c>
      <c r="Y218" s="31">
        <v>0</v>
      </c>
      <c r="Z218" s="6">
        <f t="shared" si="22"/>
        <v>103</v>
      </c>
      <c r="AA218" s="11">
        <f t="shared" si="23"/>
        <v>0.91262135922330101</v>
      </c>
      <c r="AB218" s="11">
        <f t="shared" si="24"/>
        <v>8.7378640776699032E-2</v>
      </c>
      <c r="AC218" s="66">
        <f t="shared" si="25"/>
        <v>0.91262135922330101</v>
      </c>
      <c r="AD218" s="67">
        <f t="shared" si="26"/>
        <v>0.8689320388349514</v>
      </c>
    </row>
    <row r="219" spans="1:30" ht="14.5" customHeight="1" x14ac:dyDescent="0.2">
      <c r="A219" s="22" t="s">
        <v>2969</v>
      </c>
      <c r="B219" s="17">
        <v>1</v>
      </c>
      <c r="C219" s="17">
        <v>0</v>
      </c>
      <c r="D219" s="30" t="s">
        <v>2140</v>
      </c>
      <c r="E219" s="30" t="s">
        <v>2129</v>
      </c>
      <c r="F219" s="85">
        <f t="shared" si="27"/>
        <v>2014</v>
      </c>
      <c r="G219" s="44">
        <v>41991</v>
      </c>
      <c r="H219" s="58" t="s">
        <v>2986</v>
      </c>
      <c r="I219" s="85">
        <v>0</v>
      </c>
      <c r="J219" t="s">
        <v>2818</v>
      </c>
      <c r="K219" s="17">
        <v>0</v>
      </c>
      <c r="M219" s="51" t="s">
        <v>2555</v>
      </c>
      <c r="N219" s="51" t="s">
        <v>422</v>
      </c>
      <c r="O219" s="17"/>
      <c r="P219" t="s">
        <v>2819</v>
      </c>
      <c r="Q219" s="81" t="s">
        <v>2820</v>
      </c>
      <c r="R219" s="17">
        <v>1</v>
      </c>
      <c r="S219" s="17">
        <v>0</v>
      </c>
      <c r="T219" s="17">
        <v>0</v>
      </c>
      <c r="U219" s="17">
        <v>1</v>
      </c>
      <c r="V219" s="17">
        <v>1</v>
      </c>
      <c r="W219" s="31">
        <v>100</v>
      </c>
      <c r="X219" s="31">
        <v>8</v>
      </c>
      <c r="Y219" s="31">
        <v>0</v>
      </c>
      <c r="Z219" s="6">
        <f t="shared" si="22"/>
        <v>108</v>
      </c>
      <c r="AA219" s="11">
        <f t="shared" si="23"/>
        <v>0.92592592592592593</v>
      </c>
      <c r="AB219" s="11">
        <f t="shared" si="24"/>
        <v>7.407407407407407E-2</v>
      </c>
      <c r="AC219" s="66">
        <f t="shared" si="25"/>
        <v>0.92592592592592593</v>
      </c>
      <c r="AD219" s="67">
        <f t="shared" si="26"/>
        <v>0.88888888888888884</v>
      </c>
    </row>
    <row r="220" spans="1:30" ht="14.5" customHeight="1" x14ac:dyDescent="0.2">
      <c r="A220" s="22" t="s">
        <v>2969</v>
      </c>
      <c r="B220" s="17">
        <v>1</v>
      </c>
      <c r="C220" s="17">
        <v>0</v>
      </c>
      <c r="D220" s="30" t="s">
        <v>2141</v>
      </c>
      <c r="E220" s="30" t="s">
        <v>2142</v>
      </c>
      <c r="F220" s="85">
        <f t="shared" si="27"/>
        <v>2015</v>
      </c>
      <c r="G220" s="44">
        <v>42318</v>
      </c>
      <c r="H220" s="58" t="s">
        <v>2986</v>
      </c>
      <c r="I220" s="85">
        <v>0</v>
      </c>
      <c r="J220" t="s">
        <v>2821</v>
      </c>
      <c r="K220" s="17">
        <v>0</v>
      </c>
      <c r="M220" s="51" t="s">
        <v>2544</v>
      </c>
      <c r="N220" s="51" t="s">
        <v>2121</v>
      </c>
      <c r="O220" s="17"/>
      <c r="P220" t="s">
        <v>2822</v>
      </c>
      <c r="Q220" s="81" t="s">
        <v>2823</v>
      </c>
      <c r="R220" s="17">
        <v>1</v>
      </c>
      <c r="S220" s="17">
        <v>0</v>
      </c>
      <c r="T220" s="17">
        <v>0</v>
      </c>
      <c r="U220" s="17">
        <v>1</v>
      </c>
      <c r="V220" s="17">
        <v>1</v>
      </c>
      <c r="W220" s="31">
        <v>94</v>
      </c>
      <c r="X220" s="31">
        <v>16</v>
      </c>
      <c r="Y220" s="31">
        <v>0</v>
      </c>
      <c r="Z220" s="6">
        <f t="shared" si="22"/>
        <v>110</v>
      </c>
      <c r="AA220" s="11">
        <f t="shared" si="23"/>
        <v>0.8545454545454545</v>
      </c>
      <c r="AB220" s="11">
        <f t="shared" si="24"/>
        <v>0.14545454545454545</v>
      </c>
      <c r="AC220" s="66">
        <f t="shared" si="25"/>
        <v>0.8545454545454545</v>
      </c>
      <c r="AD220" s="67">
        <f t="shared" si="26"/>
        <v>0.78181818181818186</v>
      </c>
    </row>
    <row r="221" spans="1:30" ht="14.5" customHeight="1" x14ac:dyDescent="0.2">
      <c r="A221" s="22" t="s">
        <v>2969</v>
      </c>
      <c r="B221" s="17">
        <v>1</v>
      </c>
      <c r="C221" s="17">
        <v>0</v>
      </c>
      <c r="D221" s="30" t="s">
        <v>2141</v>
      </c>
      <c r="E221" s="30" t="s">
        <v>2142</v>
      </c>
      <c r="F221" s="85">
        <f t="shared" si="27"/>
        <v>2015</v>
      </c>
      <c r="G221" s="44">
        <v>42325</v>
      </c>
      <c r="H221" s="58" t="s">
        <v>2986</v>
      </c>
      <c r="I221" s="85">
        <v>0</v>
      </c>
      <c r="J221" t="s">
        <v>2824</v>
      </c>
      <c r="K221" s="17">
        <v>0</v>
      </c>
      <c r="M221" s="22" t="s">
        <v>247</v>
      </c>
      <c r="N221" s="87" t="s">
        <v>2629</v>
      </c>
      <c r="O221" s="17"/>
      <c r="P221" t="s">
        <v>2825</v>
      </c>
      <c r="Q221" s="81" t="s">
        <v>2826</v>
      </c>
      <c r="R221" s="17">
        <v>1</v>
      </c>
      <c r="S221" s="17">
        <v>0</v>
      </c>
      <c r="T221" s="17">
        <v>0</v>
      </c>
      <c r="U221" s="17">
        <v>1</v>
      </c>
      <c r="V221" s="17">
        <v>1</v>
      </c>
      <c r="W221" s="31">
        <v>74</v>
      </c>
      <c r="X221" s="31">
        <v>35</v>
      </c>
      <c r="Y221" s="31">
        <v>0</v>
      </c>
      <c r="Z221" s="6">
        <f t="shared" si="22"/>
        <v>109</v>
      </c>
      <c r="AA221" s="11">
        <f t="shared" si="23"/>
        <v>0.67889908256880738</v>
      </c>
      <c r="AB221" s="11">
        <f t="shared" si="24"/>
        <v>0.32110091743119268</v>
      </c>
      <c r="AC221" s="66">
        <f t="shared" si="25"/>
        <v>0.67889908256880738</v>
      </c>
      <c r="AD221" s="67">
        <f t="shared" si="26"/>
        <v>0.51834862385321101</v>
      </c>
    </row>
    <row r="222" spans="1:30" ht="14.5" customHeight="1" x14ac:dyDescent="0.2">
      <c r="A222" s="22" t="s">
        <v>2969</v>
      </c>
      <c r="B222" s="17">
        <v>1</v>
      </c>
      <c r="C222" s="17">
        <v>0</v>
      </c>
      <c r="D222" s="30" t="s">
        <v>2141</v>
      </c>
      <c r="E222" s="30" t="s">
        <v>2142</v>
      </c>
      <c r="F222" s="85">
        <f t="shared" si="27"/>
        <v>2016</v>
      </c>
      <c r="G222" s="44">
        <v>42479</v>
      </c>
      <c r="H222" s="58" t="s">
        <v>2986</v>
      </c>
      <c r="I222" s="85">
        <v>0</v>
      </c>
      <c r="J222" t="s">
        <v>2827</v>
      </c>
      <c r="K222" s="17">
        <v>0</v>
      </c>
      <c r="M222" s="51" t="s">
        <v>2828</v>
      </c>
      <c r="N222" s="51" t="s">
        <v>2121</v>
      </c>
      <c r="O222" s="17"/>
      <c r="P222" t="s">
        <v>2829</v>
      </c>
      <c r="Q222" s="81" t="s">
        <v>2830</v>
      </c>
      <c r="R222" s="17">
        <v>1</v>
      </c>
      <c r="S222" s="17">
        <v>0</v>
      </c>
      <c r="T222" s="17">
        <v>0</v>
      </c>
      <c r="U222" s="17">
        <v>1</v>
      </c>
      <c r="V222" s="17">
        <v>1</v>
      </c>
      <c r="W222" s="31">
        <v>90</v>
      </c>
      <c r="X222" s="31">
        <v>19</v>
      </c>
      <c r="Y222" s="31">
        <v>0</v>
      </c>
      <c r="Z222" s="6">
        <f t="shared" si="22"/>
        <v>109</v>
      </c>
      <c r="AA222" s="11">
        <f t="shared" si="23"/>
        <v>0.82568807339449546</v>
      </c>
      <c r="AB222" s="11">
        <f t="shared" si="24"/>
        <v>0.1743119266055046</v>
      </c>
      <c r="AC222" s="66">
        <f t="shared" si="25"/>
        <v>0.82568807339449546</v>
      </c>
      <c r="AD222" s="67">
        <f t="shared" si="26"/>
        <v>0.73853211009174313</v>
      </c>
    </row>
    <row r="223" spans="1:30" ht="14.5" customHeight="1" x14ac:dyDescent="0.2">
      <c r="A223" s="22" t="s">
        <v>2969</v>
      </c>
      <c r="B223" s="17">
        <v>1</v>
      </c>
      <c r="C223" s="17">
        <v>0</v>
      </c>
      <c r="D223" s="30" t="s">
        <v>2141</v>
      </c>
      <c r="E223" s="30" t="s">
        <v>2142</v>
      </c>
      <c r="F223" s="85">
        <f t="shared" si="27"/>
        <v>2016</v>
      </c>
      <c r="G223" s="44">
        <v>42601</v>
      </c>
      <c r="H223" s="58" t="s">
        <v>2986</v>
      </c>
      <c r="I223" s="85">
        <v>0</v>
      </c>
      <c r="J223" t="s">
        <v>2831</v>
      </c>
      <c r="K223" s="17">
        <v>0</v>
      </c>
      <c r="M223" s="52" t="s">
        <v>2832</v>
      </c>
      <c r="N223" s="52" t="s">
        <v>2629</v>
      </c>
      <c r="O223" s="17"/>
      <c r="P223" t="s">
        <v>2833</v>
      </c>
      <c r="Q223" s="86" t="s">
        <v>2834</v>
      </c>
      <c r="R223" s="17">
        <v>1</v>
      </c>
      <c r="S223" s="17">
        <v>0</v>
      </c>
      <c r="T223" s="17">
        <v>0</v>
      </c>
      <c r="U223" s="17">
        <v>1</v>
      </c>
      <c r="V223" s="17">
        <v>1</v>
      </c>
      <c r="W223" s="31">
        <v>99</v>
      </c>
      <c r="X223" s="31">
        <v>0</v>
      </c>
      <c r="Y223" s="31">
        <v>0</v>
      </c>
      <c r="Z223" s="6">
        <f t="shared" si="22"/>
        <v>99</v>
      </c>
      <c r="AA223" s="11">
        <f t="shared" si="23"/>
        <v>1</v>
      </c>
      <c r="AB223" s="11">
        <f t="shared" si="24"/>
        <v>0</v>
      </c>
      <c r="AC223" s="66">
        <f t="shared" si="25"/>
        <v>1</v>
      </c>
      <c r="AD223" s="67">
        <f t="shared" si="26"/>
        <v>1</v>
      </c>
    </row>
    <row r="224" spans="1:30" ht="14.5" customHeight="1" x14ac:dyDescent="0.2">
      <c r="A224" s="22" t="s">
        <v>2969</v>
      </c>
      <c r="B224" s="17">
        <v>1</v>
      </c>
      <c r="C224" s="17">
        <v>0</v>
      </c>
      <c r="D224" s="30" t="s">
        <v>2143</v>
      </c>
      <c r="E224" s="30" t="s">
        <v>2144</v>
      </c>
      <c r="F224" s="85">
        <f t="shared" si="27"/>
        <v>2017</v>
      </c>
      <c r="G224" s="44">
        <v>42775</v>
      </c>
      <c r="H224" s="58" t="s">
        <v>2986</v>
      </c>
      <c r="I224" s="85">
        <v>0</v>
      </c>
      <c r="J224" t="s">
        <v>2835</v>
      </c>
      <c r="K224" s="17">
        <v>0</v>
      </c>
      <c r="M224" s="52" t="s">
        <v>2828</v>
      </c>
      <c r="N224" s="51" t="s">
        <v>2121</v>
      </c>
      <c r="O224" s="17"/>
      <c r="P224" t="s">
        <v>2836</v>
      </c>
      <c r="Q224" s="86" t="s">
        <v>2837</v>
      </c>
      <c r="R224" s="17">
        <v>1</v>
      </c>
      <c r="S224" s="17">
        <v>0</v>
      </c>
      <c r="T224" s="17">
        <v>0</v>
      </c>
      <c r="U224" s="17">
        <v>1</v>
      </c>
      <c r="V224" s="17">
        <v>1</v>
      </c>
      <c r="W224" s="31">
        <v>90</v>
      </c>
      <c r="X224" s="31">
        <v>19</v>
      </c>
      <c r="Y224" s="31">
        <v>0</v>
      </c>
      <c r="Z224" s="6">
        <f t="shared" si="22"/>
        <v>109</v>
      </c>
      <c r="AA224" s="11">
        <f t="shared" si="23"/>
        <v>0.82568807339449546</v>
      </c>
      <c r="AB224" s="11">
        <f t="shared" si="24"/>
        <v>0.1743119266055046</v>
      </c>
      <c r="AC224" s="66">
        <f t="shared" si="25"/>
        <v>0.82568807339449546</v>
      </c>
      <c r="AD224" s="67">
        <f t="shared" si="26"/>
        <v>0.73853211009174313</v>
      </c>
    </row>
    <row r="225" spans="1:95" ht="14.5" customHeight="1" x14ac:dyDescent="0.2">
      <c r="A225" s="22" t="s">
        <v>2969</v>
      </c>
      <c r="B225" s="17">
        <v>1</v>
      </c>
      <c r="C225" s="17">
        <v>0</v>
      </c>
      <c r="D225" s="30" t="s">
        <v>2143</v>
      </c>
      <c r="E225" s="30" t="s">
        <v>2144</v>
      </c>
      <c r="F225" s="85">
        <f t="shared" si="27"/>
        <v>2017</v>
      </c>
      <c r="G225" s="44">
        <v>42878</v>
      </c>
      <c r="H225" s="58" t="s">
        <v>2986</v>
      </c>
      <c r="I225" s="85">
        <v>0</v>
      </c>
      <c r="J225" t="s">
        <v>2838</v>
      </c>
      <c r="K225" s="17">
        <v>0</v>
      </c>
      <c r="M225" s="52" t="s">
        <v>2839</v>
      </c>
      <c r="N225" s="55" t="s">
        <v>2628</v>
      </c>
      <c r="O225" s="17"/>
      <c r="P225" t="s">
        <v>2840</v>
      </c>
      <c r="Q225" s="86" t="s">
        <v>2841</v>
      </c>
      <c r="R225" s="17">
        <v>1</v>
      </c>
      <c r="S225" s="17">
        <v>0</v>
      </c>
      <c r="T225" s="17">
        <v>0</v>
      </c>
      <c r="U225" s="17">
        <v>1</v>
      </c>
      <c r="V225" s="17">
        <v>0</v>
      </c>
      <c r="W225" s="31">
        <v>97</v>
      </c>
      <c r="X225" s="31">
        <v>9</v>
      </c>
      <c r="Y225" s="31">
        <v>0</v>
      </c>
      <c r="Z225" s="6">
        <f t="shared" si="22"/>
        <v>106</v>
      </c>
      <c r="AA225" s="11">
        <f t="shared" si="23"/>
        <v>0.91509433962264153</v>
      </c>
      <c r="AB225" s="11">
        <f t="shared" si="24"/>
        <v>8.4905660377358486E-2</v>
      </c>
      <c r="AC225" s="66">
        <f t="shared" si="25"/>
        <v>0.91509433962264153</v>
      </c>
      <c r="AD225" s="67">
        <f t="shared" si="26"/>
        <v>0.87264150943396224</v>
      </c>
    </row>
    <row r="226" spans="1:95" ht="14.5" customHeight="1" x14ac:dyDescent="0.2">
      <c r="A226" s="22" t="s">
        <v>2969</v>
      </c>
      <c r="B226" s="17">
        <v>1</v>
      </c>
      <c r="C226" s="17">
        <v>0</v>
      </c>
      <c r="D226" s="30" t="s">
        <v>2143</v>
      </c>
      <c r="E226" s="30" t="s">
        <v>2144</v>
      </c>
      <c r="F226" s="85">
        <f t="shared" si="27"/>
        <v>2018</v>
      </c>
      <c r="G226" s="47">
        <v>43116</v>
      </c>
      <c r="H226" s="58" t="s">
        <v>2986</v>
      </c>
      <c r="I226" s="85">
        <v>0</v>
      </c>
      <c r="J226" t="s">
        <v>2843</v>
      </c>
      <c r="K226" s="17">
        <v>0</v>
      </c>
      <c r="M226" s="51" t="s">
        <v>2828</v>
      </c>
      <c r="N226" s="51" t="s">
        <v>2121</v>
      </c>
      <c r="O226" s="17"/>
      <c r="P226" t="s">
        <v>2147</v>
      </c>
      <c r="Q226" s="81" t="s">
        <v>2148</v>
      </c>
      <c r="R226" s="17">
        <v>1</v>
      </c>
      <c r="S226" s="17">
        <v>0</v>
      </c>
      <c r="T226" s="17">
        <v>0</v>
      </c>
      <c r="U226" s="17">
        <v>1</v>
      </c>
      <c r="V226" s="17">
        <v>1</v>
      </c>
      <c r="W226" s="85">
        <v>85</v>
      </c>
      <c r="X226" s="85">
        <v>19</v>
      </c>
      <c r="Y226" s="85">
        <v>0</v>
      </c>
      <c r="Z226" s="6">
        <f t="shared" si="22"/>
        <v>104</v>
      </c>
      <c r="AA226" s="11">
        <f t="shared" si="23"/>
        <v>0.81730769230769229</v>
      </c>
      <c r="AB226" s="11">
        <f t="shared" si="24"/>
        <v>0.18269230769230768</v>
      </c>
      <c r="AC226" s="66">
        <f t="shared" si="25"/>
        <v>0.81730769230769229</v>
      </c>
      <c r="AD226" s="67">
        <f t="shared" si="26"/>
        <v>0.72596153846153844</v>
      </c>
    </row>
    <row r="227" spans="1:95" ht="14.5" customHeight="1" x14ac:dyDescent="0.2">
      <c r="A227" s="22" t="s">
        <v>2969</v>
      </c>
      <c r="B227" s="17">
        <v>1</v>
      </c>
      <c r="C227" s="17">
        <v>0</v>
      </c>
      <c r="D227" s="30" t="s">
        <v>2143</v>
      </c>
      <c r="E227" s="30" t="s">
        <v>2144</v>
      </c>
      <c r="F227" s="85">
        <f t="shared" si="27"/>
        <v>2018</v>
      </c>
      <c r="G227" s="47">
        <v>43116</v>
      </c>
      <c r="H227" s="58" t="s">
        <v>2986</v>
      </c>
      <c r="I227" s="85">
        <v>0</v>
      </c>
      <c r="J227" t="s">
        <v>2842</v>
      </c>
      <c r="K227" s="17">
        <v>0</v>
      </c>
      <c r="M227" s="22" t="s">
        <v>2557</v>
      </c>
      <c r="N227" s="22" t="s">
        <v>2627</v>
      </c>
      <c r="O227" s="17"/>
      <c r="P227" t="s">
        <v>2145</v>
      </c>
      <c r="Q227" s="81" t="s">
        <v>2146</v>
      </c>
      <c r="R227" s="17">
        <v>1</v>
      </c>
      <c r="S227" s="17">
        <v>0</v>
      </c>
      <c r="T227" s="17">
        <v>0</v>
      </c>
      <c r="U227" s="17">
        <v>1</v>
      </c>
      <c r="V227" s="17">
        <v>0</v>
      </c>
      <c r="W227" s="85">
        <v>89</v>
      </c>
      <c r="X227" s="85">
        <v>15</v>
      </c>
      <c r="Y227" s="85">
        <v>0</v>
      </c>
      <c r="Z227" s="6">
        <f t="shared" si="22"/>
        <v>104</v>
      </c>
      <c r="AA227" s="11">
        <f t="shared" si="23"/>
        <v>0.85576923076923073</v>
      </c>
      <c r="AB227" s="11">
        <f t="shared" si="24"/>
        <v>0.14423076923076922</v>
      </c>
      <c r="AC227" s="66">
        <f t="shared" si="25"/>
        <v>0.85576923076923073</v>
      </c>
      <c r="AD227" s="67">
        <f t="shared" si="26"/>
        <v>0.78365384615384615</v>
      </c>
    </row>
    <row r="228" spans="1:95" ht="14.5" customHeight="1" x14ac:dyDescent="0.2">
      <c r="A228" s="22" t="s">
        <v>2969</v>
      </c>
      <c r="B228" s="17">
        <v>1</v>
      </c>
      <c r="C228" s="17">
        <v>0</v>
      </c>
      <c r="D228" s="30" t="s">
        <v>2143</v>
      </c>
      <c r="E228" s="30" t="s">
        <v>2144</v>
      </c>
      <c r="F228" s="85">
        <f t="shared" si="27"/>
        <v>2019</v>
      </c>
      <c r="G228" s="47">
        <v>43501</v>
      </c>
      <c r="H228" s="58" t="s">
        <v>2986</v>
      </c>
      <c r="I228" s="85">
        <v>0</v>
      </c>
      <c r="J228" t="s">
        <v>2844</v>
      </c>
      <c r="K228" s="17">
        <v>0</v>
      </c>
      <c r="M228" s="87" t="s">
        <v>2149</v>
      </c>
      <c r="N228" s="55" t="s">
        <v>2628</v>
      </c>
      <c r="O228" s="17"/>
      <c r="P228" t="s">
        <v>2150</v>
      </c>
      <c r="Q228" s="81" t="s">
        <v>2151</v>
      </c>
      <c r="R228" s="17">
        <v>1</v>
      </c>
      <c r="S228" s="17">
        <v>0</v>
      </c>
      <c r="T228" s="17">
        <v>0</v>
      </c>
      <c r="U228" s="17">
        <v>1</v>
      </c>
      <c r="V228" s="17">
        <v>0</v>
      </c>
      <c r="W228" s="85">
        <v>92</v>
      </c>
      <c r="X228" s="85">
        <v>15</v>
      </c>
      <c r="Y228" s="85">
        <v>0</v>
      </c>
      <c r="Z228" s="6">
        <f t="shared" si="22"/>
        <v>107</v>
      </c>
      <c r="AA228" s="11">
        <f t="shared" si="23"/>
        <v>0.85981308411214952</v>
      </c>
      <c r="AB228" s="11">
        <f t="shared" si="24"/>
        <v>0.14018691588785046</v>
      </c>
      <c r="AC228" s="66">
        <f t="shared" si="25"/>
        <v>0.85981308411214952</v>
      </c>
      <c r="AD228" s="67">
        <f t="shared" si="26"/>
        <v>0.78971962616822433</v>
      </c>
    </row>
    <row r="229" spans="1:95" ht="14.5" customHeight="1" x14ac:dyDescent="0.2">
      <c r="A229" s="22" t="s">
        <v>2969</v>
      </c>
      <c r="B229" s="17">
        <v>1</v>
      </c>
      <c r="C229" s="17">
        <v>0</v>
      </c>
      <c r="D229" s="58" t="s">
        <v>2152</v>
      </c>
      <c r="E229" s="58" t="s">
        <v>2153</v>
      </c>
      <c r="F229" s="85">
        <f t="shared" si="27"/>
        <v>2019</v>
      </c>
      <c r="G229" s="47">
        <v>43762</v>
      </c>
      <c r="H229" s="58" t="s">
        <v>2986</v>
      </c>
      <c r="I229" s="85">
        <v>0</v>
      </c>
      <c r="J229" t="s">
        <v>2845</v>
      </c>
      <c r="K229" s="17">
        <v>0</v>
      </c>
      <c r="M229" s="22" t="s">
        <v>247</v>
      </c>
      <c r="N229" s="87" t="s">
        <v>2629</v>
      </c>
      <c r="O229" s="17"/>
      <c r="P229" t="s">
        <v>2154</v>
      </c>
      <c r="Q229" s="81" t="s">
        <v>2155</v>
      </c>
      <c r="R229" s="17">
        <v>1</v>
      </c>
      <c r="S229" s="17">
        <v>0</v>
      </c>
      <c r="T229" s="17">
        <v>0</v>
      </c>
      <c r="U229" s="17">
        <v>1</v>
      </c>
      <c r="V229" s="17">
        <v>0</v>
      </c>
      <c r="W229" s="85">
        <v>106</v>
      </c>
      <c r="X229" s="85">
        <v>3</v>
      </c>
      <c r="Y229" s="85">
        <v>0</v>
      </c>
      <c r="Z229" s="6">
        <f t="shared" si="22"/>
        <v>109</v>
      </c>
      <c r="AA229" s="11">
        <f t="shared" si="23"/>
        <v>0.97247706422018354</v>
      </c>
      <c r="AB229" s="11">
        <f t="shared" si="24"/>
        <v>2.7522935779816515E-2</v>
      </c>
      <c r="AC229" s="66">
        <f t="shared" si="25"/>
        <v>0.97247706422018354</v>
      </c>
      <c r="AD229" s="67">
        <f t="shared" si="26"/>
        <v>0.95871559633027525</v>
      </c>
    </row>
    <row r="230" spans="1:95" ht="14.5" customHeight="1" x14ac:dyDescent="0.2">
      <c r="A230" s="22" t="s">
        <v>2969</v>
      </c>
      <c r="B230" s="17">
        <v>1</v>
      </c>
      <c r="C230" s="17">
        <v>0</v>
      </c>
      <c r="D230" s="58" t="s">
        <v>2152</v>
      </c>
      <c r="E230" s="58" t="s">
        <v>2153</v>
      </c>
      <c r="F230" s="85">
        <f t="shared" si="27"/>
        <v>2019</v>
      </c>
      <c r="G230" s="47">
        <v>43762</v>
      </c>
      <c r="H230" s="58" t="s">
        <v>2986</v>
      </c>
      <c r="I230" s="85">
        <v>0</v>
      </c>
      <c r="J230" t="s">
        <v>2846</v>
      </c>
      <c r="K230" s="17">
        <v>0</v>
      </c>
      <c r="M230" s="87" t="s">
        <v>2156</v>
      </c>
      <c r="N230" s="87" t="s">
        <v>2629</v>
      </c>
      <c r="O230" s="17"/>
      <c r="P230" t="s">
        <v>2157</v>
      </c>
      <c r="Q230" s="81" t="s">
        <v>2158</v>
      </c>
      <c r="R230" s="17">
        <v>1</v>
      </c>
      <c r="S230" s="17">
        <v>0</v>
      </c>
      <c r="T230" s="17">
        <v>0</v>
      </c>
      <c r="U230" s="17">
        <v>1</v>
      </c>
      <c r="V230" s="17">
        <v>0</v>
      </c>
      <c r="W230" s="85">
        <v>99</v>
      </c>
      <c r="X230" s="85">
        <v>11</v>
      </c>
      <c r="Y230" s="85">
        <v>0</v>
      </c>
      <c r="Z230" s="6">
        <f t="shared" si="22"/>
        <v>110</v>
      </c>
      <c r="AA230" s="11">
        <f t="shared" si="23"/>
        <v>0.9</v>
      </c>
      <c r="AB230" s="11">
        <f t="shared" si="24"/>
        <v>0.1</v>
      </c>
      <c r="AC230" s="66">
        <f t="shared" si="25"/>
        <v>0.9</v>
      </c>
      <c r="AD230" s="67">
        <f t="shared" si="26"/>
        <v>0.85</v>
      </c>
    </row>
    <row r="231" spans="1:95" ht="14.5" customHeight="1" x14ac:dyDescent="0.2">
      <c r="A231" s="84" t="s">
        <v>377</v>
      </c>
      <c r="B231" s="7">
        <v>0</v>
      </c>
      <c r="C231" s="4">
        <v>0</v>
      </c>
      <c r="D231" s="58" t="s">
        <v>378</v>
      </c>
      <c r="E231" s="58" t="s">
        <v>2994</v>
      </c>
      <c r="F231" s="64">
        <f t="shared" si="27"/>
        <v>1995</v>
      </c>
      <c r="G231" s="18">
        <v>35053</v>
      </c>
      <c r="H231" s="58" t="s">
        <v>379</v>
      </c>
      <c r="I231" s="64">
        <v>0</v>
      </c>
      <c r="J231" s="12" t="s">
        <v>380</v>
      </c>
      <c r="K231" s="17">
        <v>0</v>
      </c>
      <c r="L231" s="59">
        <v>1</v>
      </c>
      <c r="M231" s="48" t="s">
        <v>2564</v>
      </c>
      <c r="N231" s="48" t="s">
        <v>2630</v>
      </c>
      <c r="O231" s="8"/>
      <c r="P231" s="8" t="s">
        <v>381</v>
      </c>
      <c r="Q231" s="29" t="s">
        <v>382</v>
      </c>
      <c r="R231" s="9">
        <v>1</v>
      </c>
      <c r="S231" s="9">
        <v>0</v>
      </c>
      <c r="T231" s="9">
        <v>0</v>
      </c>
      <c r="U231" s="7">
        <v>0</v>
      </c>
      <c r="V231" s="7">
        <v>0</v>
      </c>
      <c r="W231" s="88">
        <v>147</v>
      </c>
      <c r="X231" s="88">
        <v>7</v>
      </c>
      <c r="Y231" s="88">
        <v>2</v>
      </c>
      <c r="Z231" s="6">
        <f t="shared" si="22"/>
        <v>156</v>
      </c>
      <c r="AA231" s="11">
        <f t="shared" si="23"/>
        <v>0.94230769230769229</v>
      </c>
      <c r="AB231" s="11">
        <f t="shared" si="24"/>
        <v>4.4871794871794872E-2</v>
      </c>
      <c r="AC231" s="66">
        <f t="shared" si="25"/>
        <v>0.94230769230769229</v>
      </c>
      <c r="AD231" s="67">
        <f t="shared" si="26"/>
        <v>0.91346153846153844</v>
      </c>
    </row>
    <row r="232" spans="1:95" ht="14.5" customHeight="1" x14ac:dyDescent="0.2">
      <c r="A232" s="84" t="s">
        <v>377</v>
      </c>
      <c r="B232" s="7">
        <v>0</v>
      </c>
      <c r="C232" s="4">
        <v>0</v>
      </c>
      <c r="D232" s="58" t="s">
        <v>383</v>
      </c>
      <c r="E232" s="58" t="s">
        <v>2994</v>
      </c>
      <c r="F232" s="64">
        <f t="shared" si="27"/>
        <v>1999</v>
      </c>
      <c r="G232" s="18">
        <v>36329</v>
      </c>
      <c r="H232" s="58" t="s">
        <v>379</v>
      </c>
      <c r="I232" s="64">
        <v>0</v>
      </c>
      <c r="J232" s="12" t="s">
        <v>384</v>
      </c>
      <c r="K232" s="7">
        <v>0</v>
      </c>
      <c r="L232" s="59">
        <v>1</v>
      </c>
      <c r="M232" s="48" t="s">
        <v>165</v>
      </c>
      <c r="N232" s="24" t="s">
        <v>2630</v>
      </c>
      <c r="O232" s="8"/>
      <c r="P232" s="8" t="s">
        <v>385</v>
      </c>
      <c r="Q232" s="29" t="s">
        <v>386</v>
      </c>
      <c r="R232" s="9">
        <v>1</v>
      </c>
      <c r="S232" s="9">
        <v>0</v>
      </c>
      <c r="T232" s="9">
        <v>0</v>
      </c>
      <c r="U232" s="7">
        <v>0</v>
      </c>
      <c r="V232" s="7">
        <v>0</v>
      </c>
      <c r="W232" s="88">
        <v>145</v>
      </c>
      <c r="X232" s="88">
        <v>3</v>
      </c>
      <c r="Y232" s="88">
        <v>0</v>
      </c>
      <c r="Z232" s="6">
        <f t="shared" si="22"/>
        <v>148</v>
      </c>
      <c r="AA232" s="11">
        <f t="shared" si="23"/>
        <v>0.97972972972972971</v>
      </c>
      <c r="AB232" s="11">
        <f t="shared" si="24"/>
        <v>2.0270270270270271E-2</v>
      </c>
      <c r="AC232" s="66">
        <f t="shared" si="25"/>
        <v>0.97972972972972971</v>
      </c>
      <c r="AD232" s="67">
        <f t="shared" si="26"/>
        <v>0.96959459459459463</v>
      </c>
    </row>
    <row r="233" spans="1:95" s="37" customFormat="1" ht="14.5" customHeight="1" x14ac:dyDescent="0.2">
      <c r="A233" s="84" t="s">
        <v>377</v>
      </c>
      <c r="B233" s="7">
        <v>0</v>
      </c>
      <c r="C233" s="4">
        <v>0</v>
      </c>
      <c r="D233" s="58" t="s">
        <v>387</v>
      </c>
      <c r="E233" s="58" t="s">
        <v>2995</v>
      </c>
      <c r="F233" s="64">
        <f t="shared" si="27"/>
        <v>2006</v>
      </c>
      <c r="G233" s="18">
        <v>38967</v>
      </c>
      <c r="H233" s="58" t="s">
        <v>379</v>
      </c>
      <c r="I233" s="64">
        <v>0</v>
      </c>
      <c r="J233" s="22" t="s">
        <v>388</v>
      </c>
      <c r="K233" s="17">
        <v>0</v>
      </c>
      <c r="L233" s="59">
        <v>1</v>
      </c>
      <c r="M233" s="50" t="s">
        <v>202</v>
      </c>
      <c r="N233" s="50" t="s">
        <v>2121</v>
      </c>
      <c r="O233" s="22"/>
      <c r="P233" s="22" t="s">
        <v>389</v>
      </c>
      <c r="Q233" s="29" t="s">
        <v>390</v>
      </c>
      <c r="R233" s="17">
        <v>1</v>
      </c>
      <c r="S233" s="17">
        <v>0</v>
      </c>
      <c r="T233" s="17">
        <v>0</v>
      </c>
      <c r="U233" s="17">
        <v>0</v>
      </c>
      <c r="V233" s="17">
        <v>0</v>
      </c>
      <c r="W233" s="88">
        <v>122</v>
      </c>
      <c r="X233" s="88">
        <v>7</v>
      </c>
      <c r="Y233" s="88">
        <v>0</v>
      </c>
      <c r="Z233" s="6">
        <f t="shared" si="22"/>
        <v>129</v>
      </c>
      <c r="AA233" s="11">
        <f t="shared" si="23"/>
        <v>0.94573643410852715</v>
      </c>
      <c r="AB233" s="11">
        <f t="shared" si="24"/>
        <v>5.4263565891472867E-2</v>
      </c>
      <c r="AC233" s="66">
        <f t="shared" si="25"/>
        <v>0.94573643410852715</v>
      </c>
      <c r="AD233" s="67">
        <f t="shared" si="26"/>
        <v>0.91860465116279066</v>
      </c>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row>
    <row r="234" spans="1:95" s="37" customFormat="1" ht="14.5" customHeight="1" x14ac:dyDescent="0.2">
      <c r="A234" s="84" t="s">
        <v>377</v>
      </c>
      <c r="B234" s="7">
        <v>0</v>
      </c>
      <c r="C234" s="4">
        <v>0</v>
      </c>
      <c r="D234" s="58" t="s">
        <v>391</v>
      </c>
      <c r="E234" s="58" t="s">
        <v>2996</v>
      </c>
      <c r="F234" s="64">
        <f t="shared" si="27"/>
        <v>2007</v>
      </c>
      <c r="G234" s="18">
        <v>39430</v>
      </c>
      <c r="H234" s="58" t="s">
        <v>379</v>
      </c>
      <c r="I234" s="64">
        <v>0</v>
      </c>
      <c r="J234" s="22" t="s">
        <v>392</v>
      </c>
      <c r="K234" s="17">
        <v>0</v>
      </c>
      <c r="L234" s="59">
        <v>1</v>
      </c>
      <c r="M234" s="22" t="s">
        <v>119</v>
      </c>
      <c r="N234" s="22" t="s">
        <v>2637</v>
      </c>
      <c r="O234" s="22" t="s">
        <v>393</v>
      </c>
      <c r="P234" s="22" t="s">
        <v>394</v>
      </c>
      <c r="Q234" s="29" t="s">
        <v>396</v>
      </c>
      <c r="R234" s="17">
        <v>1</v>
      </c>
      <c r="S234" s="17">
        <v>0</v>
      </c>
      <c r="T234" s="17">
        <v>0</v>
      </c>
      <c r="U234" s="17">
        <v>0</v>
      </c>
      <c r="V234" s="17">
        <v>0</v>
      </c>
      <c r="W234" s="88">
        <v>153</v>
      </c>
      <c r="X234" s="88">
        <v>22</v>
      </c>
      <c r="Y234" s="88">
        <v>0</v>
      </c>
      <c r="Z234" s="6">
        <f t="shared" si="22"/>
        <v>175</v>
      </c>
      <c r="AA234" s="11">
        <f t="shared" si="23"/>
        <v>0.87428571428571433</v>
      </c>
      <c r="AB234" s="11">
        <f t="shared" si="24"/>
        <v>0.12571428571428572</v>
      </c>
      <c r="AC234" s="66">
        <f t="shared" si="25"/>
        <v>0.87428571428571433</v>
      </c>
      <c r="AD234" s="67">
        <f t="shared" si="26"/>
        <v>0.81142857142857139</v>
      </c>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row>
    <row r="235" spans="1:95" s="37" customFormat="1" ht="14.5" customHeight="1" x14ac:dyDescent="0.2">
      <c r="A235" s="84" t="s">
        <v>377</v>
      </c>
      <c r="B235" s="7">
        <v>0</v>
      </c>
      <c r="C235" s="4">
        <v>0</v>
      </c>
      <c r="D235" s="58" t="s">
        <v>391</v>
      </c>
      <c r="E235" s="58" t="s">
        <v>2996</v>
      </c>
      <c r="F235" s="64">
        <f t="shared" si="27"/>
        <v>2007</v>
      </c>
      <c r="G235" s="18">
        <v>39430</v>
      </c>
      <c r="H235" s="58" t="s">
        <v>379</v>
      </c>
      <c r="I235" s="64">
        <v>0</v>
      </c>
      <c r="J235" s="22" t="s">
        <v>392</v>
      </c>
      <c r="K235" s="17">
        <v>0</v>
      </c>
      <c r="L235" s="59">
        <v>1</v>
      </c>
      <c r="M235" s="22" t="s">
        <v>119</v>
      </c>
      <c r="N235" s="22" t="s">
        <v>2637</v>
      </c>
      <c r="O235" s="22" t="s">
        <v>393</v>
      </c>
      <c r="P235" s="22" t="s">
        <v>394</v>
      </c>
      <c r="Q235" s="29" t="s">
        <v>395</v>
      </c>
      <c r="R235" s="17">
        <v>1</v>
      </c>
      <c r="S235" s="17">
        <v>0</v>
      </c>
      <c r="T235" s="17">
        <v>0</v>
      </c>
      <c r="U235" s="17">
        <v>0</v>
      </c>
      <c r="V235" s="17">
        <v>0</v>
      </c>
      <c r="W235" s="88">
        <v>158</v>
      </c>
      <c r="X235" s="88">
        <v>17</v>
      </c>
      <c r="Y235" s="88">
        <v>1</v>
      </c>
      <c r="Z235" s="6">
        <f t="shared" si="22"/>
        <v>176</v>
      </c>
      <c r="AA235" s="11">
        <f t="shared" si="23"/>
        <v>0.89772727272727271</v>
      </c>
      <c r="AB235" s="11">
        <f t="shared" si="24"/>
        <v>9.6590909090909088E-2</v>
      </c>
      <c r="AC235" s="66">
        <f t="shared" si="25"/>
        <v>0.89772727272727271</v>
      </c>
      <c r="AD235" s="67">
        <f t="shared" si="26"/>
        <v>0.84659090909090906</v>
      </c>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row>
    <row r="236" spans="1:95" ht="14.5" customHeight="1" x14ac:dyDescent="0.2">
      <c r="A236" s="84" t="s">
        <v>377</v>
      </c>
      <c r="B236" s="7">
        <v>0</v>
      </c>
      <c r="C236" s="4">
        <v>0</v>
      </c>
      <c r="D236" s="58" t="s">
        <v>391</v>
      </c>
      <c r="E236" s="58" t="s">
        <v>2996</v>
      </c>
      <c r="F236" s="64">
        <f t="shared" si="27"/>
        <v>2009</v>
      </c>
      <c r="G236" s="18">
        <v>39878</v>
      </c>
      <c r="H236" s="58" t="s">
        <v>379</v>
      </c>
      <c r="I236" s="64">
        <v>0</v>
      </c>
      <c r="J236" s="22" t="s">
        <v>397</v>
      </c>
      <c r="K236" s="17">
        <v>0</v>
      </c>
      <c r="L236" s="59">
        <v>1</v>
      </c>
      <c r="M236" s="22" t="s">
        <v>129</v>
      </c>
      <c r="N236" s="22" t="s">
        <v>422</v>
      </c>
      <c r="P236" s="22" t="s">
        <v>398</v>
      </c>
      <c r="Q236" s="29" t="s">
        <v>399</v>
      </c>
      <c r="R236" s="17">
        <v>1</v>
      </c>
      <c r="S236" s="17">
        <v>0</v>
      </c>
      <c r="T236" s="17">
        <v>0</v>
      </c>
      <c r="U236" s="17">
        <v>0</v>
      </c>
      <c r="V236" s="17">
        <v>0</v>
      </c>
      <c r="W236" s="88">
        <v>140</v>
      </c>
      <c r="X236" s="88">
        <v>14</v>
      </c>
      <c r="Y236" s="88">
        <v>1</v>
      </c>
      <c r="Z236" s="6">
        <f t="shared" si="22"/>
        <v>155</v>
      </c>
      <c r="AA236" s="11">
        <f t="shared" si="23"/>
        <v>0.90322580645161288</v>
      </c>
      <c r="AB236" s="11">
        <f t="shared" si="24"/>
        <v>9.0322580645161285E-2</v>
      </c>
      <c r="AC236" s="66">
        <f t="shared" si="25"/>
        <v>0.90322580645161288</v>
      </c>
      <c r="AD236" s="67">
        <f t="shared" si="26"/>
        <v>0.85483870967741937</v>
      </c>
    </row>
    <row r="237" spans="1:95" ht="14.5" customHeight="1" x14ac:dyDescent="0.2">
      <c r="A237" s="84" t="s">
        <v>377</v>
      </c>
      <c r="B237" s="7">
        <v>0</v>
      </c>
      <c r="C237" s="4">
        <v>0</v>
      </c>
      <c r="D237" s="58" t="s">
        <v>391</v>
      </c>
      <c r="E237" s="58" t="s">
        <v>2996</v>
      </c>
      <c r="F237" s="64">
        <f t="shared" si="27"/>
        <v>2010</v>
      </c>
      <c r="G237" s="18">
        <v>40277</v>
      </c>
      <c r="H237" s="58" t="s">
        <v>379</v>
      </c>
      <c r="I237" s="64">
        <v>0</v>
      </c>
      <c r="J237" s="22" t="s">
        <v>400</v>
      </c>
      <c r="K237" s="17">
        <v>0</v>
      </c>
      <c r="L237" s="59">
        <v>1</v>
      </c>
      <c r="M237" s="22" t="s">
        <v>129</v>
      </c>
      <c r="N237" s="22" t="s">
        <v>422</v>
      </c>
      <c r="P237" s="22" t="s">
        <v>401</v>
      </c>
      <c r="Q237" s="29" t="s">
        <v>402</v>
      </c>
      <c r="R237" s="17">
        <v>1</v>
      </c>
      <c r="S237" s="17">
        <v>0</v>
      </c>
      <c r="T237" s="17">
        <v>0</v>
      </c>
      <c r="U237" s="17">
        <v>0</v>
      </c>
      <c r="V237" s="17">
        <v>0</v>
      </c>
      <c r="W237" s="88">
        <v>149</v>
      </c>
      <c r="X237" s="88">
        <v>5</v>
      </c>
      <c r="Y237" s="88">
        <v>1</v>
      </c>
      <c r="Z237" s="6">
        <f t="shared" si="22"/>
        <v>155</v>
      </c>
      <c r="AA237" s="11">
        <f t="shared" si="23"/>
        <v>0.96129032258064517</v>
      </c>
      <c r="AB237" s="11">
        <f t="shared" si="24"/>
        <v>3.2258064516129031E-2</v>
      </c>
      <c r="AC237" s="66">
        <f t="shared" si="25"/>
        <v>0.96129032258064517</v>
      </c>
      <c r="AD237" s="67">
        <f t="shared" si="26"/>
        <v>0.9419354838709677</v>
      </c>
    </row>
    <row r="238" spans="1:95" ht="14.5" customHeight="1" x14ac:dyDescent="0.2">
      <c r="A238" s="84" t="s">
        <v>377</v>
      </c>
      <c r="B238" s="7">
        <v>0</v>
      </c>
      <c r="C238" s="4">
        <v>0</v>
      </c>
      <c r="D238" s="58" t="s">
        <v>391</v>
      </c>
      <c r="E238" s="58" t="s">
        <v>2996</v>
      </c>
      <c r="F238" s="64">
        <f t="shared" si="27"/>
        <v>2010</v>
      </c>
      <c r="G238" s="18">
        <v>40278</v>
      </c>
      <c r="H238" s="58" t="s">
        <v>379</v>
      </c>
      <c r="I238" s="64">
        <v>0</v>
      </c>
      <c r="J238" s="22" t="s">
        <v>400</v>
      </c>
      <c r="K238" s="17">
        <v>0</v>
      </c>
      <c r="L238" s="59">
        <v>1</v>
      </c>
      <c r="M238" s="22" t="s">
        <v>129</v>
      </c>
      <c r="N238" s="22" t="s">
        <v>422</v>
      </c>
      <c r="P238" s="22" t="s">
        <v>401</v>
      </c>
      <c r="Q238" s="29" t="s">
        <v>403</v>
      </c>
      <c r="R238" s="17">
        <v>1</v>
      </c>
      <c r="S238" s="17">
        <v>0</v>
      </c>
      <c r="T238" s="17">
        <v>0</v>
      </c>
      <c r="U238" s="17">
        <v>0</v>
      </c>
      <c r="V238" s="17">
        <v>0</v>
      </c>
      <c r="W238" s="88">
        <v>128</v>
      </c>
      <c r="X238" s="88">
        <v>26</v>
      </c>
      <c r="Y238" s="88">
        <v>0</v>
      </c>
      <c r="Z238" s="6">
        <f t="shared" si="22"/>
        <v>154</v>
      </c>
      <c r="AA238" s="11">
        <f t="shared" si="23"/>
        <v>0.83116883116883122</v>
      </c>
      <c r="AB238" s="11">
        <f t="shared" si="24"/>
        <v>0.16883116883116883</v>
      </c>
      <c r="AC238" s="66">
        <f t="shared" si="25"/>
        <v>0.83116883116883122</v>
      </c>
      <c r="AD238" s="67">
        <f t="shared" si="26"/>
        <v>0.74675324675324672</v>
      </c>
    </row>
    <row r="239" spans="1:95" ht="14.5" customHeight="1" x14ac:dyDescent="0.2">
      <c r="A239" s="84" t="s">
        <v>377</v>
      </c>
      <c r="B239" s="7">
        <v>0</v>
      </c>
      <c r="C239" s="4">
        <v>0</v>
      </c>
      <c r="D239" s="58" t="s">
        <v>391</v>
      </c>
      <c r="E239" s="58" t="s">
        <v>2996</v>
      </c>
      <c r="F239" s="64">
        <f t="shared" si="27"/>
        <v>2010</v>
      </c>
      <c r="G239" s="18">
        <v>40279</v>
      </c>
      <c r="H239" s="58" t="s">
        <v>379</v>
      </c>
      <c r="I239" s="64">
        <v>0</v>
      </c>
      <c r="J239" s="22" t="s">
        <v>400</v>
      </c>
      <c r="K239" s="17">
        <v>0</v>
      </c>
      <c r="L239" s="59">
        <v>1</v>
      </c>
      <c r="M239" s="22" t="s">
        <v>129</v>
      </c>
      <c r="N239" s="22" t="s">
        <v>422</v>
      </c>
      <c r="P239" s="22" t="s">
        <v>401</v>
      </c>
      <c r="Q239" s="29" t="s">
        <v>404</v>
      </c>
      <c r="R239" s="17">
        <v>1</v>
      </c>
      <c r="S239" s="17">
        <v>0</v>
      </c>
      <c r="T239" s="17">
        <v>0</v>
      </c>
      <c r="U239" s="17">
        <v>0</v>
      </c>
      <c r="V239" s="17">
        <v>0</v>
      </c>
      <c r="W239" s="88">
        <v>127</v>
      </c>
      <c r="X239" s="88">
        <v>27</v>
      </c>
      <c r="Y239" s="88">
        <v>2</v>
      </c>
      <c r="Z239" s="6">
        <f t="shared" si="22"/>
        <v>156</v>
      </c>
      <c r="AA239" s="11">
        <f t="shared" si="23"/>
        <v>0.8141025641025641</v>
      </c>
      <c r="AB239" s="11">
        <f t="shared" si="24"/>
        <v>0.17307692307692307</v>
      </c>
      <c r="AC239" s="66">
        <f t="shared" si="25"/>
        <v>0.8141025641025641</v>
      </c>
      <c r="AD239" s="67">
        <f t="shared" si="26"/>
        <v>0.72115384615384615</v>
      </c>
    </row>
    <row r="240" spans="1:95" ht="14.5" customHeight="1" x14ac:dyDescent="0.2">
      <c r="A240" s="84" t="s">
        <v>377</v>
      </c>
      <c r="B240" s="7">
        <v>0</v>
      </c>
      <c r="C240" s="4">
        <v>0</v>
      </c>
      <c r="D240" s="58" t="s">
        <v>405</v>
      </c>
      <c r="E240" s="58" t="s">
        <v>2996</v>
      </c>
      <c r="F240" s="64">
        <f t="shared" si="27"/>
        <v>2010</v>
      </c>
      <c r="G240" s="18">
        <v>40508</v>
      </c>
      <c r="H240" s="58" t="s">
        <v>379</v>
      </c>
      <c r="I240" s="64">
        <v>0</v>
      </c>
      <c r="J240" s="22" t="s">
        <v>406</v>
      </c>
      <c r="K240" s="17">
        <v>0</v>
      </c>
      <c r="L240" s="59">
        <v>1</v>
      </c>
      <c r="M240" s="22" t="s">
        <v>2860</v>
      </c>
      <c r="N240" s="54" t="s">
        <v>2631</v>
      </c>
      <c r="P240" s="22" t="s">
        <v>407</v>
      </c>
      <c r="Q240" s="29" t="s">
        <v>408</v>
      </c>
      <c r="R240" s="17">
        <v>1</v>
      </c>
      <c r="S240" s="17">
        <v>0</v>
      </c>
      <c r="T240" s="17">
        <v>0</v>
      </c>
      <c r="U240" s="17">
        <v>0</v>
      </c>
      <c r="V240" s="17">
        <v>0</v>
      </c>
      <c r="W240" s="88">
        <v>155</v>
      </c>
      <c r="X240" s="88">
        <v>11</v>
      </c>
      <c r="Y240" s="88">
        <v>4</v>
      </c>
      <c r="Z240" s="6">
        <f t="shared" si="22"/>
        <v>170</v>
      </c>
      <c r="AA240" s="11">
        <f t="shared" si="23"/>
        <v>0.91176470588235292</v>
      </c>
      <c r="AB240" s="11">
        <f t="shared" si="24"/>
        <v>6.4705882352941183E-2</v>
      </c>
      <c r="AC240" s="66">
        <f t="shared" si="25"/>
        <v>0.91176470588235292</v>
      </c>
      <c r="AD240" s="67">
        <f t="shared" si="26"/>
        <v>0.86764705882352944</v>
      </c>
    </row>
    <row r="241" spans="1:32" ht="14.5" customHeight="1" x14ac:dyDescent="0.2">
      <c r="A241" s="84" t="s">
        <v>377</v>
      </c>
      <c r="B241" s="7">
        <v>0</v>
      </c>
      <c r="C241" s="4">
        <v>0</v>
      </c>
      <c r="D241" s="58" t="s">
        <v>409</v>
      </c>
      <c r="E241" s="58" t="s">
        <v>2997</v>
      </c>
      <c r="F241" s="64">
        <f t="shared" si="27"/>
        <v>2014</v>
      </c>
      <c r="G241" s="18">
        <v>41985</v>
      </c>
      <c r="H241" s="58" t="s">
        <v>379</v>
      </c>
      <c r="I241" s="64">
        <v>0</v>
      </c>
      <c r="J241" s="22" t="s">
        <v>410</v>
      </c>
      <c r="K241" s="17">
        <v>0</v>
      </c>
      <c r="L241" s="59">
        <v>1</v>
      </c>
      <c r="M241" s="22" t="s">
        <v>2555</v>
      </c>
      <c r="N241" s="22" t="s">
        <v>422</v>
      </c>
      <c r="P241" s="22" t="s">
        <v>411</v>
      </c>
      <c r="Q241" s="29" t="s">
        <v>412</v>
      </c>
      <c r="R241" s="17">
        <v>1</v>
      </c>
      <c r="S241" s="17">
        <v>0</v>
      </c>
      <c r="T241" s="17">
        <v>0</v>
      </c>
      <c r="U241" s="17">
        <v>0</v>
      </c>
      <c r="V241" s="17">
        <v>0</v>
      </c>
      <c r="W241" s="88">
        <v>187</v>
      </c>
      <c r="X241" s="88">
        <v>4</v>
      </c>
      <c r="Y241" s="88">
        <v>1</v>
      </c>
      <c r="Z241" s="6">
        <f t="shared" si="22"/>
        <v>192</v>
      </c>
      <c r="AA241" s="11">
        <f t="shared" si="23"/>
        <v>0.97395833333333337</v>
      </c>
      <c r="AB241" s="11">
        <f t="shared" si="24"/>
        <v>2.0833333333333332E-2</v>
      </c>
      <c r="AC241" s="66">
        <f t="shared" si="25"/>
        <v>0.97395833333333337</v>
      </c>
      <c r="AD241" s="67">
        <f t="shared" si="26"/>
        <v>0.9609375</v>
      </c>
    </row>
    <row r="242" spans="1:32" ht="14.5" customHeight="1" x14ac:dyDescent="0.2">
      <c r="A242" s="84" t="s">
        <v>377</v>
      </c>
      <c r="B242" s="7">
        <v>0</v>
      </c>
      <c r="C242" s="4">
        <v>0</v>
      </c>
      <c r="D242" s="58" t="s">
        <v>409</v>
      </c>
      <c r="E242" s="58" t="s">
        <v>2997</v>
      </c>
      <c r="F242" s="64">
        <f t="shared" si="27"/>
        <v>2015</v>
      </c>
      <c r="G242" s="18">
        <v>42076</v>
      </c>
      <c r="H242" s="58" t="s">
        <v>379</v>
      </c>
      <c r="I242" s="64">
        <v>0</v>
      </c>
      <c r="J242" s="22" t="s">
        <v>413</v>
      </c>
      <c r="K242" s="17">
        <v>0</v>
      </c>
      <c r="L242" s="59">
        <v>1</v>
      </c>
      <c r="M242" s="48" t="s">
        <v>2544</v>
      </c>
      <c r="N242" s="22" t="s">
        <v>2121</v>
      </c>
      <c r="P242" s="22" t="s">
        <v>414</v>
      </c>
      <c r="Q242" s="29" t="s">
        <v>415</v>
      </c>
      <c r="R242" s="17">
        <v>1</v>
      </c>
      <c r="S242" s="17">
        <v>0</v>
      </c>
      <c r="T242" s="17">
        <v>0</v>
      </c>
      <c r="U242" s="17">
        <v>0</v>
      </c>
      <c r="V242" s="17">
        <v>0</v>
      </c>
      <c r="W242" s="88">
        <v>185</v>
      </c>
      <c r="X242" s="88">
        <v>3</v>
      </c>
      <c r="Y242" s="88">
        <v>1</v>
      </c>
      <c r="Z242" s="6">
        <f t="shared" si="22"/>
        <v>189</v>
      </c>
      <c r="AA242" s="11">
        <f t="shared" si="23"/>
        <v>0.97883597883597884</v>
      </c>
      <c r="AB242" s="11">
        <f t="shared" si="24"/>
        <v>1.5873015873015872E-2</v>
      </c>
      <c r="AC242" s="66">
        <f t="shared" si="25"/>
        <v>0.97883597883597884</v>
      </c>
      <c r="AD242" s="67">
        <f t="shared" si="26"/>
        <v>0.96825396825396826</v>
      </c>
    </row>
    <row r="243" spans="1:32" ht="14.5" customHeight="1" x14ac:dyDescent="0.2">
      <c r="A243" t="s">
        <v>416</v>
      </c>
      <c r="B243" s="17">
        <v>1</v>
      </c>
      <c r="C243" s="17">
        <v>1</v>
      </c>
      <c r="D243" s="58" t="s">
        <v>417</v>
      </c>
      <c r="E243" s="58" t="s">
        <v>2998</v>
      </c>
      <c r="F243" s="64">
        <f t="shared" si="27"/>
        <v>1991</v>
      </c>
      <c r="G243" s="28">
        <v>33254</v>
      </c>
      <c r="H243" s="58" t="s">
        <v>2984</v>
      </c>
      <c r="I243" s="64">
        <v>0</v>
      </c>
      <c r="J243" s="22" t="s">
        <v>418</v>
      </c>
      <c r="K243" s="17">
        <v>0</v>
      </c>
      <c r="L243" s="59">
        <v>1</v>
      </c>
      <c r="M243" t="s">
        <v>23</v>
      </c>
      <c r="N243" s="48" t="s">
        <v>2121</v>
      </c>
      <c r="Q243" s="22" t="s">
        <v>419</v>
      </c>
      <c r="R243" s="17">
        <v>1</v>
      </c>
      <c r="S243" s="17">
        <v>0</v>
      </c>
      <c r="T243" s="17">
        <v>0</v>
      </c>
      <c r="U243" s="17">
        <v>0</v>
      </c>
      <c r="V243" s="17">
        <v>0</v>
      </c>
      <c r="W243" s="64">
        <v>523</v>
      </c>
      <c r="X243" s="64">
        <v>43</v>
      </c>
      <c r="Y243" s="64">
        <v>0</v>
      </c>
      <c r="Z243" s="6">
        <f t="shared" si="22"/>
        <v>566</v>
      </c>
      <c r="AA243" s="11">
        <f t="shared" si="23"/>
        <v>0.92402826855123676</v>
      </c>
      <c r="AB243" s="11">
        <f t="shared" si="24"/>
        <v>7.5971731448763249E-2</v>
      </c>
      <c r="AC243" s="66">
        <f t="shared" si="25"/>
        <v>0.92402826855123676</v>
      </c>
      <c r="AD243" s="67">
        <f t="shared" si="26"/>
        <v>0.88604240282685509</v>
      </c>
      <c r="AF243" s="36"/>
    </row>
    <row r="244" spans="1:32" ht="14.5" customHeight="1" x14ac:dyDescent="0.2">
      <c r="A244" t="s">
        <v>416</v>
      </c>
      <c r="B244" s="17">
        <v>1</v>
      </c>
      <c r="C244" s="17">
        <v>1</v>
      </c>
      <c r="D244" s="58" t="s">
        <v>420</v>
      </c>
      <c r="E244" s="58" t="s">
        <v>2999</v>
      </c>
      <c r="F244" s="64">
        <f t="shared" si="27"/>
        <v>2008</v>
      </c>
      <c r="G244" s="28">
        <v>39713</v>
      </c>
      <c r="H244" s="58" t="s">
        <v>2985</v>
      </c>
      <c r="I244" s="64">
        <v>0</v>
      </c>
      <c r="J244" s="22" t="s">
        <v>421</v>
      </c>
      <c r="K244" s="17">
        <v>0</v>
      </c>
      <c r="L244" s="59">
        <v>1</v>
      </c>
      <c r="M244" t="s">
        <v>422</v>
      </c>
      <c r="N244" t="s">
        <v>422</v>
      </c>
      <c r="P244" s="22" t="s">
        <v>423</v>
      </c>
      <c r="Q244" s="22" t="s">
        <v>424</v>
      </c>
      <c r="R244" s="17">
        <v>1</v>
      </c>
      <c r="S244" s="17">
        <v>0</v>
      </c>
      <c r="T244" s="17">
        <v>0</v>
      </c>
      <c r="U244" s="17">
        <v>0</v>
      </c>
      <c r="V244" s="17">
        <v>0</v>
      </c>
      <c r="W244" s="64">
        <v>209</v>
      </c>
      <c r="X244" s="64">
        <v>119</v>
      </c>
      <c r="Y244" s="64">
        <v>0</v>
      </c>
      <c r="Z244" s="6">
        <f t="shared" si="22"/>
        <v>328</v>
      </c>
      <c r="AA244" s="11">
        <f t="shared" si="23"/>
        <v>0.63719512195121952</v>
      </c>
      <c r="AB244" s="11">
        <f t="shared" si="24"/>
        <v>0.36280487804878048</v>
      </c>
      <c r="AC244" s="66">
        <f t="shared" si="25"/>
        <v>0.63719512195121952</v>
      </c>
      <c r="AD244" s="67">
        <f t="shared" si="26"/>
        <v>0.45579268292682928</v>
      </c>
    </row>
    <row r="245" spans="1:32" ht="14.5" customHeight="1" x14ac:dyDescent="0.2">
      <c r="A245" t="s">
        <v>416</v>
      </c>
      <c r="B245" s="17">
        <v>1</v>
      </c>
      <c r="C245" s="17">
        <v>1</v>
      </c>
      <c r="D245" s="58" t="s">
        <v>420</v>
      </c>
      <c r="E245" s="58" t="s">
        <v>2999</v>
      </c>
      <c r="F245" s="64">
        <f t="shared" si="27"/>
        <v>2008</v>
      </c>
      <c r="G245" s="28">
        <v>39713</v>
      </c>
      <c r="H245" s="58" t="s">
        <v>2984</v>
      </c>
      <c r="I245" s="64">
        <v>0</v>
      </c>
      <c r="J245" s="22" t="s">
        <v>425</v>
      </c>
      <c r="K245" s="17">
        <v>0</v>
      </c>
      <c r="L245" s="59">
        <v>1</v>
      </c>
      <c r="M245" t="s">
        <v>422</v>
      </c>
      <c r="N245" t="s">
        <v>422</v>
      </c>
      <c r="P245" s="19" t="s">
        <v>426</v>
      </c>
      <c r="Q245" s="29" t="s">
        <v>427</v>
      </c>
      <c r="R245" s="17">
        <v>1</v>
      </c>
      <c r="S245" s="17">
        <v>0</v>
      </c>
      <c r="T245" s="17">
        <v>0</v>
      </c>
      <c r="U245" s="17">
        <v>0</v>
      </c>
      <c r="V245" s="17">
        <v>0</v>
      </c>
      <c r="W245" s="64">
        <v>343</v>
      </c>
      <c r="X245" s="64">
        <v>210</v>
      </c>
      <c r="Y245" s="64">
        <v>10</v>
      </c>
      <c r="Z245" s="6">
        <f t="shared" si="22"/>
        <v>563</v>
      </c>
      <c r="AA245" s="11">
        <f t="shared" si="23"/>
        <v>0.60923623445825936</v>
      </c>
      <c r="AB245" s="11">
        <f t="shared" si="24"/>
        <v>0.37300177619893427</v>
      </c>
      <c r="AC245" s="66">
        <f t="shared" si="25"/>
        <v>0.60923623445825936</v>
      </c>
      <c r="AD245" s="67">
        <f t="shared" si="26"/>
        <v>0.41385435168738899</v>
      </c>
    </row>
    <row r="246" spans="1:32" ht="14.5" customHeight="1" x14ac:dyDescent="0.2">
      <c r="A246" t="s">
        <v>416</v>
      </c>
      <c r="B246" s="17">
        <v>1</v>
      </c>
      <c r="C246" s="17">
        <v>1</v>
      </c>
      <c r="D246" s="58" t="s">
        <v>420</v>
      </c>
      <c r="E246" s="58" t="s">
        <v>2999</v>
      </c>
      <c r="F246" s="64">
        <f t="shared" si="27"/>
        <v>2009</v>
      </c>
      <c r="G246" s="28">
        <v>39841</v>
      </c>
      <c r="H246" s="58" t="s">
        <v>2984</v>
      </c>
      <c r="I246" s="64">
        <v>0</v>
      </c>
      <c r="J246" s="89" t="s">
        <v>2964</v>
      </c>
      <c r="K246" s="17">
        <v>0</v>
      </c>
      <c r="L246" s="59">
        <v>0</v>
      </c>
      <c r="M246" s="22" t="s">
        <v>706</v>
      </c>
      <c r="N246" s="22" t="s">
        <v>2629</v>
      </c>
      <c r="P246" s="19" t="s">
        <v>2967</v>
      </c>
      <c r="Q246" s="29" t="s">
        <v>2966</v>
      </c>
      <c r="R246" s="17">
        <v>1</v>
      </c>
      <c r="S246" s="17">
        <v>0</v>
      </c>
      <c r="T246" s="17">
        <v>1</v>
      </c>
      <c r="U246" s="17">
        <v>0</v>
      </c>
      <c r="V246" s="17">
        <v>0</v>
      </c>
      <c r="W246" s="64" t="s">
        <v>26</v>
      </c>
      <c r="X246" s="64" t="s">
        <v>26</v>
      </c>
      <c r="Y246" s="64" t="s">
        <v>26</v>
      </c>
      <c r="Z246" s="6"/>
      <c r="AA246" s="11"/>
      <c r="AB246" s="11"/>
      <c r="AC246" s="66"/>
      <c r="AD246" s="67"/>
    </row>
    <row r="247" spans="1:32" ht="14.5" customHeight="1" x14ac:dyDescent="0.2">
      <c r="A247" t="s">
        <v>416</v>
      </c>
      <c r="B247" s="17">
        <v>1</v>
      </c>
      <c r="C247" s="17">
        <v>1</v>
      </c>
      <c r="D247" s="58" t="s">
        <v>420</v>
      </c>
      <c r="E247" s="58" t="s">
        <v>2999</v>
      </c>
      <c r="F247" s="64">
        <f t="shared" si="27"/>
        <v>2009</v>
      </c>
      <c r="G247" s="28">
        <v>39841</v>
      </c>
      <c r="H247" s="58" t="s">
        <v>2984</v>
      </c>
      <c r="I247" s="64">
        <v>0</v>
      </c>
      <c r="J247" s="89" t="s">
        <v>2962</v>
      </c>
      <c r="K247" s="17">
        <v>0</v>
      </c>
      <c r="L247" s="59">
        <v>0</v>
      </c>
      <c r="M247" s="58" t="s">
        <v>165</v>
      </c>
      <c r="N247" s="24" t="s">
        <v>2630</v>
      </c>
      <c r="P247" s="19" t="s">
        <v>2967</v>
      </c>
      <c r="Q247" s="29" t="s">
        <v>2966</v>
      </c>
      <c r="R247" s="17">
        <v>1</v>
      </c>
      <c r="S247" s="17">
        <v>0</v>
      </c>
      <c r="T247" s="17">
        <v>1</v>
      </c>
      <c r="U247" s="17">
        <v>0</v>
      </c>
      <c r="V247" s="17">
        <v>0</v>
      </c>
      <c r="W247" s="64" t="s">
        <v>26</v>
      </c>
      <c r="X247" s="64" t="s">
        <v>26</v>
      </c>
      <c r="Y247" s="64" t="s">
        <v>26</v>
      </c>
      <c r="Z247" s="6"/>
      <c r="AA247" s="11"/>
      <c r="AB247" s="11"/>
      <c r="AC247" s="66"/>
      <c r="AD247" s="67"/>
    </row>
    <row r="248" spans="1:32" ht="14.5" customHeight="1" x14ac:dyDescent="0.2">
      <c r="A248" t="s">
        <v>416</v>
      </c>
      <c r="B248" s="17">
        <v>1</v>
      </c>
      <c r="C248" s="17">
        <v>1</v>
      </c>
      <c r="D248" s="58" t="s">
        <v>420</v>
      </c>
      <c r="E248" s="58" t="s">
        <v>2999</v>
      </c>
      <c r="F248" s="64">
        <f t="shared" si="27"/>
        <v>2009</v>
      </c>
      <c r="G248" s="28">
        <v>39841</v>
      </c>
      <c r="H248" s="58" t="s">
        <v>2984</v>
      </c>
      <c r="I248" s="64">
        <v>0</v>
      </c>
      <c r="J248" s="89" t="s">
        <v>2965</v>
      </c>
      <c r="K248" s="17">
        <v>0</v>
      </c>
      <c r="L248" s="59">
        <v>0</v>
      </c>
      <c r="M248" s="22" t="s">
        <v>119</v>
      </c>
      <c r="N248" s="58" t="s">
        <v>2635</v>
      </c>
      <c r="O248" s="58" t="s">
        <v>432</v>
      </c>
      <c r="P248" s="19" t="s">
        <v>2967</v>
      </c>
      <c r="Q248" s="29" t="s">
        <v>2966</v>
      </c>
      <c r="R248" s="17">
        <v>1</v>
      </c>
      <c r="S248" s="17">
        <v>0</v>
      </c>
      <c r="T248" s="17">
        <v>1</v>
      </c>
      <c r="U248" s="17">
        <v>0</v>
      </c>
      <c r="V248" s="17">
        <v>0</v>
      </c>
      <c r="W248" s="64" t="s">
        <v>26</v>
      </c>
      <c r="X248" s="64" t="s">
        <v>26</v>
      </c>
      <c r="Y248" s="64" t="s">
        <v>26</v>
      </c>
      <c r="Z248" s="6"/>
      <c r="AA248" s="11"/>
      <c r="AB248" s="11"/>
      <c r="AC248" s="66"/>
      <c r="AD248" s="67"/>
    </row>
    <row r="249" spans="1:32" ht="14.5" customHeight="1" x14ac:dyDescent="0.2">
      <c r="A249" t="s">
        <v>416</v>
      </c>
      <c r="B249" s="17">
        <v>1</v>
      </c>
      <c r="C249" s="17">
        <v>1</v>
      </c>
      <c r="D249" s="58" t="s">
        <v>420</v>
      </c>
      <c r="E249" s="58" t="s">
        <v>2999</v>
      </c>
      <c r="F249" s="64">
        <f t="shared" si="27"/>
        <v>2009</v>
      </c>
      <c r="G249" s="28">
        <v>39841</v>
      </c>
      <c r="H249" s="58" t="s">
        <v>2984</v>
      </c>
      <c r="I249" s="64">
        <v>0</v>
      </c>
      <c r="J249" s="89" t="s">
        <v>2963</v>
      </c>
      <c r="K249" s="17">
        <v>0</v>
      </c>
      <c r="L249" s="59">
        <v>0</v>
      </c>
      <c r="M249" s="58" t="s">
        <v>202</v>
      </c>
      <c r="N249" s="50" t="s">
        <v>2121</v>
      </c>
      <c r="P249" s="19" t="s">
        <v>2967</v>
      </c>
      <c r="Q249" s="29" t="s">
        <v>2966</v>
      </c>
      <c r="R249" s="17">
        <v>1</v>
      </c>
      <c r="S249" s="17">
        <v>0</v>
      </c>
      <c r="T249" s="17">
        <v>1</v>
      </c>
      <c r="U249" s="17">
        <v>0</v>
      </c>
      <c r="V249" s="17">
        <v>0</v>
      </c>
      <c r="W249" s="64" t="s">
        <v>26</v>
      </c>
      <c r="X249" s="64" t="s">
        <v>26</v>
      </c>
      <c r="Y249" s="64" t="s">
        <v>26</v>
      </c>
      <c r="Z249" s="6"/>
      <c r="AA249" s="11"/>
      <c r="AB249" s="11"/>
      <c r="AC249" s="66"/>
      <c r="AD249" s="67"/>
    </row>
    <row r="250" spans="1:32" ht="14.5" customHeight="1" x14ac:dyDescent="0.2">
      <c r="A250" t="s">
        <v>416</v>
      </c>
      <c r="B250" s="17">
        <v>1</v>
      </c>
      <c r="C250" s="17">
        <v>1</v>
      </c>
      <c r="D250" s="58" t="s">
        <v>420</v>
      </c>
      <c r="E250" s="58" t="s">
        <v>2999</v>
      </c>
      <c r="F250" s="64">
        <f t="shared" si="27"/>
        <v>2009</v>
      </c>
      <c r="G250" s="28">
        <v>39841</v>
      </c>
      <c r="H250" s="58" t="s">
        <v>2984</v>
      </c>
      <c r="I250" s="64">
        <v>0</v>
      </c>
      <c r="J250" s="90" t="s">
        <v>2961</v>
      </c>
      <c r="K250" s="17">
        <v>0</v>
      </c>
      <c r="L250" s="59">
        <v>0</v>
      </c>
      <c r="M250" s="58" t="s">
        <v>436</v>
      </c>
      <c r="N250" s="58" t="s">
        <v>2629</v>
      </c>
      <c r="P250" s="19" t="s">
        <v>2967</v>
      </c>
      <c r="Q250" s="29" t="s">
        <v>2966</v>
      </c>
      <c r="R250" s="17">
        <v>1</v>
      </c>
      <c r="S250" s="17">
        <v>0</v>
      </c>
      <c r="T250" s="17">
        <v>1</v>
      </c>
      <c r="U250" s="17">
        <v>0</v>
      </c>
      <c r="V250" s="17">
        <v>0</v>
      </c>
      <c r="W250" s="64" t="s">
        <v>26</v>
      </c>
      <c r="X250" s="64" t="s">
        <v>26</v>
      </c>
      <c r="Y250" s="64" t="s">
        <v>26</v>
      </c>
      <c r="Z250" s="6"/>
      <c r="AA250" s="11"/>
      <c r="AB250" s="11"/>
      <c r="AC250" s="66"/>
      <c r="AD250" s="67"/>
    </row>
    <row r="251" spans="1:32" ht="14.5" customHeight="1" x14ac:dyDescent="0.2">
      <c r="A251" t="s">
        <v>416</v>
      </c>
      <c r="B251" s="17">
        <v>1</v>
      </c>
      <c r="C251" s="17">
        <v>1</v>
      </c>
      <c r="D251" s="58" t="s">
        <v>420</v>
      </c>
      <c r="E251" s="58" t="s">
        <v>2999</v>
      </c>
      <c r="F251" s="64">
        <f t="shared" si="27"/>
        <v>2009</v>
      </c>
      <c r="G251" s="28">
        <v>39841</v>
      </c>
      <c r="H251" s="58" t="s">
        <v>2985</v>
      </c>
      <c r="I251" s="64">
        <v>0</v>
      </c>
      <c r="J251" s="22" t="s">
        <v>428</v>
      </c>
      <c r="K251" s="17">
        <v>0</v>
      </c>
      <c r="L251" s="59">
        <v>1</v>
      </c>
      <c r="M251" s="22" t="s">
        <v>706</v>
      </c>
      <c r="N251" s="22" t="s">
        <v>2629</v>
      </c>
      <c r="O251" s="58"/>
      <c r="P251" s="19" t="s">
        <v>429</v>
      </c>
      <c r="Q251" s="29" t="s">
        <v>430</v>
      </c>
      <c r="R251" s="17">
        <v>1</v>
      </c>
      <c r="S251" s="17">
        <v>0</v>
      </c>
      <c r="T251" s="17">
        <v>0</v>
      </c>
      <c r="U251" s="17">
        <v>0</v>
      </c>
      <c r="V251" s="17">
        <v>0</v>
      </c>
      <c r="W251" s="64">
        <v>200</v>
      </c>
      <c r="X251" s="64">
        <v>24</v>
      </c>
      <c r="Y251" s="64">
        <v>0</v>
      </c>
      <c r="Z251" s="6">
        <f t="shared" ref="Z251:Z265" si="28">SUM(W251:Y251)</f>
        <v>224</v>
      </c>
      <c r="AA251" s="11">
        <f t="shared" ref="AA251:AA314" si="29">W251/Z251</f>
        <v>0.8928571428571429</v>
      </c>
      <c r="AB251" s="11">
        <f t="shared" ref="AB251:AB314" si="30">X251/Z251</f>
        <v>0.10714285714285714</v>
      </c>
      <c r="AC251" s="66">
        <f t="shared" ref="AC251:AC314" si="31">IF(K251=1,AB251,AA251)</f>
        <v>0.8928571428571429</v>
      </c>
      <c r="AD251" s="67">
        <f t="shared" ref="AD251:AD314" si="32">SUM((MAX(W251,X251,Y251)-0.5*(SUM(W251+X251+Y251)-MAX(W251,X251,Y251)))/SUM(W251+X251+Y251))</f>
        <v>0.8392857142857143</v>
      </c>
    </row>
    <row r="252" spans="1:32" ht="14.5" customHeight="1" x14ac:dyDescent="0.2">
      <c r="A252" t="s">
        <v>416</v>
      </c>
      <c r="B252" s="17">
        <v>1</v>
      </c>
      <c r="C252" s="17">
        <v>1</v>
      </c>
      <c r="D252" s="58" t="s">
        <v>420</v>
      </c>
      <c r="E252" s="58" t="s">
        <v>2999</v>
      </c>
      <c r="F252" s="64">
        <f t="shared" si="27"/>
        <v>2009</v>
      </c>
      <c r="G252" s="28">
        <v>39841</v>
      </c>
      <c r="H252" s="58" t="s">
        <v>2985</v>
      </c>
      <c r="I252" s="64">
        <v>0</v>
      </c>
      <c r="J252" s="22" t="s">
        <v>439</v>
      </c>
      <c r="K252" s="17">
        <v>0</v>
      </c>
      <c r="L252" s="59">
        <v>1</v>
      </c>
      <c r="M252" s="58" t="s">
        <v>165</v>
      </c>
      <c r="N252" s="24" t="s">
        <v>2630</v>
      </c>
      <c r="P252" s="19" t="s">
        <v>440</v>
      </c>
      <c r="Q252" s="29" t="s">
        <v>441</v>
      </c>
      <c r="R252" s="17">
        <v>1</v>
      </c>
      <c r="S252" s="17">
        <v>0</v>
      </c>
      <c r="T252" s="17">
        <v>0</v>
      </c>
      <c r="U252" s="17">
        <v>0</v>
      </c>
      <c r="V252" s="17">
        <v>0</v>
      </c>
      <c r="W252" s="64">
        <v>198</v>
      </c>
      <c r="X252" s="64">
        <v>25</v>
      </c>
      <c r="Y252" s="64">
        <v>3</v>
      </c>
      <c r="Z252" s="6">
        <f t="shared" si="28"/>
        <v>226</v>
      </c>
      <c r="AA252" s="11">
        <f t="shared" si="29"/>
        <v>0.87610619469026552</v>
      </c>
      <c r="AB252" s="11">
        <f t="shared" si="30"/>
        <v>0.11061946902654868</v>
      </c>
      <c r="AC252" s="66">
        <f t="shared" si="31"/>
        <v>0.87610619469026552</v>
      </c>
      <c r="AD252" s="67">
        <f t="shared" si="32"/>
        <v>0.81415929203539827</v>
      </c>
    </row>
    <row r="253" spans="1:32" ht="14.5" customHeight="1" x14ac:dyDescent="0.2">
      <c r="A253" t="s">
        <v>416</v>
      </c>
      <c r="B253" s="17">
        <v>1</v>
      </c>
      <c r="C253" s="17">
        <v>1</v>
      </c>
      <c r="D253" s="58" t="s">
        <v>420</v>
      </c>
      <c r="E253" s="58" t="s">
        <v>2999</v>
      </c>
      <c r="F253" s="64">
        <f t="shared" si="27"/>
        <v>2009</v>
      </c>
      <c r="G253" s="28">
        <v>39841</v>
      </c>
      <c r="H253" s="58" t="s">
        <v>2985</v>
      </c>
      <c r="I253" s="64">
        <v>0</v>
      </c>
      <c r="J253" s="22" t="s">
        <v>431</v>
      </c>
      <c r="K253" s="17">
        <v>0</v>
      </c>
      <c r="L253" s="59">
        <v>1</v>
      </c>
      <c r="M253" s="22" t="s">
        <v>119</v>
      </c>
      <c r="N253" s="58" t="s">
        <v>2635</v>
      </c>
      <c r="O253" s="58" t="s">
        <v>432</v>
      </c>
      <c r="P253" s="19" t="s">
        <v>433</v>
      </c>
      <c r="Q253" s="29" t="s">
        <v>434</v>
      </c>
      <c r="R253" s="17">
        <v>1</v>
      </c>
      <c r="S253" s="17">
        <v>0</v>
      </c>
      <c r="T253" s="17">
        <v>0</v>
      </c>
      <c r="U253" s="17">
        <v>0</v>
      </c>
      <c r="V253" s="17">
        <v>0</v>
      </c>
      <c r="W253" s="64">
        <v>201</v>
      </c>
      <c r="X253" s="64">
        <v>24</v>
      </c>
      <c r="Y253" s="64">
        <v>0</v>
      </c>
      <c r="Z253" s="6">
        <f t="shared" si="28"/>
        <v>225</v>
      </c>
      <c r="AA253" s="11">
        <f t="shared" si="29"/>
        <v>0.89333333333333331</v>
      </c>
      <c r="AB253" s="11">
        <f t="shared" si="30"/>
        <v>0.10666666666666667</v>
      </c>
      <c r="AC253" s="66">
        <f t="shared" si="31"/>
        <v>0.89333333333333331</v>
      </c>
      <c r="AD253" s="67">
        <f t="shared" si="32"/>
        <v>0.84</v>
      </c>
    </row>
    <row r="254" spans="1:32" ht="14.5" customHeight="1" x14ac:dyDescent="0.2">
      <c r="A254" t="s">
        <v>416</v>
      </c>
      <c r="B254" s="17">
        <v>1</v>
      </c>
      <c r="C254" s="17">
        <v>1</v>
      </c>
      <c r="D254" s="58" t="s">
        <v>420</v>
      </c>
      <c r="E254" s="58" t="s">
        <v>2999</v>
      </c>
      <c r="F254" s="64">
        <f t="shared" si="27"/>
        <v>2009</v>
      </c>
      <c r="G254" s="28">
        <v>39841</v>
      </c>
      <c r="H254" s="58" t="s">
        <v>2985</v>
      </c>
      <c r="I254" s="64">
        <v>0</v>
      </c>
      <c r="J254" s="22" t="s">
        <v>442</v>
      </c>
      <c r="K254" s="17">
        <v>0</v>
      </c>
      <c r="L254" s="59">
        <v>1</v>
      </c>
      <c r="M254" s="58" t="s">
        <v>202</v>
      </c>
      <c r="N254" s="50" t="s">
        <v>2121</v>
      </c>
      <c r="P254" s="19" t="s">
        <v>443</v>
      </c>
      <c r="Q254" s="29" t="s">
        <v>444</v>
      </c>
      <c r="R254" s="17">
        <v>1</v>
      </c>
      <c r="S254" s="17">
        <v>0</v>
      </c>
      <c r="T254" s="17">
        <v>0</v>
      </c>
      <c r="U254" s="17">
        <v>0</v>
      </c>
      <c r="V254" s="17">
        <v>0</v>
      </c>
      <c r="W254" s="64">
        <v>226</v>
      </c>
      <c r="X254" s="64">
        <v>0</v>
      </c>
      <c r="Y254" s="64">
        <v>0</v>
      </c>
      <c r="Z254" s="6">
        <f t="shared" si="28"/>
        <v>226</v>
      </c>
      <c r="AA254" s="11">
        <f t="shared" si="29"/>
        <v>1</v>
      </c>
      <c r="AB254" s="11">
        <f t="shared" si="30"/>
        <v>0</v>
      </c>
      <c r="AC254" s="66">
        <f t="shared" si="31"/>
        <v>1</v>
      </c>
      <c r="AD254" s="67">
        <f t="shared" si="32"/>
        <v>1</v>
      </c>
    </row>
    <row r="255" spans="1:32" ht="14.5" customHeight="1" x14ac:dyDescent="0.2">
      <c r="A255" t="s">
        <v>416</v>
      </c>
      <c r="B255" s="17">
        <v>1</v>
      </c>
      <c r="C255" s="17">
        <v>1</v>
      </c>
      <c r="D255" s="58" t="s">
        <v>420</v>
      </c>
      <c r="E255" s="58" t="s">
        <v>2999</v>
      </c>
      <c r="F255" s="64">
        <f t="shared" si="27"/>
        <v>2009</v>
      </c>
      <c r="G255" s="28">
        <v>39841</v>
      </c>
      <c r="H255" s="58" t="s">
        <v>2985</v>
      </c>
      <c r="I255" s="64">
        <v>0</v>
      </c>
      <c r="J255" s="22" t="s">
        <v>435</v>
      </c>
      <c r="K255" s="17">
        <v>0</v>
      </c>
      <c r="L255" s="59">
        <v>1</v>
      </c>
      <c r="M255" s="58" t="s">
        <v>436</v>
      </c>
      <c r="N255" s="58" t="s">
        <v>2629</v>
      </c>
      <c r="P255" s="19" t="s">
        <v>437</v>
      </c>
      <c r="Q255" s="22" t="s">
        <v>438</v>
      </c>
      <c r="R255" s="17">
        <v>1</v>
      </c>
      <c r="S255" s="17">
        <v>0</v>
      </c>
      <c r="T255" s="17">
        <v>0</v>
      </c>
      <c r="U255" s="17">
        <v>0</v>
      </c>
      <c r="V255" s="17">
        <v>0</v>
      </c>
      <c r="W255" s="64">
        <v>225</v>
      </c>
      <c r="X255" s="64">
        <v>0</v>
      </c>
      <c r="Y255" s="64">
        <v>0</v>
      </c>
      <c r="Z255" s="6">
        <f t="shared" si="28"/>
        <v>225</v>
      </c>
      <c r="AA255" s="11">
        <f t="shared" si="29"/>
        <v>1</v>
      </c>
      <c r="AB255" s="11">
        <f t="shared" si="30"/>
        <v>0</v>
      </c>
      <c r="AC255" s="66">
        <f t="shared" si="31"/>
        <v>1</v>
      </c>
      <c r="AD255" s="67">
        <f t="shared" si="32"/>
        <v>1</v>
      </c>
    </row>
    <row r="256" spans="1:32" ht="14.5" customHeight="1" x14ac:dyDescent="0.2">
      <c r="A256" t="s">
        <v>416</v>
      </c>
      <c r="B256" s="17">
        <v>1</v>
      </c>
      <c r="C256" s="17">
        <v>1</v>
      </c>
      <c r="D256" s="58" t="s">
        <v>445</v>
      </c>
      <c r="E256" s="58" t="s">
        <v>2999</v>
      </c>
      <c r="F256" s="64">
        <f t="shared" si="27"/>
        <v>2011</v>
      </c>
      <c r="G256" s="28">
        <v>40736</v>
      </c>
      <c r="H256" s="58" t="s">
        <v>2985</v>
      </c>
      <c r="I256" s="64">
        <v>0</v>
      </c>
      <c r="J256" s="22" t="s">
        <v>449</v>
      </c>
      <c r="K256" s="17">
        <v>0</v>
      </c>
      <c r="L256" s="59">
        <v>1</v>
      </c>
      <c r="M256" t="s">
        <v>2565</v>
      </c>
      <c r="N256" t="s">
        <v>2629</v>
      </c>
      <c r="P256" s="19" t="s">
        <v>450</v>
      </c>
      <c r="Q256" s="22" t="s">
        <v>451</v>
      </c>
      <c r="R256" s="17">
        <v>1</v>
      </c>
      <c r="S256" s="17">
        <v>0</v>
      </c>
      <c r="T256" s="17">
        <v>0</v>
      </c>
      <c r="U256" s="17">
        <v>1</v>
      </c>
      <c r="V256" s="17">
        <v>0</v>
      </c>
      <c r="W256" s="64">
        <v>311</v>
      </c>
      <c r="X256" s="64">
        <v>24</v>
      </c>
      <c r="Y256" s="64">
        <v>5</v>
      </c>
      <c r="Z256" s="6">
        <f t="shared" si="28"/>
        <v>340</v>
      </c>
      <c r="AA256" s="11">
        <f t="shared" si="29"/>
        <v>0.91470588235294115</v>
      </c>
      <c r="AB256" s="11">
        <f t="shared" si="30"/>
        <v>7.0588235294117646E-2</v>
      </c>
      <c r="AC256" s="66">
        <f t="shared" si="31"/>
        <v>0.91470588235294115</v>
      </c>
      <c r="AD256" s="67">
        <f t="shared" si="32"/>
        <v>0.87205882352941178</v>
      </c>
    </row>
    <row r="257" spans="1:32" ht="14.5" customHeight="1" x14ac:dyDescent="0.2">
      <c r="A257" t="s">
        <v>416</v>
      </c>
      <c r="B257" s="17">
        <v>1</v>
      </c>
      <c r="C257" s="17">
        <v>1</v>
      </c>
      <c r="D257" s="58" t="s">
        <v>445</v>
      </c>
      <c r="E257" s="58" t="s">
        <v>2999</v>
      </c>
      <c r="F257" s="64">
        <f t="shared" si="27"/>
        <v>2011</v>
      </c>
      <c r="G257" s="28">
        <v>40736</v>
      </c>
      <c r="H257" s="58" t="s">
        <v>2984</v>
      </c>
      <c r="I257" s="64">
        <v>0</v>
      </c>
      <c r="J257" s="22" t="s">
        <v>446</v>
      </c>
      <c r="K257" s="17">
        <v>0</v>
      </c>
      <c r="L257" s="59">
        <v>1</v>
      </c>
      <c r="M257" t="s">
        <v>2565</v>
      </c>
      <c r="N257" t="s">
        <v>2629</v>
      </c>
      <c r="P257" s="22" t="s">
        <v>447</v>
      </c>
      <c r="Q257" s="22" t="s">
        <v>448</v>
      </c>
      <c r="R257" s="17">
        <v>1</v>
      </c>
      <c r="S257" s="17">
        <v>0</v>
      </c>
      <c r="T257" s="17">
        <v>0</v>
      </c>
      <c r="U257" s="17">
        <v>1</v>
      </c>
      <c r="V257" s="17">
        <v>0</v>
      </c>
      <c r="W257" s="64">
        <v>482</v>
      </c>
      <c r="X257" s="64">
        <v>27</v>
      </c>
      <c r="Y257" s="64">
        <v>7</v>
      </c>
      <c r="Z257" s="6">
        <f t="shared" si="28"/>
        <v>516</v>
      </c>
      <c r="AA257" s="11">
        <f t="shared" si="29"/>
        <v>0.93410852713178294</v>
      </c>
      <c r="AB257" s="11">
        <f t="shared" si="30"/>
        <v>5.232558139534884E-2</v>
      </c>
      <c r="AC257" s="66">
        <f t="shared" si="31"/>
        <v>0.93410852713178294</v>
      </c>
      <c r="AD257" s="67">
        <f t="shared" si="32"/>
        <v>0.90116279069767447</v>
      </c>
    </row>
    <row r="258" spans="1:32" ht="14.5" customHeight="1" x14ac:dyDescent="0.2">
      <c r="A258" t="s">
        <v>416</v>
      </c>
      <c r="B258" s="17">
        <v>1</v>
      </c>
      <c r="C258" s="17">
        <v>1</v>
      </c>
      <c r="D258" s="58" t="s">
        <v>452</v>
      </c>
      <c r="E258" s="58" t="s">
        <v>3000</v>
      </c>
      <c r="F258" s="64">
        <f t="shared" si="27"/>
        <v>2013</v>
      </c>
      <c r="G258" s="28">
        <v>41386</v>
      </c>
      <c r="H258" s="58" t="s">
        <v>2985</v>
      </c>
      <c r="I258" s="64">
        <v>0</v>
      </c>
      <c r="J258" s="19" t="s">
        <v>453</v>
      </c>
      <c r="K258" s="17">
        <v>0</v>
      </c>
      <c r="L258" s="59">
        <v>1</v>
      </c>
      <c r="M258" s="5" t="s">
        <v>454</v>
      </c>
      <c r="N258" s="5" t="s">
        <v>2629</v>
      </c>
      <c r="P258" s="19" t="s">
        <v>455</v>
      </c>
      <c r="Q258" s="22" t="s">
        <v>456</v>
      </c>
      <c r="R258" s="17">
        <v>1</v>
      </c>
      <c r="S258" s="17">
        <v>0</v>
      </c>
      <c r="T258" s="17">
        <v>0</v>
      </c>
      <c r="U258" s="17">
        <v>1</v>
      </c>
      <c r="V258" s="17">
        <v>0</v>
      </c>
      <c r="W258" s="64">
        <v>326</v>
      </c>
      <c r="X258" s="64">
        <v>0</v>
      </c>
      <c r="Y258" s="64">
        <v>21</v>
      </c>
      <c r="Z258" s="6">
        <f t="shared" si="28"/>
        <v>347</v>
      </c>
      <c r="AA258" s="11">
        <f t="shared" si="29"/>
        <v>0.93948126801152743</v>
      </c>
      <c r="AB258" s="11">
        <f t="shared" si="30"/>
        <v>0</v>
      </c>
      <c r="AC258" s="66">
        <f t="shared" si="31"/>
        <v>0.93948126801152743</v>
      </c>
      <c r="AD258" s="67">
        <f t="shared" si="32"/>
        <v>0.90922190201729103</v>
      </c>
    </row>
    <row r="259" spans="1:32" ht="14.5" customHeight="1" x14ac:dyDescent="0.2">
      <c r="A259" t="s">
        <v>416</v>
      </c>
      <c r="B259" s="17">
        <v>1</v>
      </c>
      <c r="C259" s="17">
        <v>1</v>
      </c>
      <c r="D259" s="58" t="s">
        <v>452</v>
      </c>
      <c r="E259" s="58" t="s">
        <v>3000</v>
      </c>
      <c r="F259" s="64">
        <f t="shared" si="27"/>
        <v>2013</v>
      </c>
      <c r="G259" s="28">
        <v>41386</v>
      </c>
      <c r="H259" s="58" t="s">
        <v>2984</v>
      </c>
      <c r="I259" s="64">
        <v>0</v>
      </c>
      <c r="J259" s="19" t="s">
        <v>453</v>
      </c>
      <c r="K259" s="17">
        <v>0</v>
      </c>
      <c r="L259" s="59">
        <v>1</v>
      </c>
      <c r="M259" s="5" t="s">
        <v>454</v>
      </c>
      <c r="N259" s="5" t="s">
        <v>2629</v>
      </c>
      <c r="P259" s="19" t="s">
        <v>455</v>
      </c>
      <c r="Q259" s="22" t="s">
        <v>457</v>
      </c>
      <c r="R259" s="17">
        <v>1</v>
      </c>
      <c r="S259" s="17">
        <v>0</v>
      </c>
      <c r="T259" s="17">
        <v>0</v>
      </c>
      <c r="U259" s="17">
        <v>1</v>
      </c>
      <c r="V259" s="17">
        <v>0</v>
      </c>
      <c r="W259" s="64">
        <v>342</v>
      </c>
      <c r="X259" s="64">
        <v>0</v>
      </c>
      <c r="Y259" s="64">
        <v>10</v>
      </c>
      <c r="Z259" s="6">
        <f t="shared" si="28"/>
        <v>352</v>
      </c>
      <c r="AA259" s="11">
        <f t="shared" si="29"/>
        <v>0.97159090909090906</v>
      </c>
      <c r="AB259" s="11">
        <f t="shared" si="30"/>
        <v>0</v>
      </c>
      <c r="AC259" s="66">
        <f t="shared" si="31"/>
        <v>0.97159090909090906</v>
      </c>
      <c r="AD259" s="67">
        <f t="shared" si="32"/>
        <v>0.95738636363636365</v>
      </c>
    </row>
    <row r="260" spans="1:32" ht="14.5" customHeight="1" x14ac:dyDescent="0.2">
      <c r="A260" t="s">
        <v>416</v>
      </c>
      <c r="B260" s="17">
        <v>1</v>
      </c>
      <c r="C260" s="17">
        <v>1</v>
      </c>
      <c r="D260" s="58" t="s">
        <v>452</v>
      </c>
      <c r="E260" s="58" t="s">
        <v>3000</v>
      </c>
      <c r="F260" s="64">
        <f t="shared" si="27"/>
        <v>2014</v>
      </c>
      <c r="G260" s="28">
        <v>41695</v>
      </c>
      <c r="H260" s="58" t="s">
        <v>2985</v>
      </c>
      <c r="I260" s="64">
        <v>0</v>
      </c>
      <c r="J260" s="22" t="s">
        <v>458</v>
      </c>
      <c r="K260" s="17">
        <v>0</v>
      </c>
      <c r="L260" s="59">
        <v>1</v>
      </c>
      <c r="M260" s="22" t="s">
        <v>2862</v>
      </c>
      <c r="N260" s="22" t="s">
        <v>2629</v>
      </c>
      <c r="P260" s="19" t="s">
        <v>459</v>
      </c>
      <c r="Q260" s="22" t="s">
        <v>460</v>
      </c>
      <c r="R260" s="17">
        <v>1</v>
      </c>
      <c r="S260" s="17">
        <v>0</v>
      </c>
      <c r="T260" s="17">
        <v>0</v>
      </c>
      <c r="U260" s="17">
        <v>1</v>
      </c>
      <c r="V260" s="17">
        <v>0</v>
      </c>
      <c r="W260" s="64">
        <v>327</v>
      </c>
      <c r="X260" s="64">
        <v>3</v>
      </c>
      <c r="Y260" s="64">
        <v>15</v>
      </c>
      <c r="Z260" s="6">
        <f t="shared" si="28"/>
        <v>345</v>
      </c>
      <c r="AA260" s="11">
        <f t="shared" si="29"/>
        <v>0.94782608695652171</v>
      </c>
      <c r="AB260" s="11">
        <f t="shared" si="30"/>
        <v>8.6956521739130436E-3</v>
      </c>
      <c r="AC260" s="66">
        <f t="shared" si="31"/>
        <v>0.94782608695652171</v>
      </c>
      <c r="AD260" s="67">
        <f t="shared" si="32"/>
        <v>0.92173913043478262</v>
      </c>
    </row>
    <row r="261" spans="1:32" ht="14.5" customHeight="1" x14ac:dyDescent="0.2">
      <c r="A261" t="s">
        <v>416</v>
      </c>
      <c r="B261" s="17">
        <v>1</v>
      </c>
      <c r="C261" s="17">
        <v>1</v>
      </c>
      <c r="D261" s="58" t="s">
        <v>452</v>
      </c>
      <c r="E261" s="58" t="s">
        <v>3000</v>
      </c>
      <c r="F261" s="64">
        <f t="shared" si="27"/>
        <v>2014</v>
      </c>
      <c r="G261" s="28">
        <v>41695</v>
      </c>
      <c r="H261" s="58" t="s">
        <v>2984</v>
      </c>
      <c r="I261" s="64">
        <v>0</v>
      </c>
      <c r="J261" s="19" t="s">
        <v>461</v>
      </c>
      <c r="K261" s="17">
        <v>0</v>
      </c>
      <c r="L261" s="59">
        <v>1</v>
      </c>
      <c r="M261" s="22" t="s">
        <v>2862</v>
      </c>
      <c r="N261" s="22" t="s">
        <v>2629</v>
      </c>
      <c r="P261" s="19" t="s">
        <v>462</v>
      </c>
      <c r="Q261" s="22" t="s">
        <v>463</v>
      </c>
      <c r="R261" s="17">
        <v>1</v>
      </c>
      <c r="S261" s="17">
        <v>0</v>
      </c>
      <c r="T261" s="17">
        <v>0</v>
      </c>
      <c r="U261" s="17">
        <v>1</v>
      </c>
      <c r="V261" s="17">
        <v>0</v>
      </c>
      <c r="W261" s="64">
        <v>428</v>
      </c>
      <c r="X261" s="64">
        <v>14</v>
      </c>
      <c r="Y261" s="64">
        <v>21</v>
      </c>
      <c r="Z261" s="6">
        <f t="shared" si="28"/>
        <v>463</v>
      </c>
      <c r="AA261" s="11">
        <f t="shared" si="29"/>
        <v>0.9244060475161987</v>
      </c>
      <c r="AB261" s="11">
        <f t="shared" si="30"/>
        <v>3.0237580993520519E-2</v>
      </c>
      <c r="AC261" s="66">
        <f t="shared" si="31"/>
        <v>0.9244060475161987</v>
      </c>
      <c r="AD261" s="67">
        <f t="shared" si="32"/>
        <v>0.88660907127429811</v>
      </c>
    </row>
    <row r="262" spans="1:32" ht="14.5" customHeight="1" x14ac:dyDescent="0.2">
      <c r="A262" t="s">
        <v>416</v>
      </c>
      <c r="B262" s="17">
        <v>1</v>
      </c>
      <c r="C262" s="17">
        <v>1</v>
      </c>
      <c r="D262" s="58" t="s">
        <v>464</v>
      </c>
      <c r="E262" s="58" t="s">
        <v>3001</v>
      </c>
      <c r="F262" s="64">
        <f t="shared" si="27"/>
        <v>2015</v>
      </c>
      <c r="G262" s="28">
        <v>42017</v>
      </c>
      <c r="H262" s="58" t="s">
        <v>2985</v>
      </c>
      <c r="I262" s="64">
        <v>0</v>
      </c>
      <c r="J262" s="22" t="s">
        <v>465</v>
      </c>
      <c r="K262" s="17">
        <v>0</v>
      </c>
      <c r="L262" s="59">
        <v>1</v>
      </c>
      <c r="M262" t="s">
        <v>2544</v>
      </c>
      <c r="N262" s="22" t="s">
        <v>2121</v>
      </c>
      <c r="P262" s="19" t="s">
        <v>466</v>
      </c>
      <c r="Q262" s="22" t="s">
        <v>467</v>
      </c>
      <c r="R262" s="17">
        <v>1</v>
      </c>
      <c r="S262" s="17">
        <v>0</v>
      </c>
      <c r="T262" s="17">
        <v>0</v>
      </c>
      <c r="U262" s="17">
        <v>1</v>
      </c>
      <c r="V262" s="17">
        <v>0</v>
      </c>
      <c r="W262" s="64">
        <v>327</v>
      </c>
      <c r="X262" s="64">
        <v>0</v>
      </c>
      <c r="Y262" s="64">
        <v>19</v>
      </c>
      <c r="Z262" s="6">
        <f t="shared" si="28"/>
        <v>346</v>
      </c>
      <c r="AA262" s="11">
        <f t="shared" si="29"/>
        <v>0.94508670520231219</v>
      </c>
      <c r="AB262" s="11">
        <f t="shared" si="30"/>
        <v>0</v>
      </c>
      <c r="AC262" s="66">
        <f t="shared" si="31"/>
        <v>0.94508670520231219</v>
      </c>
      <c r="AD262" s="67">
        <f t="shared" si="32"/>
        <v>0.91763005780346818</v>
      </c>
    </row>
    <row r="263" spans="1:32" ht="14.5" customHeight="1" x14ac:dyDescent="0.2">
      <c r="A263" t="s">
        <v>416</v>
      </c>
      <c r="B263" s="17">
        <v>1</v>
      </c>
      <c r="C263" s="17">
        <v>1</v>
      </c>
      <c r="D263" s="58" t="s">
        <v>464</v>
      </c>
      <c r="E263" s="58" t="s">
        <v>3001</v>
      </c>
      <c r="F263" s="64">
        <f t="shared" si="27"/>
        <v>2015</v>
      </c>
      <c r="G263" s="28">
        <v>42017</v>
      </c>
      <c r="H263" s="58" t="s">
        <v>2984</v>
      </c>
      <c r="I263" s="64">
        <v>0</v>
      </c>
      <c r="J263" s="19" t="s">
        <v>468</v>
      </c>
      <c r="K263" s="17">
        <v>0</v>
      </c>
      <c r="L263" s="59">
        <v>1</v>
      </c>
      <c r="M263" t="s">
        <v>2544</v>
      </c>
      <c r="N263" s="22" t="s">
        <v>2121</v>
      </c>
      <c r="P263" s="22" t="s">
        <v>469</v>
      </c>
      <c r="Q263" s="22" t="s">
        <v>470</v>
      </c>
      <c r="R263" s="17">
        <v>1</v>
      </c>
      <c r="S263" s="17">
        <v>0</v>
      </c>
      <c r="T263" s="17">
        <v>0</v>
      </c>
      <c r="U263" s="17">
        <v>1</v>
      </c>
      <c r="V263" s="17">
        <v>0</v>
      </c>
      <c r="W263" s="64">
        <v>488</v>
      </c>
      <c r="X263" s="64">
        <v>1</v>
      </c>
      <c r="Y263" s="64">
        <v>13</v>
      </c>
      <c r="Z263" s="6">
        <f t="shared" si="28"/>
        <v>502</v>
      </c>
      <c r="AA263" s="11">
        <f t="shared" si="29"/>
        <v>0.97211155378486058</v>
      </c>
      <c r="AB263" s="11">
        <f t="shared" si="30"/>
        <v>1.9920318725099601E-3</v>
      </c>
      <c r="AC263" s="66">
        <f t="shared" si="31"/>
        <v>0.97211155378486058</v>
      </c>
      <c r="AD263" s="67">
        <f t="shared" si="32"/>
        <v>0.95816733067729087</v>
      </c>
    </row>
    <row r="264" spans="1:32" ht="14.5" customHeight="1" x14ac:dyDescent="0.2">
      <c r="A264" t="s">
        <v>416</v>
      </c>
      <c r="B264" s="17">
        <v>1</v>
      </c>
      <c r="C264" s="17">
        <v>1</v>
      </c>
      <c r="D264" s="58" t="s">
        <v>464</v>
      </c>
      <c r="E264" s="58" t="s">
        <v>3001</v>
      </c>
      <c r="F264" s="64">
        <f t="shared" si="27"/>
        <v>2015</v>
      </c>
      <c r="G264" s="28">
        <v>42333</v>
      </c>
      <c r="H264" s="58" t="s">
        <v>2985</v>
      </c>
      <c r="I264" s="64">
        <v>0</v>
      </c>
      <c r="J264" s="22" t="s">
        <v>471</v>
      </c>
      <c r="K264" s="17">
        <v>0</v>
      </c>
      <c r="L264" s="59">
        <v>1</v>
      </c>
      <c r="M264" t="s">
        <v>2543</v>
      </c>
      <c r="N264" s="22" t="s">
        <v>2121</v>
      </c>
      <c r="P264" s="22" t="s">
        <v>2514</v>
      </c>
      <c r="Q264" s="22" t="s">
        <v>472</v>
      </c>
      <c r="R264" s="17">
        <v>1</v>
      </c>
      <c r="S264" s="17">
        <v>0</v>
      </c>
      <c r="T264" s="17">
        <v>0</v>
      </c>
      <c r="U264" s="17">
        <v>1</v>
      </c>
      <c r="V264" s="17">
        <v>0</v>
      </c>
      <c r="W264" s="64">
        <v>325</v>
      </c>
      <c r="X264" s="64">
        <v>0</v>
      </c>
      <c r="Y264" s="64">
        <v>21</v>
      </c>
      <c r="Z264" s="6">
        <f t="shared" si="28"/>
        <v>346</v>
      </c>
      <c r="AA264" s="11">
        <f t="shared" si="29"/>
        <v>0.93930635838150289</v>
      </c>
      <c r="AB264" s="11">
        <f t="shared" si="30"/>
        <v>0</v>
      </c>
      <c r="AC264" s="66">
        <f t="shared" si="31"/>
        <v>0.93930635838150289</v>
      </c>
      <c r="AD264" s="67">
        <f t="shared" si="32"/>
        <v>0.90895953757225434</v>
      </c>
    </row>
    <row r="265" spans="1:32" ht="14.5" customHeight="1" x14ac:dyDescent="0.2">
      <c r="A265" t="s">
        <v>416</v>
      </c>
      <c r="B265" s="17">
        <v>1</v>
      </c>
      <c r="C265" s="17">
        <v>1</v>
      </c>
      <c r="D265" s="58" t="s">
        <v>464</v>
      </c>
      <c r="E265" s="58" t="s">
        <v>3001</v>
      </c>
      <c r="F265" s="64">
        <f t="shared" si="27"/>
        <v>2015</v>
      </c>
      <c r="G265" s="28">
        <v>42333</v>
      </c>
      <c r="H265" s="58" t="s">
        <v>2984</v>
      </c>
      <c r="I265" s="64">
        <v>0</v>
      </c>
      <c r="J265" s="19" t="s">
        <v>473</v>
      </c>
      <c r="K265" s="17">
        <v>0</v>
      </c>
      <c r="L265" s="59">
        <v>1</v>
      </c>
      <c r="M265" t="s">
        <v>2543</v>
      </c>
      <c r="N265" s="22" t="s">
        <v>2121</v>
      </c>
      <c r="P265" s="19" t="s">
        <v>474</v>
      </c>
      <c r="Q265" s="22" t="s">
        <v>475</v>
      </c>
      <c r="R265" s="17">
        <v>1</v>
      </c>
      <c r="S265" s="17">
        <v>0</v>
      </c>
      <c r="T265" s="17">
        <v>0</v>
      </c>
      <c r="U265" s="17">
        <v>1</v>
      </c>
      <c r="V265" s="17">
        <v>0</v>
      </c>
      <c r="W265" s="64">
        <v>515</v>
      </c>
      <c r="X265" s="64">
        <v>4</v>
      </c>
      <c r="Y265" s="64">
        <v>10</v>
      </c>
      <c r="Z265" s="6">
        <f t="shared" si="28"/>
        <v>529</v>
      </c>
      <c r="AA265" s="11">
        <f t="shared" si="29"/>
        <v>0.97353497164461245</v>
      </c>
      <c r="AB265" s="11">
        <f t="shared" si="30"/>
        <v>7.5614366729678641E-3</v>
      </c>
      <c r="AC265" s="66">
        <f t="shared" si="31"/>
        <v>0.97353497164461245</v>
      </c>
      <c r="AD265" s="67">
        <f t="shared" si="32"/>
        <v>0.96030245746691867</v>
      </c>
    </row>
    <row r="266" spans="1:32" ht="14.5" customHeight="1" x14ac:dyDescent="0.2">
      <c r="A266" t="s">
        <v>2159</v>
      </c>
      <c r="B266" s="17">
        <v>1</v>
      </c>
      <c r="C266" s="17">
        <v>0</v>
      </c>
      <c r="D266" s="22" t="s">
        <v>2160</v>
      </c>
      <c r="E266" s="22" t="s">
        <v>2161</v>
      </c>
      <c r="F266" s="17">
        <f t="shared" si="27"/>
        <v>1993</v>
      </c>
      <c r="G266" s="18">
        <v>34152</v>
      </c>
      <c r="H266" s="22" t="s">
        <v>2983</v>
      </c>
      <c r="I266" s="17">
        <v>0</v>
      </c>
      <c r="J266" s="22" t="s">
        <v>2162</v>
      </c>
      <c r="K266" s="17">
        <v>0</v>
      </c>
      <c r="L266" s="59">
        <v>1</v>
      </c>
      <c r="M266" s="22" t="s">
        <v>2578</v>
      </c>
      <c r="N266" s="58" t="s">
        <v>2629</v>
      </c>
      <c r="P266" s="22" t="s">
        <v>2163</v>
      </c>
      <c r="Q266" s="25"/>
      <c r="R266" s="17">
        <v>1</v>
      </c>
      <c r="S266" s="17">
        <v>0</v>
      </c>
      <c r="T266" s="17">
        <v>0</v>
      </c>
      <c r="U266" s="17">
        <v>1</v>
      </c>
      <c r="V266" s="17">
        <v>0</v>
      </c>
      <c r="W266" s="17">
        <v>336</v>
      </c>
      <c r="X266" s="17">
        <v>184</v>
      </c>
      <c r="Y266" s="17">
        <v>14</v>
      </c>
      <c r="Z266" s="17">
        <f t="shared" ref="Z266:Z297" si="33">W266+X266+Y266</f>
        <v>534</v>
      </c>
      <c r="AA266" s="11">
        <f t="shared" si="29"/>
        <v>0.6292134831460674</v>
      </c>
      <c r="AB266" s="11">
        <f t="shared" si="30"/>
        <v>0.34456928838951312</v>
      </c>
      <c r="AC266" s="66">
        <f t="shared" si="31"/>
        <v>0.6292134831460674</v>
      </c>
      <c r="AD266" s="67">
        <f t="shared" si="32"/>
        <v>0.4438202247191011</v>
      </c>
    </row>
    <row r="267" spans="1:32" ht="14.5" customHeight="1" x14ac:dyDescent="0.2">
      <c r="A267" t="s">
        <v>2159</v>
      </c>
      <c r="B267" s="17">
        <v>1</v>
      </c>
      <c r="C267" s="17">
        <v>0</v>
      </c>
      <c r="D267" s="22" t="s">
        <v>2160</v>
      </c>
      <c r="E267" s="22" t="s">
        <v>2161</v>
      </c>
      <c r="F267" s="17">
        <f t="shared" si="27"/>
        <v>1994</v>
      </c>
      <c r="G267" s="18">
        <v>34537</v>
      </c>
      <c r="H267" s="22" t="s">
        <v>2983</v>
      </c>
      <c r="I267" s="17">
        <v>0</v>
      </c>
      <c r="J267" s="22" t="s">
        <v>2522</v>
      </c>
      <c r="K267" s="17">
        <v>0</v>
      </c>
      <c r="L267" s="59">
        <v>1</v>
      </c>
      <c r="M267" s="22" t="s">
        <v>2610</v>
      </c>
      <c r="N267" s="22" t="s">
        <v>2630</v>
      </c>
      <c r="P267" s="22" t="s">
        <v>2164</v>
      </c>
      <c r="Q267" s="25"/>
      <c r="R267" s="17">
        <v>1</v>
      </c>
      <c r="S267" s="17">
        <v>0</v>
      </c>
      <c r="T267" s="17">
        <v>0</v>
      </c>
      <c r="U267" s="17">
        <v>1</v>
      </c>
      <c r="V267" s="17">
        <v>0</v>
      </c>
      <c r="W267" s="17">
        <v>421</v>
      </c>
      <c r="X267" s="17">
        <v>48</v>
      </c>
      <c r="Y267" s="17">
        <v>16</v>
      </c>
      <c r="Z267" s="17">
        <f t="shared" si="33"/>
        <v>485</v>
      </c>
      <c r="AA267" s="11">
        <f t="shared" si="29"/>
        <v>0.86804123711340209</v>
      </c>
      <c r="AB267" s="11">
        <f t="shared" si="30"/>
        <v>9.8969072164948449E-2</v>
      </c>
      <c r="AC267" s="66">
        <f t="shared" si="31"/>
        <v>0.86804123711340209</v>
      </c>
      <c r="AD267" s="67">
        <f t="shared" si="32"/>
        <v>0.80206185567010313</v>
      </c>
    </row>
    <row r="268" spans="1:32" ht="14.5" customHeight="1" x14ac:dyDescent="0.2">
      <c r="A268" t="s">
        <v>2159</v>
      </c>
      <c r="B268" s="17">
        <v>1</v>
      </c>
      <c r="C268" s="17">
        <v>1</v>
      </c>
      <c r="D268" s="22" t="s">
        <v>2165</v>
      </c>
      <c r="E268" s="22" t="s">
        <v>2161</v>
      </c>
      <c r="F268" s="17">
        <f t="shared" si="27"/>
        <v>1995</v>
      </c>
      <c r="G268" s="18">
        <v>34880</v>
      </c>
      <c r="H268" s="22" t="s">
        <v>2983</v>
      </c>
      <c r="I268" s="17">
        <v>0</v>
      </c>
      <c r="J268" s="22" t="s">
        <v>2166</v>
      </c>
      <c r="K268" s="17">
        <v>0</v>
      </c>
      <c r="L268" s="59">
        <v>1</v>
      </c>
      <c r="M268" s="22" t="s">
        <v>2610</v>
      </c>
      <c r="N268" s="22" t="s">
        <v>2630</v>
      </c>
      <c r="P268" s="22" t="s">
        <v>2167</v>
      </c>
      <c r="Q268" s="25"/>
      <c r="R268" s="17">
        <v>1</v>
      </c>
      <c r="S268" s="17">
        <v>0</v>
      </c>
      <c r="T268" s="17">
        <v>0</v>
      </c>
      <c r="U268" s="17">
        <v>1</v>
      </c>
      <c r="V268" s="17">
        <v>0</v>
      </c>
      <c r="W268" s="17">
        <v>386</v>
      </c>
      <c r="X268" s="17">
        <v>258</v>
      </c>
      <c r="Y268" s="17">
        <v>11</v>
      </c>
      <c r="Z268" s="17">
        <f t="shared" si="33"/>
        <v>655</v>
      </c>
      <c r="AA268" s="11">
        <f t="shared" si="29"/>
        <v>0.58931297709923669</v>
      </c>
      <c r="AB268" s="11">
        <f t="shared" si="30"/>
        <v>0.39389312977099239</v>
      </c>
      <c r="AC268" s="66">
        <f t="shared" si="31"/>
        <v>0.58931297709923669</v>
      </c>
      <c r="AD268" s="67">
        <f t="shared" si="32"/>
        <v>0.38396946564885498</v>
      </c>
    </row>
    <row r="269" spans="1:32" ht="14.5" customHeight="1" x14ac:dyDescent="0.2">
      <c r="A269" t="s">
        <v>2159</v>
      </c>
      <c r="B269" s="17">
        <v>1</v>
      </c>
      <c r="C269" s="17">
        <v>1</v>
      </c>
      <c r="D269" s="22" t="s">
        <v>2165</v>
      </c>
      <c r="E269" s="22" t="s">
        <v>2161</v>
      </c>
      <c r="F269" s="17">
        <f t="shared" si="27"/>
        <v>1995</v>
      </c>
      <c r="G269" s="18">
        <v>35039</v>
      </c>
      <c r="H269" s="22" t="s">
        <v>2983</v>
      </c>
      <c r="I269" s="17">
        <v>0</v>
      </c>
      <c r="J269" s="22" t="s">
        <v>2168</v>
      </c>
      <c r="K269" s="17">
        <v>0</v>
      </c>
      <c r="L269" s="59">
        <v>1</v>
      </c>
      <c r="M269" s="22" t="s">
        <v>2564</v>
      </c>
      <c r="N269" s="22" t="s">
        <v>2630</v>
      </c>
      <c r="P269" s="22" t="s">
        <v>2169</v>
      </c>
      <c r="Q269" s="25"/>
      <c r="R269" s="17">
        <v>1</v>
      </c>
      <c r="S269" s="17">
        <v>0</v>
      </c>
      <c r="T269" s="17">
        <v>0</v>
      </c>
      <c r="U269" s="17">
        <v>1</v>
      </c>
      <c r="V269" s="17">
        <v>0</v>
      </c>
      <c r="W269" s="17">
        <v>543</v>
      </c>
      <c r="X269" s="17">
        <v>107</v>
      </c>
      <c r="Y269" s="17">
        <v>6</v>
      </c>
      <c r="Z269" s="17">
        <f t="shared" si="33"/>
        <v>656</v>
      </c>
      <c r="AA269" s="11">
        <f t="shared" si="29"/>
        <v>0.8277439024390244</v>
      </c>
      <c r="AB269" s="11">
        <f t="shared" si="30"/>
        <v>0.16310975609756098</v>
      </c>
      <c r="AC269" s="66">
        <f t="shared" si="31"/>
        <v>0.8277439024390244</v>
      </c>
      <c r="AD269" s="67">
        <f t="shared" si="32"/>
        <v>0.74161585365853655</v>
      </c>
      <c r="AF269" s="36"/>
    </row>
    <row r="270" spans="1:32" ht="14.5" customHeight="1" x14ac:dyDescent="0.2">
      <c r="A270" t="s">
        <v>2159</v>
      </c>
      <c r="B270" s="17">
        <v>1</v>
      </c>
      <c r="C270" s="17">
        <v>1</v>
      </c>
      <c r="D270" s="22" t="s">
        <v>2165</v>
      </c>
      <c r="E270" s="22" t="s">
        <v>2161</v>
      </c>
      <c r="F270" s="17">
        <f t="shared" si="27"/>
        <v>1996</v>
      </c>
      <c r="G270" s="18">
        <v>35412</v>
      </c>
      <c r="H270" s="22" t="s">
        <v>2983</v>
      </c>
      <c r="I270" s="17">
        <v>0</v>
      </c>
      <c r="J270" s="22" t="s">
        <v>2170</v>
      </c>
      <c r="K270" s="17">
        <v>0</v>
      </c>
      <c r="L270" s="59">
        <v>1</v>
      </c>
      <c r="M270" s="22" t="s">
        <v>2559</v>
      </c>
      <c r="N270" s="22" t="s">
        <v>2630</v>
      </c>
      <c r="P270" s="22" t="s">
        <v>2171</v>
      </c>
      <c r="Q270" s="25"/>
      <c r="R270" s="17">
        <v>1</v>
      </c>
      <c r="S270" s="17">
        <v>0</v>
      </c>
      <c r="T270" s="17">
        <v>0</v>
      </c>
      <c r="U270" s="17">
        <v>1</v>
      </c>
      <c r="V270" s="17">
        <v>0</v>
      </c>
      <c r="W270" s="17">
        <v>499</v>
      </c>
      <c r="X270" s="17">
        <v>91</v>
      </c>
      <c r="Y270" s="17">
        <v>21</v>
      </c>
      <c r="Z270" s="17">
        <f t="shared" si="33"/>
        <v>611</v>
      </c>
      <c r="AA270" s="11">
        <f t="shared" si="29"/>
        <v>0.81669394435351883</v>
      </c>
      <c r="AB270" s="11">
        <f t="shared" si="30"/>
        <v>0.14893617021276595</v>
      </c>
      <c r="AC270" s="66">
        <f t="shared" si="31"/>
        <v>0.81669394435351883</v>
      </c>
      <c r="AD270" s="67">
        <f t="shared" si="32"/>
        <v>0.72504091653027825</v>
      </c>
      <c r="AF270" s="36"/>
    </row>
    <row r="271" spans="1:32" ht="14.5" customHeight="1" x14ac:dyDescent="0.2">
      <c r="A271" t="s">
        <v>2159</v>
      </c>
      <c r="B271" s="17">
        <v>1</v>
      </c>
      <c r="C271" s="17">
        <v>0</v>
      </c>
      <c r="D271" s="22" t="s">
        <v>2165</v>
      </c>
      <c r="E271" s="22" t="s">
        <v>2161</v>
      </c>
      <c r="F271" s="17">
        <f t="shared" si="27"/>
        <v>1998</v>
      </c>
      <c r="G271" s="18">
        <v>35965</v>
      </c>
      <c r="H271" s="22" t="s">
        <v>2983</v>
      </c>
      <c r="I271" s="17">
        <v>0</v>
      </c>
      <c r="J271" s="22" t="s">
        <v>2172</v>
      </c>
      <c r="K271" s="17">
        <v>0</v>
      </c>
      <c r="L271" s="59">
        <v>1</v>
      </c>
      <c r="M271" s="22" t="s">
        <v>2559</v>
      </c>
      <c r="N271" s="22" t="s">
        <v>2630</v>
      </c>
      <c r="P271" s="22" t="s">
        <v>2173</v>
      </c>
      <c r="Q271" s="25"/>
      <c r="R271" s="17">
        <v>1</v>
      </c>
      <c r="S271" s="17">
        <v>0</v>
      </c>
      <c r="T271" s="17">
        <v>0</v>
      </c>
      <c r="U271" s="17">
        <v>1</v>
      </c>
      <c r="V271" s="17">
        <v>0</v>
      </c>
      <c r="W271" s="17">
        <v>529</v>
      </c>
      <c r="X271" s="17">
        <v>37</v>
      </c>
      <c r="Y271" s="17">
        <v>11</v>
      </c>
      <c r="Z271" s="17">
        <f t="shared" si="33"/>
        <v>577</v>
      </c>
      <c r="AA271" s="11">
        <f t="shared" si="29"/>
        <v>0.91681109185441945</v>
      </c>
      <c r="AB271" s="11">
        <f t="shared" si="30"/>
        <v>6.4124783362218371E-2</v>
      </c>
      <c r="AC271" s="66">
        <f t="shared" si="31"/>
        <v>0.91681109185441945</v>
      </c>
      <c r="AD271" s="67">
        <f t="shared" si="32"/>
        <v>0.87521663778162917</v>
      </c>
      <c r="AF271" s="36"/>
    </row>
    <row r="272" spans="1:32" ht="14.5" customHeight="1" x14ac:dyDescent="0.2">
      <c r="A272" t="s">
        <v>2159</v>
      </c>
      <c r="B272" s="17">
        <v>1</v>
      </c>
      <c r="C272" s="17">
        <v>0</v>
      </c>
      <c r="D272" s="22" t="s">
        <v>2165</v>
      </c>
      <c r="E272" s="22" t="s">
        <v>2161</v>
      </c>
      <c r="F272" s="17">
        <f t="shared" si="27"/>
        <v>1998</v>
      </c>
      <c r="G272" s="18">
        <v>36084</v>
      </c>
      <c r="H272" s="22" t="s">
        <v>2983</v>
      </c>
      <c r="I272" s="17">
        <v>0</v>
      </c>
      <c r="J272" s="22" t="s">
        <v>2174</v>
      </c>
      <c r="K272" s="17">
        <v>0</v>
      </c>
      <c r="L272" s="59">
        <v>1</v>
      </c>
      <c r="M272" s="22" t="s">
        <v>165</v>
      </c>
      <c r="N272" s="24" t="s">
        <v>2630</v>
      </c>
      <c r="P272" s="22" t="s">
        <v>2175</v>
      </c>
      <c r="Q272" s="25"/>
      <c r="R272" s="17">
        <v>1</v>
      </c>
      <c r="S272" s="17">
        <v>0</v>
      </c>
      <c r="T272" s="17">
        <v>0</v>
      </c>
      <c r="U272" s="17">
        <v>1</v>
      </c>
      <c r="V272" s="17">
        <v>0</v>
      </c>
      <c r="W272" s="17">
        <v>500</v>
      </c>
      <c r="X272" s="17">
        <v>62</v>
      </c>
      <c r="Y272" s="17">
        <v>18</v>
      </c>
      <c r="Z272" s="17">
        <f t="shared" si="33"/>
        <v>580</v>
      </c>
      <c r="AA272" s="11">
        <f t="shared" si="29"/>
        <v>0.86206896551724133</v>
      </c>
      <c r="AB272" s="11">
        <f t="shared" si="30"/>
        <v>0.10689655172413794</v>
      </c>
      <c r="AC272" s="66">
        <f t="shared" si="31"/>
        <v>0.86206896551724133</v>
      </c>
      <c r="AD272" s="67">
        <f t="shared" si="32"/>
        <v>0.7931034482758621</v>
      </c>
      <c r="AF272" s="36"/>
    </row>
    <row r="273" spans="1:32" ht="14.5" customHeight="1" x14ac:dyDescent="0.2">
      <c r="A273" t="s">
        <v>2159</v>
      </c>
      <c r="B273" s="17">
        <v>1</v>
      </c>
      <c r="C273" s="17">
        <v>0</v>
      </c>
      <c r="D273" s="22" t="s">
        <v>2176</v>
      </c>
      <c r="E273" s="22" t="s">
        <v>2177</v>
      </c>
      <c r="F273" s="17">
        <f t="shared" si="27"/>
        <v>1998</v>
      </c>
      <c r="G273" s="18">
        <v>36112</v>
      </c>
      <c r="H273" s="22" t="s">
        <v>2983</v>
      </c>
      <c r="I273" s="17">
        <v>0</v>
      </c>
      <c r="J273" s="22" t="s">
        <v>2178</v>
      </c>
      <c r="K273" s="17">
        <v>0</v>
      </c>
      <c r="L273" s="59">
        <v>1</v>
      </c>
      <c r="M273" s="22" t="s">
        <v>165</v>
      </c>
      <c r="N273" s="24" t="s">
        <v>2630</v>
      </c>
      <c r="P273" s="22" t="s">
        <v>2179</v>
      </c>
      <c r="Q273" s="25"/>
      <c r="R273" s="17">
        <v>1</v>
      </c>
      <c r="S273" s="17">
        <v>0</v>
      </c>
      <c r="T273" s="17">
        <v>0</v>
      </c>
      <c r="U273" s="17">
        <v>1</v>
      </c>
      <c r="V273" s="17">
        <v>0</v>
      </c>
      <c r="W273" s="17">
        <v>540</v>
      </c>
      <c r="X273" s="17">
        <v>30</v>
      </c>
      <c r="Y273" s="17">
        <v>12</v>
      </c>
      <c r="Z273" s="17">
        <f t="shared" si="33"/>
        <v>582</v>
      </c>
      <c r="AA273" s="11">
        <f t="shared" si="29"/>
        <v>0.92783505154639179</v>
      </c>
      <c r="AB273" s="11">
        <f t="shared" si="30"/>
        <v>5.1546391752577317E-2</v>
      </c>
      <c r="AC273" s="66">
        <f t="shared" si="31"/>
        <v>0.92783505154639179</v>
      </c>
      <c r="AD273" s="67">
        <f t="shared" si="32"/>
        <v>0.89175257731958768</v>
      </c>
      <c r="AF273" s="36"/>
    </row>
    <row r="274" spans="1:32" ht="14.5" customHeight="1" x14ac:dyDescent="0.2">
      <c r="A274" t="s">
        <v>2159</v>
      </c>
      <c r="B274" s="17">
        <v>1</v>
      </c>
      <c r="C274" s="17">
        <v>0</v>
      </c>
      <c r="D274" s="22" t="s">
        <v>2176</v>
      </c>
      <c r="E274" s="22" t="s">
        <v>2177</v>
      </c>
      <c r="F274" s="17">
        <f t="shared" si="27"/>
        <v>1998</v>
      </c>
      <c r="G274" s="18">
        <v>36118</v>
      </c>
      <c r="H274" s="22" t="s">
        <v>2983</v>
      </c>
      <c r="I274" s="17">
        <v>0</v>
      </c>
      <c r="J274" s="22" t="s">
        <v>2180</v>
      </c>
      <c r="K274" s="17">
        <v>0</v>
      </c>
      <c r="L274" s="59">
        <v>1</v>
      </c>
      <c r="M274" s="22" t="s">
        <v>165</v>
      </c>
      <c r="N274" s="24" t="s">
        <v>2630</v>
      </c>
      <c r="P274" s="22" t="s">
        <v>2181</v>
      </c>
      <c r="Q274" s="25"/>
      <c r="R274" s="17">
        <v>1</v>
      </c>
      <c r="S274" s="17">
        <v>0</v>
      </c>
      <c r="T274" s="17">
        <v>0</v>
      </c>
      <c r="U274" s="17">
        <v>1</v>
      </c>
      <c r="V274" s="17">
        <v>0</v>
      </c>
      <c r="W274" s="17">
        <v>553</v>
      </c>
      <c r="X274" s="17">
        <v>35</v>
      </c>
      <c r="Y274" s="17">
        <v>7</v>
      </c>
      <c r="Z274" s="17">
        <f t="shared" si="33"/>
        <v>595</v>
      </c>
      <c r="AA274" s="11">
        <f t="shared" si="29"/>
        <v>0.92941176470588238</v>
      </c>
      <c r="AB274" s="11">
        <f t="shared" si="30"/>
        <v>5.8823529411764705E-2</v>
      </c>
      <c r="AC274" s="66">
        <f t="shared" si="31"/>
        <v>0.92941176470588238</v>
      </c>
      <c r="AD274" s="67">
        <f t="shared" si="32"/>
        <v>0.89411764705882357</v>
      </c>
      <c r="AF274" s="36"/>
    </row>
    <row r="275" spans="1:32" ht="15.5" customHeight="1" x14ac:dyDescent="0.2">
      <c r="A275" t="s">
        <v>2159</v>
      </c>
      <c r="B275" s="17">
        <v>1</v>
      </c>
      <c r="C275" s="17">
        <v>0</v>
      </c>
      <c r="D275" s="22" t="s">
        <v>2176</v>
      </c>
      <c r="E275" s="22" t="s">
        <v>2177</v>
      </c>
      <c r="F275" s="17">
        <f t="shared" si="27"/>
        <v>1999</v>
      </c>
      <c r="G275" s="18">
        <v>36216</v>
      </c>
      <c r="H275" s="22" t="s">
        <v>2983</v>
      </c>
      <c r="I275" s="17">
        <v>0</v>
      </c>
      <c r="J275" s="22" t="s">
        <v>2182</v>
      </c>
      <c r="K275" s="17">
        <v>0</v>
      </c>
      <c r="L275" s="59">
        <v>1</v>
      </c>
      <c r="M275" s="22" t="s">
        <v>165</v>
      </c>
      <c r="N275" s="24" t="s">
        <v>2630</v>
      </c>
      <c r="P275" s="22" t="s">
        <v>2183</v>
      </c>
      <c r="Q275" s="22" t="s">
        <v>2184</v>
      </c>
      <c r="R275" s="17">
        <v>1</v>
      </c>
      <c r="S275" s="17">
        <v>0</v>
      </c>
      <c r="T275" s="17">
        <v>0</v>
      </c>
      <c r="U275" s="17">
        <v>1</v>
      </c>
      <c r="V275" s="17">
        <v>0</v>
      </c>
      <c r="W275" s="17">
        <v>553</v>
      </c>
      <c r="X275" s="17">
        <v>41</v>
      </c>
      <c r="Y275" s="17">
        <v>10</v>
      </c>
      <c r="Z275" s="17">
        <f t="shared" si="33"/>
        <v>604</v>
      </c>
      <c r="AA275" s="11">
        <f t="shared" si="29"/>
        <v>0.91556291390728473</v>
      </c>
      <c r="AB275" s="11">
        <f t="shared" si="30"/>
        <v>6.7880794701986755E-2</v>
      </c>
      <c r="AC275" s="66">
        <f t="shared" si="31"/>
        <v>0.91556291390728473</v>
      </c>
      <c r="AD275" s="67">
        <f t="shared" si="32"/>
        <v>0.8733443708609272</v>
      </c>
    </row>
    <row r="276" spans="1:32" ht="15.5" customHeight="1" x14ac:dyDescent="0.2">
      <c r="A276" t="s">
        <v>2159</v>
      </c>
      <c r="B276" s="17">
        <v>1</v>
      </c>
      <c r="C276" s="17">
        <v>0</v>
      </c>
      <c r="D276" s="22" t="s">
        <v>2176</v>
      </c>
      <c r="E276" s="22" t="s">
        <v>2177</v>
      </c>
      <c r="F276" s="17">
        <f t="shared" ref="F276:F339" si="34">YEAR(G276)</f>
        <v>1999</v>
      </c>
      <c r="G276" s="18">
        <v>36287</v>
      </c>
      <c r="H276" s="22" t="s">
        <v>2983</v>
      </c>
      <c r="I276" s="17">
        <v>0</v>
      </c>
      <c r="J276" s="22" t="s">
        <v>2185</v>
      </c>
      <c r="K276" s="17">
        <v>0</v>
      </c>
      <c r="L276" s="59">
        <v>1</v>
      </c>
      <c r="M276" s="22" t="s">
        <v>165</v>
      </c>
      <c r="N276" s="24" t="s">
        <v>2630</v>
      </c>
      <c r="P276" s="22" t="s">
        <v>2186</v>
      </c>
      <c r="Q276" s="25"/>
      <c r="R276" s="17">
        <v>1</v>
      </c>
      <c r="S276" s="17">
        <v>0</v>
      </c>
      <c r="T276" s="17">
        <v>0</v>
      </c>
      <c r="U276" s="17">
        <v>1</v>
      </c>
      <c r="V276" s="17">
        <v>0</v>
      </c>
      <c r="W276" s="17">
        <v>565</v>
      </c>
      <c r="X276" s="17">
        <v>43</v>
      </c>
      <c r="Y276" s="17">
        <v>7</v>
      </c>
      <c r="Z276" s="17">
        <f t="shared" si="33"/>
        <v>615</v>
      </c>
      <c r="AA276" s="11">
        <f t="shared" si="29"/>
        <v>0.91869918699186992</v>
      </c>
      <c r="AB276" s="11">
        <f t="shared" si="30"/>
        <v>6.9918699186991867E-2</v>
      </c>
      <c r="AC276" s="66">
        <f t="shared" si="31"/>
        <v>0.91869918699186992</v>
      </c>
      <c r="AD276" s="67">
        <f t="shared" si="32"/>
        <v>0.87804878048780488</v>
      </c>
    </row>
    <row r="277" spans="1:32" ht="14.5" customHeight="1" x14ac:dyDescent="0.2">
      <c r="A277" t="s">
        <v>2159</v>
      </c>
      <c r="B277" s="17">
        <v>1</v>
      </c>
      <c r="C277" s="17">
        <v>0</v>
      </c>
      <c r="D277" s="22" t="s">
        <v>2176</v>
      </c>
      <c r="E277" s="22" t="s">
        <v>2177</v>
      </c>
      <c r="F277" s="17">
        <f t="shared" si="34"/>
        <v>1999</v>
      </c>
      <c r="G277" s="18">
        <v>36322</v>
      </c>
      <c r="H277" s="22" t="s">
        <v>2983</v>
      </c>
      <c r="I277" s="17">
        <v>0</v>
      </c>
      <c r="J277" s="22" t="s">
        <v>2187</v>
      </c>
      <c r="K277" s="17">
        <v>0</v>
      </c>
      <c r="L277" s="59">
        <v>1</v>
      </c>
      <c r="M277" s="22" t="s">
        <v>165</v>
      </c>
      <c r="N277" s="24" t="s">
        <v>2630</v>
      </c>
      <c r="P277" s="22" t="s">
        <v>2188</v>
      </c>
      <c r="Q277" s="25"/>
      <c r="R277" s="17">
        <v>1</v>
      </c>
      <c r="S277" s="17">
        <v>0</v>
      </c>
      <c r="T277" s="17">
        <v>0</v>
      </c>
      <c r="U277" s="17">
        <v>1</v>
      </c>
      <c r="V277" s="17">
        <v>0</v>
      </c>
      <c r="W277" s="17">
        <v>505</v>
      </c>
      <c r="X277" s="17">
        <v>24</v>
      </c>
      <c r="Y277" s="17">
        <v>11</v>
      </c>
      <c r="Z277" s="17">
        <f t="shared" si="33"/>
        <v>540</v>
      </c>
      <c r="AA277" s="11">
        <f t="shared" si="29"/>
        <v>0.93518518518518523</v>
      </c>
      <c r="AB277" s="11">
        <f t="shared" si="30"/>
        <v>4.4444444444444446E-2</v>
      </c>
      <c r="AC277" s="66">
        <f t="shared" si="31"/>
        <v>0.93518518518518523</v>
      </c>
      <c r="AD277" s="67">
        <f t="shared" si="32"/>
        <v>0.90277777777777779</v>
      </c>
    </row>
    <row r="278" spans="1:32" ht="14.5" customHeight="1" x14ac:dyDescent="0.2">
      <c r="A278" t="s">
        <v>2159</v>
      </c>
      <c r="B278" s="17">
        <v>1</v>
      </c>
      <c r="C278" s="17">
        <v>0</v>
      </c>
      <c r="D278" s="22" t="s">
        <v>2176</v>
      </c>
      <c r="E278" s="22" t="s">
        <v>2177</v>
      </c>
      <c r="F278" s="17">
        <f t="shared" si="34"/>
        <v>2000</v>
      </c>
      <c r="G278" s="18">
        <v>36685</v>
      </c>
      <c r="H278" s="22" t="s">
        <v>2983</v>
      </c>
      <c r="I278" s="17">
        <v>0</v>
      </c>
      <c r="J278" s="22" t="s">
        <v>2189</v>
      </c>
      <c r="K278" s="17">
        <v>0</v>
      </c>
      <c r="L278" s="59">
        <v>1</v>
      </c>
      <c r="M278" s="22" t="s">
        <v>165</v>
      </c>
      <c r="N278" s="24" t="s">
        <v>2630</v>
      </c>
      <c r="P278" s="22" t="s">
        <v>2190</v>
      </c>
      <c r="Q278" s="25"/>
      <c r="R278" s="17">
        <v>1</v>
      </c>
      <c r="S278" s="17">
        <v>0</v>
      </c>
      <c r="T278" s="17">
        <v>0</v>
      </c>
      <c r="U278" s="17">
        <v>1</v>
      </c>
      <c r="V278" s="17">
        <v>1</v>
      </c>
      <c r="W278" s="17">
        <v>534</v>
      </c>
      <c r="X278" s="17">
        <v>39</v>
      </c>
      <c r="Y278" s="17">
        <v>10</v>
      </c>
      <c r="Z278" s="17">
        <f t="shared" si="33"/>
        <v>583</v>
      </c>
      <c r="AA278" s="11">
        <f t="shared" si="29"/>
        <v>0.91595197255574612</v>
      </c>
      <c r="AB278" s="11">
        <f t="shared" si="30"/>
        <v>6.6895368782161235E-2</v>
      </c>
      <c r="AC278" s="66">
        <f t="shared" si="31"/>
        <v>0.91595197255574612</v>
      </c>
      <c r="AD278" s="67">
        <f t="shared" si="32"/>
        <v>0.87392795883361918</v>
      </c>
    </row>
    <row r="279" spans="1:32" ht="14.5" customHeight="1" x14ac:dyDescent="0.2">
      <c r="A279" t="s">
        <v>2159</v>
      </c>
      <c r="B279" s="17">
        <v>1</v>
      </c>
      <c r="C279" s="17">
        <v>0</v>
      </c>
      <c r="D279" s="22" t="s">
        <v>2176</v>
      </c>
      <c r="E279" s="22" t="s">
        <v>2177</v>
      </c>
      <c r="F279" s="17">
        <f t="shared" si="34"/>
        <v>2001</v>
      </c>
      <c r="G279" s="18">
        <v>37043</v>
      </c>
      <c r="H279" s="22" t="s">
        <v>2983</v>
      </c>
      <c r="I279" s="17">
        <v>0</v>
      </c>
      <c r="J279" s="22" t="s">
        <v>2191</v>
      </c>
      <c r="K279" s="17">
        <v>0</v>
      </c>
      <c r="L279" s="59">
        <v>1</v>
      </c>
      <c r="M279" s="22" t="s">
        <v>165</v>
      </c>
      <c r="N279" s="24" t="s">
        <v>2630</v>
      </c>
      <c r="P279" s="22" t="s">
        <v>2192</v>
      </c>
      <c r="Q279" s="25"/>
      <c r="R279" s="17">
        <v>1</v>
      </c>
      <c r="S279" s="17">
        <v>0</v>
      </c>
      <c r="T279" s="17">
        <v>0</v>
      </c>
      <c r="U279" s="17">
        <v>1</v>
      </c>
      <c r="V279" s="17">
        <v>1</v>
      </c>
      <c r="W279" s="17">
        <v>491</v>
      </c>
      <c r="X279" s="17">
        <v>92</v>
      </c>
      <c r="Y279" s="17">
        <v>15</v>
      </c>
      <c r="Z279" s="17">
        <f t="shared" si="33"/>
        <v>598</v>
      </c>
      <c r="AA279" s="11">
        <f t="shared" si="29"/>
        <v>0.82107023411371238</v>
      </c>
      <c r="AB279" s="11">
        <f t="shared" si="30"/>
        <v>0.15384615384615385</v>
      </c>
      <c r="AC279" s="66">
        <f t="shared" si="31"/>
        <v>0.82107023411371238</v>
      </c>
      <c r="AD279" s="67">
        <f t="shared" si="32"/>
        <v>0.73160535117056857</v>
      </c>
    </row>
    <row r="280" spans="1:32" ht="14.5" customHeight="1" x14ac:dyDescent="0.2">
      <c r="A280" t="s">
        <v>2159</v>
      </c>
      <c r="B280" s="17">
        <v>1</v>
      </c>
      <c r="C280" s="17">
        <v>0</v>
      </c>
      <c r="D280" s="22" t="s">
        <v>2176</v>
      </c>
      <c r="E280" s="22" t="s">
        <v>2177</v>
      </c>
      <c r="F280" s="17">
        <f t="shared" si="34"/>
        <v>2001</v>
      </c>
      <c r="G280" s="18">
        <v>37132</v>
      </c>
      <c r="H280" s="22" t="s">
        <v>2983</v>
      </c>
      <c r="I280" s="17">
        <v>0</v>
      </c>
      <c r="J280" s="22" t="s">
        <v>2193</v>
      </c>
      <c r="K280" s="17">
        <v>0</v>
      </c>
      <c r="L280" s="59">
        <v>1</v>
      </c>
      <c r="M280" s="22" t="s">
        <v>2609</v>
      </c>
      <c r="N280" s="22" t="s">
        <v>2630</v>
      </c>
      <c r="P280" s="22" t="s">
        <v>2194</v>
      </c>
      <c r="Q280" s="25"/>
      <c r="R280" s="17">
        <v>1</v>
      </c>
      <c r="S280" s="17">
        <v>0</v>
      </c>
      <c r="T280" s="17">
        <v>0</v>
      </c>
      <c r="U280" s="17">
        <v>1</v>
      </c>
      <c r="V280" s="17">
        <v>0</v>
      </c>
      <c r="W280" s="17">
        <v>497</v>
      </c>
      <c r="X280" s="17">
        <v>130</v>
      </c>
      <c r="Y280" s="17">
        <v>8</v>
      </c>
      <c r="Z280" s="17">
        <f t="shared" si="33"/>
        <v>635</v>
      </c>
      <c r="AA280" s="11">
        <f t="shared" si="29"/>
        <v>0.78267716535433074</v>
      </c>
      <c r="AB280" s="11">
        <f t="shared" si="30"/>
        <v>0.20472440944881889</v>
      </c>
      <c r="AC280" s="66">
        <f t="shared" si="31"/>
        <v>0.78267716535433074</v>
      </c>
      <c r="AD280" s="67">
        <f t="shared" si="32"/>
        <v>0.67401574803149611</v>
      </c>
    </row>
    <row r="281" spans="1:32" ht="14.5" customHeight="1" x14ac:dyDescent="0.2">
      <c r="A281" t="s">
        <v>2159</v>
      </c>
      <c r="B281" s="17">
        <v>1</v>
      </c>
      <c r="C281" s="17">
        <v>0</v>
      </c>
      <c r="D281" s="22" t="s">
        <v>2176</v>
      </c>
      <c r="E281" s="22" t="s">
        <v>2177</v>
      </c>
      <c r="F281" s="17">
        <f t="shared" si="34"/>
        <v>2001</v>
      </c>
      <c r="G281" s="18">
        <v>37161</v>
      </c>
      <c r="H281" s="22" t="s">
        <v>2983</v>
      </c>
      <c r="I281" s="17">
        <v>0</v>
      </c>
      <c r="J281" s="22" t="s">
        <v>2195</v>
      </c>
      <c r="K281" s="17">
        <v>0</v>
      </c>
      <c r="L281" s="59">
        <v>1</v>
      </c>
      <c r="M281" s="5" t="s">
        <v>2568</v>
      </c>
      <c r="N281" s="22" t="s">
        <v>2630</v>
      </c>
      <c r="P281" s="22" t="s">
        <v>2196</v>
      </c>
      <c r="Q281" s="25"/>
      <c r="R281" s="17">
        <v>1</v>
      </c>
      <c r="S281" s="17">
        <v>0</v>
      </c>
      <c r="T281" s="17">
        <v>0</v>
      </c>
      <c r="U281" s="17">
        <v>1</v>
      </c>
      <c r="V281" s="17">
        <v>0</v>
      </c>
      <c r="W281" s="17">
        <v>528</v>
      </c>
      <c r="X281" s="17">
        <v>40</v>
      </c>
      <c r="Y281" s="17">
        <v>10</v>
      </c>
      <c r="Z281" s="17">
        <f t="shared" si="33"/>
        <v>578</v>
      </c>
      <c r="AA281" s="11">
        <f t="shared" si="29"/>
        <v>0.91349480968858132</v>
      </c>
      <c r="AB281" s="11">
        <f t="shared" si="30"/>
        <v>6.9204152249134954E-2</v>
      </c>
      <c r="AC281" s="66">
        <f t="shared" si="31"/>
        <v>0.91349480968858132</v>
      </c>
      <c r="AD281" s="67">
        <f t="shared" si="32"/>
        <v>0.87024221453287198</v>
      </c>
    </row>
    <row r="282" spans="1:32" ht="14.5" customHeight="1" x14ac:dyDescent="0.2">
      <c r="A282" t="s">
        <v>2159</v>
      </c>
      <c r="B282" s="17">
        <v>1</v>
      </c>
      <c r="C282" s="17">
        <v>0</v>
      </c>
      <c r="D282" s="22" t="s">
        <v>2176</v>
      </c>
      <c r="E282" s="22" t="s">
        <v>2177</v>
      </c>
      <c r="F282" s="17">
        <f t="shared" si="34"/>
        <v>2001</v>
      </c>
      <c r="G282" s="18">
        <v>37211</v>
      </c>
      <c r="H282" s="22" t="s">
        <v>2983</v>
      </c>
      <c r="I282" s="17">
        <v>0</v>
      </c>
      <c r="J282" s="19" t="s">
        <v>2197</v>
      </c>
      <c r="K282" s="17">
        <v>0</v>
      </c>
      <c r="L282" s="59">
        <v>1</v>
      </c>
      <c r="M282" s="5" t="s">
        <v>2566</v>
      </c>
      <c r="N282" s="5" t="s">
        <v>422</v>
      </c>
      <c r="P282" s="22" t="s">
        <v>2198</v>
      </c>
      <c r="Q282" s="25"/>
      <c r="R282" s="17">
        <v>1</v>
      </c>
      <c r="S282" s="17">
        <v>0</v>
      </c>
      <c r="T282" s="17">
        <v>0</v>
      </c>
      <c r="U282" s="17">
        <v>1</v>
      </c>
      <c r="V282" s="17">
        <v>0</v>
      </c>
      <c r="W282" s="17">
        <v>336</v>
      </c>
      <c r="X282" s="17">
        <v>326</v>
      </c>
      <c r="Y282" s="17">
        <v>0</v>
      </c>
      <c r="Z282" s="17">
        <f t="shared" si="33"/>
        <v>662</v>
      </c>
      <c r="AA282" s="11">
        <f t="shared" si="29"/>
        <v>0.50755287009063443</v>
      </c>
      <c r="AB282" s="11">
        <f t="shared" si="30"/>
        <v>0.49244712990936557</v>
      </c>
      <c r="AC282" s="66">
        <f t="shared" si="31"/>
        <v>0.50755287009063443</v>
      </c>
      <c r="AD282" s="67">
        <f t="shared" si="32"/>
        <v>0.26132930513595165</v>
      </c>
    </row>
    <row r="283" spans="1:32" ht="14.5" customHeight="1" x14ac:dyDescent="0.2">
      <c r="A283" t="s">
        <v>2159</v>
      </c>
      <c r="B283" s="17">
        <v>1</v>
      </c>
      <c r="C283" s="17">
        <v>0</v>
      </c>
      <c r="D283" s="22" t="s">
        <v>2176</v>
      </c>
      <c r="E283" s="22" t="s">
        <v>2177</v>
      </c>
      <c r="F283" s="17">
        <f t="shared" si="34"/>
        <v>2001</v>
      </c>
      <c r="G283" s="18">
        <v>37238</v>
      </c>
      <c r="H283" s="22" t="s">
        <v>2983</v>
      </c>
      <c r="I283" s="17">
        <v>0</v>
      </c>
      <c r="J283" s="22"/>
      <c r="K283" s="17">
        <v>0</v>
      </c>
      <c r="L283" s="59">
        <v>1</v>
      </c>
      <c r="M283" s="5" t="s">
        <v>2568</v>
      </c>
      <c r="N283" s="22" t="s">
        <v>2630</v>
      </c>
      <c r="P283" s="22" t="s">
        <v>2199</v>
      </c>
      <c r="Q283" s="25"/>
      <c r="R283" s="17">
        <v>1</v>
      </c>
      <c r="S283" s="17">
        <v>0</v>
      </c>
      <c r="T283" s="17">
        <v>0</v>
      </c>
      <c r="U283" s="17">
        <v>1</v>
      </c>
      <c r="V283" s="17">
        <v>1</v>
      </c>
      <c r="W283" s="17">
        <v>573</v>
      </c>
      <c r="X283" s="17">
        <v>36</v>
      </c>
      <c r="Y283" s="17">
        <v>6</v>
      </c>
      <c r="Z283" s="17">
        <f t="shared" si="33"/>
        <v>615</v>
      </c>
      <c r="AA283" s="11">
        <f t="shared" si="29"/>
        <v>0.93170731707317078</v>
      </c>
      <c r="AB283" s="11">
        <f t="shared" si="30"/>
        <v>5.8536585365853662E-2</v>
      </c>
      <c r="AC283" s="66">
        <f t="shared" si="31"/>
        <v>0.93170731707317078</v>
      </c>
      <c r="AD283" s="67">
        <f t="shared" si="32"/>
        <v>0.89756097560975612</v>
      </c>
    </row>
    <row r="284" spans="1:32" ht="14.5" customHeight="1" x14ac:dyDescent="0.2">
      <c r="A284" t="s">
        <v>2159</v>
      </c>
      <c r="B284" s="17">
        <v>1</v>
      </c>
      <c r="C284" s="17">
        <v>0</v>
      </c>
      <c r="D284" s="22" t="s">
        <v>2176</v>
      </c>
      <c r="E284" s="22" t="s">
        <v>2177</v>
      </c>
      <c r="F284" s="17">
        <f t="shared" si="34"/>
        <v>2001</v>
      </c>
      <c r="G284" s="18">
        <v>37247</v>
      </c>
      <c r="H284" s="22" t="s">
        <v>2983</v>
      </c>
      <c r="I284" s="17">
        <v>0</v>
      </c>
      <c r="J284" s="22" t="s">
        <v>2200</v>
      </c>
      <c r="K284" s="17">
        <v>0</v>
      </c>
      <c r="L284" s="59">
        <v>1</v>
      </c>
      <c r="M284" s="22" t="s">
        <v>129</v>
      </c>
      <c r="N284" s="22" t="s">
        <v>422</v>
      </c>
      <c r="P284" s="22" t="s">
        <v>2201</v>
      </c>
      <c r="Q284" s="25"/>
      <c r="R284" s="17">
        <v>1</v>
      </c>
      <c r="S284" s="17">
        <v>0</v>
      </c>
      <c r="T284" s="17">
        <v>0</v>
      </c>
      <c r="U284" s="17">
        <v>1</v>
      </c>
      <c r="V284" s="17">
        <v>0</v>
      </c>
      <c r="W284" s="17">
        <v>538</v>
      </c>
      <c r="X284" s="17">
        <v>35</v>
      </c>
      <c r="Y284" s="17">
        <v>8</v>
      </c>
      <c r="Z284" s="17">
        <f t="shared" si="33"/>
        <v>581</v>
      </c>
      <c r="AA284" s="11">
        <f t="shared" si="29"/>
        <v>0.9259896729776248</v>
      </c>
      <c r="AB284" s="11">
        <f t="shared" si="30"/>
        <v>6.0240963855421686E-2</v>
      </c>
      <c r="AC284" s="66">
        <f t="shared" si="31"/>
        <v>0.9259896729776248</v>
      </c>
      <c r="AD284" s="67">
        <f t="shared" si="32"/>
        <v>0.88898450946643714</v>
      </c>
    </row>
    <row r="285" spans="1:32" ht="14.5" customHeight="1" x14ac:dyDescent="0.2">
      <c r="A285" t="s">
        <v>2159</v>
      </c>
      <c r="B285" s="17">
        <v>1</v>
      </c>
      <c r="C285" s="17">
        <v>0</v>
      </c>
      <c r="D285" s="22" t="s">
        <v>2176</v>
      </c>
      <c r="E285" s="22" t="s">
        <v>2177</v>
      </c>
      <c r="F285" s="17">
        <f t="shared" si="34"/>
        <v>2002</v>
      </c>
      <c r="G285" s="18">
        <v>37337</v>
      </c>
      <c r="H285" s="22" t="s">
        <v>2983</v>
      </c>
      <c r="I285" s="17">
        <v>0</v>
      </c>
      <c r="J285" s="22"/>
      <c r="K285" s="17">
        <v>0</v>
      </c>
      <c r="L285" s="59">
        <v>1</v>
      </c>
      <c r="M285" s="5" t="s">
        <v>2568</v>
      </c>
      <c r="N285" s="22" t="s">
        <v>2630</v>
      </c>
      <c r="P285" s="22" t="s">
        <v>2202</v>
      </c>
      <c r="Q285" s="25"/>
      <c r="R285" s="17">
        <v>1</v>
      </c>
      <c r="S285" s="17">
        <v>0</v>
      </c>
      <c r="T285" s="17">
        <v>0</v>
      </c>
      <c r="U285" s="17">
        <v>1</v>
      </c>
      <c r="V285" s="17">
        <v>1</v>
      </c>
      <c r="W285" s="17">
        <v>470</v>
      </c>
      <c r="X285" s="17">
        <v>34</v>
      </c>
      <c r="Y285" s="17">
        <v>6</v>
      </c>
      <c r="Z285" s="17">
        <f t="shared" si="33"/>
        <v>510</v>
      </c>
      <c r="AA285" s="11">
        <f t="shared" si="29"/>
        <v>0.92156862745098034</v>
      </c>
      <c r="AB285" s="11">
        <f t="shared" si="30"/>
        <v>6.6666666666666666E-2</v>
      </c>
      <c r="AC285" s="66">
        <f t="shared" si="31"/>
        <v>0.92156862745098034</v>
      </c>
      <c r="AD285" s="67">
        <f t="shared" si="32"/>
        <v>0.88235294117647056</v>
      </c>
    </row>
    <row r="286" spans="1:32" ht="14.5" customHeight="1" x14ac:dyDescent="0.2">
      <c r="A286" t="s">
        <v>2159</v>
      </c>
      <c r="B286" s="17">
        <v>1</v>
      </c>
      <c r="C286" s="17">
        <v>0</v>
      </c>
      <c r="D286" s="22" t="s">
        <v>2176</v>
      </c>
      <c r="E286" s="22" t="s">
        <v>2177</v>
      </c>
      <c r="F286" s="17">
        <f t="shared" si="34"/>
        <v>2002</v>
      </c>
      <c r="G286" s="16">
        <v>37414</v>
      </c>
      <c r="H286" s="22" t="s">
        <v>2983</v>
      </c>
      <c r="I286" s="17">
        <v>0</v>
      </c>
      <c r="J286" s="22" t="s">
        <v>2203</v>
      </c>
      <c r="K286" s="17">
        <v>0</v>
      </c>
      <c r="L286" s="59">
        <v>1</v>
      </c>
      <c r="M286" s="22" t="s">
        <v>165</v>
      </c>
      <c r="N286" s="24" t="s">
        <v>2630</v>
      </c>
      <c r="P286" s="22" t="s">
        <v>2204</v>
      </c>
      <c r="Q286" s="25"/>
      <c r="R286" s="17">
        <v>1</v>
      </c>
      <c r="S286" s="17">
        <v>0</v>
      </c>
      <c r="T286" s="17">
        <v>0</v>
      </c>
      <c r="U286" s="17">
        <v>1</v>
      </c>
      <c r="V286" s="17">
        <v>1</v>
      </c>
      <c r="W286" s="17">
        <v>483</v>
      </c>
      <c r="X286" s="17">
        <v>36</v>
      </c>
      <c r="Y286" s="17">
        <v>4</v>
      </c>
      <c r="Z286" s="17">
        <f t="shared" si="33"/>
        <v>523</v>
      </c>
      <c r="AA286" s="11">
        <f t="shared" si="29"/>
        <v>0.92351816443594648</v>
      </c>
      <c r="AB286" s="11">
        <f t="shared" si="30"/>
        <v>6.8833652007648183E-2</v>
      </c>
      <c r="AC286" s="66">
        <f t="shared" si="31"/>
        <v>0.92351816443594648</v>
      </c>
      <c r="AD286" s="67">
        <f t="shared" si="32"/>
        <v>0.88527724665391971</v>
      </c>
    </row>
    <row r="287" spans="1:32" ht="14.5" customHeight="1" x14ac:dyDescent="0.2">
      <c r="A287" t="s">
        <v>2159</v>
      </c>
      <c r="B287" s="17">
        <v>1</v>
      </c>
      <c r="C287" s="17">
        <v>0</v>
      </c>
      <c r="D287" s="22" t="s">
        <v>2176</v>
      </c>
      <c r="E287" s="22" t="s">
        <v>2177</v>
      </c>
      <c r="F287" s="17">
        <f t="shared" si="34"/>
        <v>2002</v>
      </c>
      <c r="G287" s="18">
        <v>37421</v>
      </c>
      <c r="H287" s="22" t="s">
        <v>2983</v>
      </c>
      <c r="I287" s="17">
        <v>0</v>
      </c>
      <c r="J287" s="22"/>
      <c r="K287" s="17">
        <v>0</v>
      </c>
      <c r="L287" s="59">
        <v>1</v>
      </c>
      <c r="M287" s="5" t="s">
        <v>2568</v>
      </c>
      <c r="N287" s="22" t="s">
        <v>2630</v>
      </c>
      <c r="P287" s="22" t="s">
        <v>2205</v>
      </c>
      <c r="Q287" s="25"/>
      <c r="R287" s="17">
        <v>1</v>
      </c>
      <c r="S287" s="17">
        <v>0</v>
      </c>
      <c r="T287" s="17">
        <v>0</v>
      </c>
      <c r="U287" s="17">
        <v>1</v>
      </c>
      <c r="V287" s="17">
        <v>1</v>
      </c>
      <c r="W287" s="17">
        <v>517</v>
      </c>
      <c r="X287" s="17">
        <v>34</v>
      </c>
      <c r="Y287" s="17">
        <v>5</v>
      </c>
      <c r="Z287" s="17">
        <f t="shared" si="33"/>
        <v>556</v>
      </c>
      <c r="AA287" s="11">
        <f t="shared" si="29"/>
        <v>0.92985611510791366</v>
      </c>
      <c r="AB287" s="11">
        <f t="shared" si="30"/>
        <v>6.1151079136690649E-2</v>
      </c>
      <c r="AC287" s="66">
        <f t="shared" si="31"/>
        <v>0.92985611510791366</v>
      </c>
      <c r="AD287" s="67">
        <f t="shared" si="32"/>
        <v>0.89478417266187049</v>
      </c>
    </row>
    <row r="288" spans="1:32" ht="14.5" customHeight="1" x14ac:dyDescent="0.2">
      <c r="A288" t="s">
        <v>2159</v>
      </c>
      <c r="B288" s="17">
        <v>1</v>
      </c>
      <c r="C288" s="17">
        <v>0</v>
      </c>
      <c r="D288" s="22" t="s">
        <v>2176</v>
      </c>
      <c r="E288" s="22" t="s">
        <v>2177</v>
      </c>
      <c r="F288" s="17">
        <f t="shared" si="34"/>
        <v>2002</v>
      </c>
      <c r="G288" s="18">
        <v>37421</v>
      </c>
      <c r="H288" s="22" t="s">
        <v>2983</v>
      </c>
      <c r="I288" s="17">
        <v>0</v>
      </c>
      <c r="J288" s="22" t="s">
        <v>2206</v>
      </c>
      <c r="K288" s="17">
        <v>0</v>
      </c>
      <c r="L288" s="59">
        <v>1</v>
      </c>
      <c r="M288" s="22" t="s">
        <v>129</v>
      </c>
      <c r="N288" s="22" t="s">
        <v>422</v>
      </c>
      <c r="P288" s="22" t="s">
        <v>2207</v>
      </c>
      <c r="Q288" s="25"/>
      <c r="R288" s="17">
        <v>1</v>
      </c>
      <c r="S288" s="17">
        <v>0</v>
      </c>
      <c r="T288" s="17">
        <v>0</v>
      </c>
      <c r="U288" s="17">
        <v>1</v>
      </c>
      <c r="V288" s="17">
        <v>1</v>
      </c>
      <c r="W288" s="17">
        <v>496</v>
      </c>
      <c r="X288" s="17">
        <v>38</v>
      </c>
      <c r="Y288" s="17">
        <v>5</v>
      </c>
      <c r="Z288" s="17">
        <f t="shared" si="33"/>
        <v>539</v>
      </c>
      <c r="AA288" s="11">
        <f t="shared" si="29"/>
        <v>0.92022263450834885</v>
      </c>
      <c r="AB288" s="11">
        <f t="shared" si="30"/>
        <v>7.050092764378478E-2</v>
      </c>
      <c r="AC288" s="66">
        <f t="shared" si="31"/>
        <v>0.92022263450834885</v>
      </c>
      <c r="AD288" s="67">
        <f t="shared" si="32"/>
        <v>0.88033395176252316</v>
      </c>
    </row>
    <row r="289" spans="1:95" ht="14.5" customHeight="1" x14ac:dyDescent="0.2">
      <c r="A289" t="s">
        <v>2159</v>
      </c>
      <c r="B289" s="17">
        <v>1</v>
      </c>
      <c r="C289" s="17">
        <v>0</v>
      </c>
      <c r="D289" s="22" t="s">
        <v>2208</v>
      </c>
      <c r="E289" s="22" t="s">
        <v>2177</v>
      </c>
      <c r="F289" s="17">
        <f t="shared" si="34"/>
        <v>2002</v>
      </c>
      <c r="G289" s="18">
        <v>37552</v>
      </c>
      <c r="H289" s="22" t="s">
        <v>2983</v>
      </c>
      <c r="I289" s="17">
        <v>0</v>
      </c>
      <c r="J289" s="22" t="s">
        <v>2209</v>
      </c>
      <c r="K289" s="17">
        <v>0</v>
      </c>
      <c r="L289" s="59">
        <v>1</v>
      </c>
      <c r="M289" s="5" t="s">
        <v>2568</v>
      </c>
      <c r="N289" s="22" t="s">
        <v>2630</v>
      </c>
      <c r="P289" s="26" t="s">
        <v>2210</v>
      </c>
      <c r="Q289" s="27"/>
      <c r="R289" s="17">
        <v>1</v>
      </c>
      <c r="S289" s="17">
        <v>0</v>
      </c>
      <c r="T289" s="17">
        <v>0</v>
      </c>
      <c r="U289" s="17">
        <v>1</v>
      </c>
      <c r="V289" s="17">
        <v>1</v>
      </c>
      <c r="W289" s="17">
        <v>584</v>
      </c>
      <c r="X289" s="17">
        <v>6</v>
      </c>
      <c r="Y289" s="17">
        <v>6</v>
      </c>
      <c r="Z289" s="17">
        <f t="shared" si="33"/>
        <v>596</v>
      </c>
      <c r="AA289" s="11">
        <f t="shared" si="29"/>
        <v>0.97986577181208057</v>
      </c>
      <c r="AB289" s="11">
        <f t="shared" si="30"/>
        <v>1.0067114093959731E-2</v>
      </c>
      <c r="AC289" s="66">
        <f t="shared" si="31"/>
        <v>0.97986577181208057</v>
      </c>
      <c r="AD289" s="67">
        <f t="shared" si="32"/>
        <v>0.96979865771812079</v>
      </c>
    </row>
    <row r="290" spans="1:95" ht="14.5" customHeight="1" x14ac:dyDescent="0.2">
      <c r="A290" t="s">
        <v>2159</v>
      </c>
      <c r="B290" s="17">
        <v>1</v>
      </c>
      <c r="C290" s="17">
        <v>0</v>
      </c>
      <c r="D290" s="22" t="s">
        <v>2208</v>
      </c>
      <c r="E290" s="22" t="s">
        <v>2177</v>
      </c>
      <c r="F290" s="17">
        <f t="shared" si="34"/>
        <v>2002</v>
      </c>
      <c r="G290" s="18">
        <v>37575</v>
      </c>
      <c r="H290" s="22" t="s">
        <v>2983</v>
      </c>
      <c r="I290" s="17">
        <v>0</v>
      </c>
      <c r="J290" s="22" t="s">
        <v>2523</v>
      </c>
      <c r="K290" s="17">
        <v>0</v>
      </c>
      <c r="L290" s="59">
        <v>1</v>
      </c>
      <c r="M290" s="5" t="s">
        <v>2566</v>
      </c>
      <c r="N290" s="5" t="s">
        <v>422</v>
      </c>
      <c r="P290" s="22" t="s">
        <v>2211</v>
      </c>
      <c r="Q290" s="25"/>
      <c r="R290" s="17">
        <v>1</v>
      </c>
      <c r="S290" s="17">
        <v>0</v>
      </c>
      <c r="T290" s="17">
        <v>0</v>
      </c>
      <c r="U290" s="17">
        <v>1</v>
      </c>
      <c r="V290" s="17">
        <v>1</v>
      </c>
      <c r="W290" s="17">
        <v>573</v>
      </c>
      <c r="X290" s="17">
        <v>11</v>
      </c>
      <c r="Y290" s="17">
        <v>5</v>
      </c>
      <c r="Z290" s="17">
        <f t="shared" si="33"/>
        <v>589</v>
      </c>
      <c r="AA290" s="11">
        <f t="shared" si="29"/>
        <v>0.97283531409168078</v>
      </c>
      <c r="AB290" s="11">
        <f t="shared" si="30"/>
        <v>1.8675721561969439E-2</v>
      </c>
      <c r="AC290" s="66">
        <f t="shared" si="31"/>
        <v>0.97283531409168078</v>
      </c>
      <c r="AD290" s="67">
        <f t="shared" si="32"/>
        <v>0.95925297113752117</v>
      </c>
    </row>
    <row r="291" spans="1:95" ht="14.5" customHeight="1" x14ac:dyDescent="0.2">
      <c r="A291" t="s">
        <v>2159</v>
      </c>
      <c r="B291" s="17">
        <v>1</v>
      </c>
      <c r="C291" s="17">
        <v>0</v>
      </c>
      <c r="D291" s="22" t="s">
        <v>2208</v>
      </c>
      <c r="E291" s="22" t="s">
        <v>2177</v>
      </c>
      <c r="F291" s="17">
        <f t="shared" si="34"/>
        <v>2002</v>
      </c>
      <c r="G291" s="18">
        <v>37595</v>
      </c>
      <c r="H291" s="22" t="s">
        <v>2983</v>
      </c>
      <c r="I291" s="17">
        <v>0</v>
      </c>
      <c r="J291" s="22" t="s">
        <v>2524</v>
      </c>
      <c r="K291" s="17">
        <v>0</v>
      </c>
      <c r="L291" s="59">
        <v>1</v>
      </c>
      <c r="M291" s="5" t="s">
        <v>2568</v>
      </c>
      <c r="N291" s="22" t="s">
        <v>2630</v>
      </c>
      <c r="P291" s="22" t="s">
        <v>2212</v>
      </c>
      <c r="Q291" s="25"/>
      <c r="R291" s="17">
        <v>1</v>
      </c>
      <c r="S291" s="17">
        <v>0</v>
      </c>
      <c r="T291" s="17">
        <v>0</v>
      </c>
      <c r="U291" s="17">
        <v>1</v>
      </c>
      <c r="V291" s="17">
        <v>0</v>
      </c>
      <c r="W291" s="17">
        <v>573</v>
      </c>
      <c r="X291" s="17">
        <v>6</v>
      </c>
      <c r="Y291" s="17">
        <v>2</v>
      </c>
      <c r="Z291" s="17">
        <f t="shared" si="33"/>
        <v>581</v>
      </c>
      <c r="AA291" s="11">
        <f t="shared" si="29"/>
        <v>0.98623063683304646</v>
      </c>
      <c r="AB291" s="11">
        <f t="shared" si="30"/>
        <v>1.0327022375215147E-2</v>
      </c>
      <c r="AC291" s="66">
        <f t="shared" si="31"/>
        <v>0.98623063683304646</v>
      </c>
      <c r="AD291" s="67">
        <f t="shared" si="32"/>
        <v>0.97934595524956969</v>
      </c>
    </row>
    <row r="292" spans="1:95" ht="14.5" customHeight="1" x14ac:dyDescent="0.2">
      <c r="A292" t="s">
        <v>2159</v>
      </c>
      <c r="B292" s="17">
        <v>1</v>
      </c>
      <c r="C292" s="17">
        <v>0</v>
      </c>
      <c r="D292" s="22" t="s">
        <v>2208</v>
      </c>
      <c r="E292" s="22" t="s">
        <v>2177</v>
      </c>
      <c r="F292" s="17">
        <f t="shared" si="34"/>
        <v>2002</v>
      </c>
      <c r="G292" s="18">
        <v>37610</v>
      </c>
      <c r="H292" s="22" t="s">
        <v>2983</v>
      </c>
      <c r="I292" s="17">
        <v>0</v>
      </c>
      <c r="J292" s="22" t="s">
        <v>2525</v>
      </c>
      <c r="K292" s="17">
        <v>0</v>
      </c>
      <c r="L292" s="59">
        <v>1</v>
      </c>
      <c r="M292" s="22" t="s">
        <v>129</v>
      </c>
      <c r="N292" s="22" t="s">
        <v>422</v>
      </c>
      <c r="P292" s="22" t="s">
        <v>2213</v>
      </c>
      <c r="Q292" s="25"/>
      <c r="R292" s="17">
        <v>1</v>
      </c>
      <c r="S292" s="17">
        <v>0</v>
      </c>
      <c r="T292" s="17">
        <v>0</v>
      </c>
      <c r="U292" s="17">
        <v>1</v>
      </c>
      <c r="V292" s="17">
        <v>1</v>
      </c>
      <c r="W292" s="17">
        <v>565</v>
      </c>
      <c r="X292" s="17">
        <v>9</v>
      </c>
      <c r="Y292" s="17">
        <v>2</v>
      </c>
      <c r="Z292" s="17">
        <f t="shared" si="33"/>
        <v>576</v>
      </c>
      <c r="AA292" s="11">
        <f t="shared" si="29"/>
        <v>0.98090277777777779</v>
      </c>
      <c r="AB292" s="11">
        <f t="shared" si="30"/>
        <v>1.5625E-2</v>
      </c>
      <c r="AC292" s="66">
        <f t="shared" si="31"/>
        <v>0.98090277777777779</v>
      </c>
      <c r="AD292" s="67">
        <f t="shared" si="32"/>
        <v>0.97135416666666663</v>
      </c>
    </row>
    <row r="293" spans="1:95" ht="14.5" customHeight="1" x14ac:dyDescent="0.2">
      <c r="A293" t="s">
        <v>2159</v>
      </c>
      <c r="B293" s="17">
        <v>1</v>
      </c>
      <c r="C293" s="17">
        <v>1</v>
      </c>
      <c r="D293" s="22" t="s">
        <v>2208</v>
      </c>
      <c r="E293" s="22" t="s">
        <v>2177</v>
      </c>
      <c r="F293" s="17">
        <f t="shared" si="34"/>
        <v>2003</v>
      </c>
      <c r="G293" s="18">
        <v>37700</v>
      </c>
      <c r="H293" s="22" t="s">
        <v>2983</v>
      </c>
      <c r="I293" s="17">
        <v>0</v>
      </c>
      <c r="J293" s="22" t="s">
        <v>2526</v>
      </c>
      <c r="K293" s="17">
        <v>0</v>
      </c>
      <c r="L293" s="59">
        <v>1</v>
      </c>
      <c r="M293" s="5" t="s">
        <v>2569</v>
      </c>
      <c r="N293" s="22" t="s">
        <v>2630</v>
      </c>
      <c r="P293" s="22" t="s">
        <v>2214</v>
      </c>
      <c r="Q293" s="25"/>
      <c r="R293" s="17">
        <v>1</v>
      </c>
      <c r="S293" s="17">
        <v>0</v>
      </c>
      <c r="T293" s="17">
        <v>0</v>
      </c>
      <c r="U293" s="17">
        <v>1</v>
      </c>
      <c r="V293" s="17">
        <v>0</v>
      </c>
      <c r="W293" s="17">
        <v>575</v>
      </c>
      <c r="X293" s="17">
        <v>2</v>
      </c>
      <c r="Y293" s="17">
        <v>2</v>
      </c>
      <c r="Z293" s="17">
        <f t="shared" si="33"/>
        <v>579</v>
      </c>
      <c r="AA293" s="11">
        <f t="shared" si="29"/>
        <v>0.99309153713298792</v>
      </c>
      <c r="AB293" s="11">
        <f t="shared" si="30"/>
        <v>3.4542314335060447E-3</v>
      </c>
      <c r="AC293" s="66">
        <f t="shared" si="31"/>
        <v>0.99309153713298792</v>
      </c>
      <c r="AD293" s="67">
        <f t="shared" si="32"/>
        <v>0.98963730569948183</v>
      </c>
    </row>
    <row r="294" spans="1:95" ht="14.5" customHeight="1" x14ac:dyDescent="0.2">
      <c r="A294" t="s">
        <v>2159</v>
      </c>
      <c r="B294" s="17">
        <v>1</v>
      </c>
      <c r="C294" s="17">
        <v>1</v>
      </c>
      <c r="D294" s="22" t="s">
        <v>2208</v>
      </c>
      <c r="E294" s="22" t="s">
        <v>2177</v>
      </c>
      <c r="F294" s="17">
        <f t="shared" si="34"/>
        <v>2003</v>
      </c>
      <c r="G294" s="18">
        <v>37790</v>
      </c>
      <c r="H294" s="22" t="s">
        <v>2983</v>
      </c>
      <c r="I294" s="17">
        <v>0</v>
      </c>
      <c r="J294" s="22" t="s">
        <v>2527</v>
      </c>
      <c r="K294" s="17">
        <v>0</v>
      </c>
      <c r="L294" s="59">
        <v>1</v>
      </c>
      <c r="M294" s="22" t="s">
        <v>2560</v>
      </c>
      <c r="N294" s="22" t="s">
        <v>2629</v>
      </c>
      <c r="P294" s="22" t="s">
        <v>2215</v>
      </c>
      <c r="Q294" s="25"/>
      <c r="R294" s="17">
        <v>1</v>
      </c>
      <c r="S294" s="17">
        <v>0</v>
      </c>
      <c r="T294" s="17">
        <v>0</v>
      </c>
      <c r="U294" s="17">
        <v>1</v>
      </c>
      <c r="V294" s="17">
        <v>0</v>
      </c>
      <c r="W294" s="17">
        <v>441</v>
      </c>
      <c r="X294" s="17">
        <v>30</v>
      </c>
      <c r="Y294" s="17">
        <v>7</v>
      </c>
      <c r="Z294" s="17">
        <f t="shared" si="33"/>
        <v>478</v>
      </c>
      <c r="AA294" s="11">
        <f t="shared" si="29"/>
        <v>0.92259414225941427</v>
      </c>
      <c r="AB294" s="11">
        <f t="shared" si="30"/>
        <v>6.2761506276150625E-2</v>
      </c>
      <c r="AC294" s="66">
        <f t="shared" si="31"/>
        <v>0.92259414225941427</v>
      </c>
      <c r="AD294" s="67">
        <f t="shared" si="32"/>
        <v>0.88389121338912136</v>
      </c>
    </row>
    <row r="295" spans="1:95" ht="14.5" customHeight="1" x14ac:dyDescent="0.2">
      <c r="A295" t="s">
        <v>2159</v>
      </c>
      <c r="B295" s="17">
        <v>1</v>
      </c>
      <c r="C295" s="17">
        <v>1</v>
      </c>
      <c r="D295" s="22" t="s">
        <v>2208</v>
      </c>
      <c r="E295" s="22" t="s">
        <v>2177</v>
      </c>
      <c r="F295" s="17">
        <f t="shared" si="34"/>
        <v>2003</v>
      </c>
      <c r="G295" s="18">
        <v>37918</v>
      </c>
      <c r="H295" s="22" t="s">
        <v>2983</v>
      </c>
      <c r="I295" s="17">
        <v>0</v>
      </c>
      <c r="J295" s="22" t="s">
        <v>2528</v>
      </c>
      <c r="K295" s="17">
        <v>0</v>
      </c>
      <c r="L295" s="59">
        <v>1</v>
      </c>
      <c r="M295" s="22" t="s">
        <v>129</v>
      </c>
      <c r="N295" s="22" t="s">
        <v>422</v>
      </c>
      <c r="P295" s="22" t="s">
        <v>2216</v>
      </c>
      <c r="Q295" s="25"/>
      <c r="R295" s="17">
        <v>1</v>
      </c>
      <c r="S295" s="17">
        <v>0</v>
      </c>
      <c r="T295" s="17">
        <v>0</v>
      </c>
      <c r="U295" s="17">
        <v>1</v>
      </c>
      <c r="V295" s="17">
        <v>1</v>
      </c>
      <c r="W295" s="17">
        <v>531</v>
      </c>
      <c r="X295" s="17">
        <v>57</v>
      </c>
      <c r="Y295" s="17">
        <v>5</v>
      </c>
      <c r="Z295" s="17">
        <f t="shared" si="33"/>
        <v>593</v>
      </c>
      <c r="AA295" s="11">
        <f t="shared" si="29"/>
        <v>0.89544688026981445</v>
      </c>
      <c r="AB295" s="11">
        <f t="shared" si="30"/>
        <v>9.6121416526138273E-2</v>
      </c>
      <c r="AC295" s="66">
        <f t="shared" si="31"/>
        <v>0.89544688026981445</v>
      </c>
      <c r="AD295" s="67">
        <f t="shared" si="32"/>
        <v>0.84317032040472173</v>
      </c>
    </row>
    <row r="296" spans="1:95" ht="14.5" customHeight="1" x14ac:dyDescent="0.2">
      <c r="A296" t="s">
        <v>2159</v>
      </c>
      <c r="B296" s="17">
        <v>1</v>
      </c>
      <c r="C296" s="17">
        <v>1</v>
      </c>
      <c r="D296" s="22" t="s">
        <v>2208</v>
      </c>
      <c r="E296" s="22" t="s">
        <v>2177</v>
      </c>
      <c r="F296" s="17">
        <f t="shared" si="34"/>
        <v>2003</v>
      </c>
      <c r="G296" s="18">
        <v>37939</v>
      </c>
      <c r="H296" s="22" t="s">
        <v>2983</v>
      </c>
      <c r="I296" s="17">
        <v>0</v>
      </c>
      <c r="J296" s="22" t="s">
        <v>2523</v>
      </c>
      <c r="K296" s="17">
        <v>0</v>
      </c>
      <c r="L296" s="59">
        <v>1</v>
      </c>
      <c r="M296" s="5" t="s">
        <v>2566</v>
      </c>
      <c r="N296" s="5" t="s">
        <v>422</v>
      </c>
      <c r="P296" s="22" t="s">
        <v>2217</v>
      </c>
      <c r="Q296" s="25"/>
      <c r="R296" s="17">
        <v>1</v>
      </c>
      <c r="S296" s="17">
        <v>0</v>
      </c>
      <c r="T296" s="17">
        <v>0</v>
      </c>
      <c r="U296" s="17">
        <v>1</v>
      </c>
      <c r="V296" s="17">
        <v>1</v>
      </c>
      <c r="W296" s="17">
        <v>540</v>
      </c>
      <c r="X296" s="17">
        <v>41</v>
      </c>
      <c r="Y296" s="17">
        <v>5</v>
      </c>
      <c r="Z296" s="17">
        <f t="shared" si="33"/>
        <v>586</v>
      </c>
      <c r="AA296" s="11">
        <f t="shared" si="29"/>
        <v>0.92150170648464169</v>
      </c>
      <c r="AB296" s="11">
        <f t="shared" si="30"/>
        <v>6.9965870307167236E-2</v>
      </c>
      <c r="AC296" s="66">
        <f t="shared" si="31"/>
        <v>0.92150170648464169</v>
      </c>
      <c r="AD296" s="67">
        <f t="shared" si="32"/>
        <v>0.88225255972696248</v>
      </c>
      <c r="AE296" s="37"/>
      <c r="AF296" s="41"/>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row>
    <row r="297" spans="1:95" ht="16.75" customHeight="1" x14ac:dyDescent="0.2">
      <c r="A297" t="s">
        <v>2159</v>
      </c>
      <c r="B297" s="17">
        <v>1</v>
      </c>
      <c r="C297" s="17">
        <v>1</v>
      </c>
      <c r="D297" s="22" t="s">
        <v>2208</v>
      </c>
      <c r="E297" s="22" t="s">
        <v>2177</v>
      </c>
      <c r="F297" s="17">
        <f t="shared" si="34"/>
        <v>2004</v>
      </c>
      <c r="G297" s="18">
        <v>38134</v>
      </c>
      <c r="H297" s="22" t="s">
        <v>2983</v>
      </c>
      <c r="I297" s="17">
        <v>0</v>
      </c>
      <c r="J297" s="22" t="s">
        <v>2218</v>
      </c>
      <c r="K297" s="17">
        <v>0</v>
      </c>
      <c r="L297" s="59">
        <v>1</v>
      </c>
      <c r="M297" s="22" t="s">
        <v>165</v>
      </c>
      <c r="N297" s="24" t="s">
        <v>2630</v>
      </c>
      <c r="P297" s="22" t="s">
        <v>2219</v>
      </c>
      <c r="Q297" s="25"/>
      <c r="R297" s="17">
        <v>1</v>
      </c>
      <c r="S297" s="17">
        <v>0</v>
      </c>
      <c r="T297" s="17">
        <v>0</v>
      </c>
      <c r="U297" s="17">
        <v>1</v>
      </c>
      <c r="V297" s="17">
        <v>1</v>
      </c>
      <c r="W297" s="17">
        <v>574</v>
      </c>
      <c r="X297" s="17">
        <v>7</v>
      </c>
      <c r="Y297" s="17">
        <v>1</v>
      </c>
      <c r="Z297" s="17">
        <f t="shared" si="33"/>
        <v>582</v>
      </c>
      <c r="AA297" s="11">
        <f t="shared" si="29"/>
        <v>0.9862542955326461</v>
      </c>
      <c r="AB297" s="11">
        <f t="shared" si="30"/>
        <v>1.2027491408934709E-2</v>
      </c>
      <c r="AC297" s="66">
        <f t="shared" si="31"/>
        <v>0.9862542955326461</v>
      </c>
      <c r="AD297" s="67">
        <f t="shared" si="32"/>
        <v>0.97938144329896903</v>
      </c>
      <c r="AE297" s="37"/>
      <c r="AF297" s="41"/>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row>
    <row r="298" spans="1:95" ht="18" customHeight="1" x14ac:dyDescent="0.2">
      <c r="A298" t="s">
        <v>2159</v>
      </c>
      <c r="B298" s="17">
        <v>1</v>
      </c>
      <c r="C298" s="17">
        <v>1</v>
      </c>
      <c r="D298" s="22" t="s">
        <v>2208</v>
      </c>
      <c r="E298" s="22" t="s">
        <v>2177</v>
      </c>
      <c r="F298" s="17">
        <f t="shared" si="34"/>
        <v>2004</v>
      </c>
      <c r="G298" s="18">
        <v>38260</v>
      </c>
      <c r="H298" s="22" t="s">
        <v>2983</v>
      </c>
      <c r="I298" s="17">
        <v>0</v>
      </c>
      <c r="J298" s="22" t="s">
        <v>2529</v>
      </c>
      <c r="K298" s="17">
        <v>0</v>
      </c>
      <c r="L298" s="59">
        <v>1</v>
      </c>
      <c r="M298" s="22" t="s">
        <v>129</v>
      </c>
      <c r="N298" s="22" t="s">
        <v>422</v>
      </c>
      <c r="P298" s="22" t="s">
        <v>2220</v>
      </c>
      <c r="Q298" s="25"/>
      <c r="R298" s="17">
        <v>1</v>
      </c>
      <c r="S298" s="17">
        <v>0</v>
      </c>
      <c r="T298" s="17">
        <v>0</v>
      </c>
      <c r="U298" s="17">
        <v>1</v>
      </c>
      <c r="V298" s="17">
        <v>1</v>
      </c>
      <c r="W298" s="17">
        <v>509</v>
      </c>
      <c r="X298" s="17">
        <v>48</v>
      </c>
      <c r="Y298" s="17">
        <v>3</v>
      </c>
      <c r="Z298" s="17">
        <f t="shared" ref="Z298:Z329" si="35">W298+X298+Y298</f>
        <v>560</v>
      </c>
      <c r="AA298" s="11">
        <f t="shared" si="29"/>
        <v>0.90892857142857142</v>
      </c>
      <c r="AB298" s="11">
        <f t="shared" si="30"/>
        <v>8.5714285714285715E-2</v>
      </c>
      <c r="AC298" s="66">
        <f t="shared" si="31"/>
        <v>0.90892857142857142</v>
      </c>
      <c r="AD298" s="67">
        <f t="shared" si="32"/>
        <v>0.86339285714285718</v>
      </c>
      <c r="AE298" s="37"/>
      <c r="AF298" s="41"/>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row>
    <row r="299" spans="1:95" ht="18" customHeight="1" x14ac:dyDescent="0.2">
      <c r="A299" t="s">
        <v>2159</v>
      </c>
      <c r="B299" s="17">
        <v>1</v>
      </c>
      <c r="C299" s="17">
        <v>1</v>
      </c>
      <c r="D299" s="22" t="s">
        <v>2208</v>
      </c>
      <c r="E299" s="22" t="s">
        <v>2177</v>
      </c>
      <c r="F299" s="17">
        <f t="shared" si="34"/>
        <v>2004</v>
      </c>
      <c r="G299" s="18">
        <v>38303</v>
      </c>
      <c r="H299" s="22" t="s">
        <v>2983</v>
      </c>
      <c r="I299" s="17">
        <v>0</v>
      </c>
      <c r="J299" s="22" t="s">
        <v>2221</v>
      </c>
      <c r="K299" s="17">
        <v>0</v>
      </c>
      <c r="L299" s="59">
        <v>1</v>
      </c>
      <c r="M299" s="5" t="s">
        <v>2566</v>
      </c>
      <c r="N299" s="5" t="s">
        <v>422</v>
      </c>
      <c r="P299" s="22" t="s">
        <v>2222</v>
      </c>
      <c r="Q299" s="25"/>
      <c r="R299" s="17">
        <v>1</v>
      </c>
      <c r="S299" s="17">
        <v>0</v>
      </c>
      <c r="T299" s="17">
        <v>0</v>
      </c>
      <c r="U299" s="17">
        <v>1</v>
      </c>
      <c r="V299" s="17">
        <v>1</v>
      </c>
      <c r="W299" s="17">
        <v>550</v>
      </c>
      <c r="X299" s="17">
        <v>10</v>
      </c>
      <c r="Y299" s="17">
        <v>0</v>
      </c>
      <c r="Z299" s="17">
        <f t="shared" si="35"/>
        <v>560</v>
      </c>
      <c r="AA299" s="11">
        <f t="shared" si="29"/>
        <v>0.9821428571428571</v>
      </c>
      <c r="AB299" s="11">
        <f t="shared" si="30"/>
        <v>1.7857142857142856E-2</v>
      </c>
      <c r="AC299" s="66">
        <f t="shared" si="31"/>
        <v>0.9821428571428571</v>
      </c>
      <c r="AD299" s="67">
        <f t="shared" si="32"/>
        <v>0.9732142857142857</v>
      </c>
      <c r="AF299" s="36"/>
    </row>
    <row r="300" spans="1:95" ht="18" customHeight="1" x14ac:dyDescent="0.2">
      <c r="A300" t="s">
        <v>2159</v>
      </c>
      <c r="B300" s="17">
        <v>1</v>
      </c>
      <c r="C300" s="17">
        <v>1</v>
      </c>
      <c r="D300" s="22" t="s">
        <v>2208</v>
      </c>
      <c r="E300" s="22" t="s">
        <v>2177</v>
      </c>
      <c r="F300" s="17">
        <f t="shared" si="34"/>
        <v>2004</v>
      </c>
      <c r="G300" s="18">
        <v>38317</v>
      </c>
      <c r="H300" s="22" t="s">
        <v>2983</v>
      </c>
      <c r="I300" s="17">
        <v>0</v>
      </c>
      <c r="J300" s="22" t="s">
        <v>2223</v>
      </c>
      <c r="K300" s="17">
        <v>0</v>
      </c>
      <c r="L300" s="59">
        <v>1</v>
      </c>
      <c r="M300" s="22" t="s">
        <v>2556</v>
      </c>
      <c r="N300" s="24" t="s">
        <v>2630</v>
      </c>
      <c r="P300" s="22" t="s">
        <v>2224</v>
      </c>
      <c r="Q300" s="25"/>
      <c r="R300" s="17">
        <v>1</v>
      </c>
      <c r="S300" s="17">
        <v>0</v>
      </c>
      <c r="T300" s="17">
        <v>0</v>
      </c>
      <c r="U300" s="17">
        <v>1</v>
      </c>
      <c r="V300" s="17">
        <v>0</v>
      </c>
      <c r="W300" s="17">
        <v>583</v>
      </c>
      <c r="X300" s="17">
        <v>7</v>
      </c>
      <c r="Y300" s="17">
        <v>0</v>
      </c>
      <c r="Z300" s="17">
        <f t="shared" si="35"/>
        <v>590</v>
      </c>
      <c r="AA300" s="11">
        <f t="shared" si="29"/>
        <v>0.98813559322033895</v>
      </c>
      <c r="AB300" s="11">
        <f t="shared" si="30"/>
        <v>1.1864406779661017E-2</v>
      </c>
      <c r="AC300" s="66">
        <f t="shared" si="31"/>
        <v>0.98813559322033895</v>
      </c>
      <c r="AD300" s="67">
        <f t="shared" si="32"/>
        <v>0.98220338983050848</v>
      </c>
    </row>
    <row r="301" spans="1:95" ht="18" customHeight="1" x14ac:dyDescent="0.2">
      <c r="A301" t="s">
        <v>2159</v>
      </c>
      <c r="B301" s="17">
        <v>1</v>
      </c>
      <c r="C301" s="17">
        <v>1</v>
      </c>
      <c r="D301" s="22" t="s">
        <v>2208</v>
      </c>
      <c r="E301" s="22" t="s">
        <v>2177</v>
      </c>
      <c r="F301" s="17">
        <f t="shared" si="34"/>
        <v>2004</v>
      </c>
      <c r="G301" s="18">
        <v>38324</v>
      </c>
      <c r="H301" s="22" t="s">
        <v>2983</v>
      </c>
      <c r="I301" s="17">
        <v>0</v>
      </c>
      <c r="J301" s="22" t="s">
        <v>2225</v>
      </c>
      <c r="K301" s="17">
        <v>0</v>
      </c>
      <c r="L301" s="59">
        <v>1</v>
      </c>
      <c r="M301" t="s">
        <v>2570</v>
      </c>
      <c r="N301" s="22" t="s">
        <v>2629</v>
      </c>
      <c r="P301" s="22" t="s">
        <v>2226</v>
      </c>
      <c r="Q301" s="25"/>
      <c r="R301" s="17">
        <v>1</v>
      </c>
      <c r="S301" s="17">
        <v>0</v>
      </c>
      <c r="T301" s="17">
        <v>0</v>
      </c>
      <c r="U301" s="17">
        <v>1</v>
      </c>
      <c r="V301" s="17">
        <v>0</v>
      </c>
      <c r="W301" s="17">
        <v>540</v>
      </c>
      <c r="X301" s="17">
        <v>10</v>
      </c>
      <c r="Y301" s="17">
        <v>3</v>
      </c>
      <c r="Z301" s="17">
        <f t="shared" si="35"/>
        <v>553</v>
      </c>
      <c r="AA301" s="11">
        <f t="shared" si="29"/>
        <v>0.97649186256781195</v>
      </c>
      <c r="AB301" s="11">
        <f t="shared" si="30"/>
        <v>1.8083182640144666E-2</v>
      </c>
      <c r="AC301" s="66">
        <f t="shared" si="31"/>
        <v>0.97649186256781195</v>
      </c>
      <c r="AD301" s="67">
        <f t="shared" si="32"/>
        <v>0.96473779385171787</v>
      </c>
    </row>
    <row r="302" spans="1:95" ht="18" customHeight="1" x14ac:dyDescent="0.2">
      <c r="A302" t="s">
        <v>2159</v>
      </c>
      <c r="B302" s="17">
        <v>1</v>
      </c>
      <c r="C302" s="17">
        <v>0</v>
      </c>
      <c r="D302" s="22" t="s">
        <v>2208</v>
      </c>
      <c r="E302" s="22" t="s">
        <v>2177</v>
      </c>
      <c r="F302" s="17">
        <f t="shared" si="34"/>
        <v>2005</v>
      </c>
      <c r="G302" s="18">
        <v>38464</v>
      </c>
      <c r="H302" s="22" t="s">
        <v>2983</v>
      </c>
      <c r="I302" s="17">
        <v>0</v>
      </c>
      <c r="J302" s="22" t="s">
        <v>2227</v>
      </c>
      <c r="K302" s="17">
        <v>0</v>
      </c>
      <c r="L302" s="59">
        <v>1</v>
      </c>
      <c r="M302" s="22" t="s">
        <v>2576</v>
      </c>
      <c r="N302" s="22" t="s">
        <v>2629</v>
      </c>
      <c r="P302" s="22" t="s">
        <v>2228</v>
      </c>
      <c r="Q302" s="25"/>
      <c r="R302" s="17">
        <v>1</v>
      </c>
      <c r="S302" s="17">
        <v>0</v>
      </c>
      <c r="T302" s="17">
        <v>0</v>
      </c>
      <c r="U302" s="17">
        <v>1</v>
      </c>
      <c r="V302" s="17">
        <v>0</v>
      </c>
      <c r="W302" s="17">
        <v>552</v>
      </c>
      <c r="X302" s="17">
        <v>3</v>
      </c>
      <c r="Y302" s="17">
        <v>10</v>
      </c>
      <c r="Z302" s="17">
        <f t="shared" si="35"/>
        <v>565</v>
      </c>
      <c r="AA302" s="11">
        <f t="shared" si="29"/>
        <v>0.97699115044247786</v>
      </c>
      <c r="AB302" s="11">
        <f t="shared" si="30"/>
        <v>5.3097345132743362E-3</v>
      </c>
      <c r="AC302" s="66">
        <f t="shared" si="31"/>
        <v>0.97699115044247786</v>
      </c>
      <c r="AD302" s="67">
        <f t="shared" si="32"/>
        <v>0.96548672566371685</v>
      </c>
    </row>
    <row r="303" spans="1:95" ht="18" customHeight="1" x14ac:dyDescent="0.2">
      <c r="A303" t="s">
        <v>2159</v>
      </c>
      <c r="B303" s="17">
        <v>1</v>
      </c>
      <c r="C303" s="17">
        <v>0</v>
      </c>
      <c r="D303" s="22" t="s">
        <v>2208</v>
      </c>
      <c r="E303" s="22" t="s">
        <v>2177</v>
      </c>
      <c r="F303" s="17">
        <f t="shared" si="34"/>
        <v>2005</v>
      </c>
      <c r="G303" s="18">
        <v>38505</v>
      </c>
      <c r="H303" s="22" t="s">
        <v>2983</v>
      </c>
      <c r="I303" s="17">
        <v>0</v>
      </c>
      <c r="J303" s="22" t="s">
        <v>2229</v>
      </c>
      <c r="K303" s="17">
        <v>0</v>
      </c>
      <c r="L303" s="59">
        <v>1</v>
      </c>
      <c r="M303" s="22" t="s">
        <v>165</v>
      </c>
      <c r="N303" s="24" t="s">
        <v>2630</v>
      </c>
      <c r="P303" s="22" t="s">
        <v>2230</v>
      </c>
      <c r="Q303" s="25"/>
      <c r="R303" s="17">
        <v>1</v>
      </c>
      <c r="S303" s="17">
        <v>0</v>
      </c>
      <c r="T303" s="17">
        <v>0</v>
      </c>
      <c r="U303" s="17">
        <v>1</v>
      </c>
      <c r="V303" s="17">
        <v>1</v>
      </c>
      <c r="W303" s="17">
        <v>575</v>
      </c>
      <c r="X303" s="17">
        <v>7</v>
      </c>
      <c r="Y303" s="17">
        <v>0</v>
      </c>
      <c r="Z303" s="17">
        <f t="shared" si="35"/>
        <v>582</v>
      </c>
      <c r="AA303" s="11">
        <f t="shared" si="29"/>
        <v>0.98797250859106533</v>
      </c>
      <c r="AB303" s="11">
        <f t="shared" si="30"/>
        <v>1.2027491408934709E-2</v>
      </c>
      <c r="AC303" s="66">
        <f t="shared" si="31"/>
        <v>0.98797250859106533</v>
      </c>
      <c r="AD303" s="67">
        <f t="shared" si="32"/>
        <v>0.98195876288659789</v>
      </c>
    </row>
    <row r="304" spans="1:95" ht="18" customHeight="1" x14ac:dyDescent="0.2">
      <c r="A304" t="s">
        <v>2159</v>
      </c>
      <c r="B304" s="17">
        <v>1</v>
      </c>
      <c r="C304" s="17">
        <v>0</v>
      </c>
      <c r="D304" s="22" t="s">
        <v>2208</v>
      </c>
      <c r="E304" s="22" t="s">
        <v>2177</v>
      </c>
      <c r="F304" s="17">
        <f t="shared" si="34"/>
        <v>2005</v>
      </c>
      <c r="G304" s="18">
        <v>38623</v>
      </c>
      <c r="H304" s="22" t="s">
        <v>2983</v>
      </c>
      <c r="I304" s="17">
        <v>0</v>
      </c>
      <c r="J304" s="22" t="s">
        <v>2231</v>
      </c>
      <c r="K304" s="17">
        <v>0</v>
      </c>
      <c r="L304" s="59">
        <v>1</v>
      </c>
      <c r="M304" s="22" t="s">
        <v>129</v>
      </c>
      <c r="N304" s="22" t="s">
        <v>422</v>
      </c>
      <c r="P304" s="22" t="s">
        <v>2232</v>
      </c>
      <c r="Q304" s="25"/>
      <c r="R304" s="17">
        <v>1</v>
      </c>
      <c r="S304" s="17">
        <v>0</v>
      </c>
      <c r="T304" s="17">
        <v>0</v>
      </c>
      <c r="U304" s="17">
        <v>1</v>
      </c>
      <c r="V304" s="17">
        <v>1</v>
      </c>
      <c r="W304" s="17">
        <v>535</v>
      </c>
      <c r="X304" s="17">
        <v>14</v>
      </c>
      <c r="Y304" s="17">
        <v>4</v>
      </c>
      <c r="Z304" s="17">
        <f t="shared" si="35"/>
        <v>553</v>
      </c>
      <c r="AA304" s="11">
        <f t="shared" si="29"/>
        <v>0.96745027124773963</v>
      </c>
      <c r="AB304" s="11">
        <f t="shared" si="30"/>
        <v>2.5316455696202531E-2</v>
      </c>
      <c r="AC304" s="66">
        <f t="shared" si="31"/>
        <v>0.96745027124773963</v>
      </c>
      <c r="AD304" s="67">
        <f t="shared" si="32"/>
        <v>0.9511754068716094</v>
      </c>
    </row>
    <row r="305" spans="1:32" ht="18" customHeight="1" x14ac:dyDescent="0.2">
      <c r="A305" t="s">
        <v>2159</v>
      </c>
      <c r="B305" s="17">
        <v>1</v>
      </c>
      <c r="C305" s="17">
        <v>0</v>
      </c>
      <c r="D305" s="22" t="s">
        <v>2233</v>
      </c>
      <c r="E305" s="22" t="s">
        <v>2234</v>
      </c>
      <c r="F305" s="17">
        <f t="shared" si="34"/>
        <v>2005</v>
      </c>
      <c r="G305" s="18">
        <v>38664</v>
      </c>
      <c r="H305" s="22" t="s">
        <v>2983</v>
      </c>
      <c r="I305" s="17">
        <v>0</v>
      </c>
      <c r="J305" s="22" t="s">
        <v>2235</v>
      </c>
      <c r="K305" s="17">
        <v>0</v>
      </c>
      <c r="L305" s="59">
        <v>1</v>
      </c>
      <c r="M305" s="5" t="s">
        <v>2566</v>
      </c>
      <c r="N305" s="5" t="s">
        <v>422</v>
      </c>
      <c r="P305" s="22" t="s">
        <v>2236</v>
      </c>
      <c r="R305" s="17">
        <v>1</v>
      </c>
      <c r="S305" s="17">
        <v>0</v>
      </c>
      <c r="T305" s="17">
        <v>0</v>
      </c>
      <c r="U305" s="17">
        <v>1</v>
      </c>
      <c r="V305" s="17">
        <v>1</v>
      </c>
      <c r="W305" s="17">
        <v>519</v>
      </c>
      <c r="X305" s="17">
        <v>67</v>
      </c>
      <c r="Y305" s="17">
        <v>3</v>
      </c>
      <c r="Z305" s="17">
        <f t="shared" si="35"/>
        <v>589</v>
      </c>
      <c r="AA305" s="11">
        <f t="shared" si="29"/>
        <v>0.88115449915110355</v>
      </c>
      <c r="AB305" s="11">
        <f t="shared" si="30"/>
        <v>0.11375212224108659</v>
      </c>
      <c r="AC305" s="66">
        <f t="shared" si="31"/>
        <v>0.88115449915110355</v>
      </c>
      <c r="AD305" s="67">
        <f t="shared" si="32"/>
        <v>0.82173174872665533</v>
      </c>
    </row>
    <row r="306" spans="1:32" ht="18" customHeight="1" x14ac:dyDescent="0.2">
      <c r="A306" t="s">
        <v>2159</v>
      </c>
      <c r="B306" s="17">
        <v>1</v>
      </c>
      <c r="C306" s="17">
        <v>0</v>
      </c>
      <c r="D306" s="22" t="s">
        <v>2233</v>
      </c>
      <c r="E306" s="22" t="s">
        <v>2234</v>
      </c>
      <c r="F306" s="17">
        <f t="shared" si="34"/>
        <v>2005</v>
      </c>
      <c r="G306" s="18">
        <v>38702</v>
      </c>
      <c r="H306" s="22" t="s">
        <v>2983</v>
      </c>
      <c r="I306" s="17">
        <v>0</v>
      </c>
      <c r="J306" s="22" t="s">
        <v>2237</v>
      </c>
      <c r="K306" s="17">
        <v>0</v>
      </c>
      <c r="L306" s="59">
        <v>1</v>
      </c>
      <c r="M306" t="s">
        <v>2570</v>
      </c>
      <c r="N306" s="22" t="s">
        <v>2629</v>
      </c>
      <c r="P306" s="22" t="s">
        <v>2238</v>
      </c>
      <c r="R306" s="17">
        <v>1</v>
      </c>
      <c r="S306" s="17">
        <v>0</v>
      </c>
      <c r="T306" s="17">
        <v>0</v>
      </c>
      <c r="U306" s="17">
        <v>1</v>
      </c>
      <c r="V306" s="17">
        <v>1</v>
      </c>
      <c r="W306" s="17">
        <v>487</v>
      </c>
      <c r="X306" s="17">
        <v>39</v>
      </c>
      <c r="Y306" s="17">
        <v>16</v>
      </c>
      <c r="Z306" s="17">
        <f t="shared" si="35"/>
        <v>542</v>
      </c>
      <c r="AA306" s="11">
        <f t="shared" si="29"/>
        <v>0.89852398523985244</v>
      </c>
      <c r="AB306" s="11">
        <f t="shared" si="30"/>
        <v>7.1955719557195569E-2</v>
      </c>
      <c r="AC306" s="66">
        <f t="shared" si="31"/>
        <v>0.89852398523985244</v>
      </c>
      <c r="AD306" s="67">
        <f t="shared" si="32"/>
        <v>0.84778597785977861</v>
      </c>
    </row>
    <row r="307" spans="1:32" ht="18" customHeight="1" x14ac:dyDescent="0.2">
      <c r="A307" t="s">
        <v>2159</v>
      </c>
      <c r="B307" s="17">
        <v>1</v>
      </c>
      <c r="C307" s="17">
        <v>0</v>
      </c>
      <c r="D307" s="22" t="s">
        <v>2233</v>
      </c>
      <c r="E307" s="22" t="s">
        <v>2234</v>
      </c>
      <c r="F307" s="17">
        <f t="shared" si="34"/>
        <v>2006</v>
      </c>
      <c r="G307" s="18">
        <v>38814</v>
      </c>
      <c r="H307" s="22" t="s">
        <v>2983</v>
      </c>
      <c r="I307" s="17">
        <v>0</v>
      </c>
      <c r="J307" s="22" t="s">
        <v>2239</v>
      </c>
      <c r="K307" s="17">
        <v>0</v>
      </c>
      <c r="L307" s="59">
        <v>1</v>
      </c>
      <c r="M307" s="22" t="s">
        <v>2576</v>
      </c>
      <c r="N307" s="22" t="s">
        <v>2629</v>
      </c>
      <c r="P307" s="22" t="s">
        <v>2240</v>
      </c>
      <c r="R307" s="17">
        <v>1</v>
      </c>
      <c r="S307" s="17">
        <v>0</v>
      </c>
      <c r="T307" s="17">
        <v>0</v>
      </c>
      <c r="U307" s="17">
        <v>1</v>
      </c>
      <c r="V307" s="17">
        <v>1</v>
      </c>
      <c r="W307" s="17">
        <v>523</v>
      </c>
      <c r="X307" s="17">
        <v>45</v>
      </c>
      <c r="Y307" s="17">
        <v>9</v>
      </c>
      <c r="Z307" s="17">
        <f t="shared" si="35"/>
        <v>577</v>
      </c>
      <c r="AA307" s="11">
        <f t="shared" si="29"/>
        <v>0.90641247833622185</v>
      </c>
      <c r="AB307" s="11">
        <f t="shared" si="30"/>
        <v>7.7989601386481797E-2</v>
      </c>
      <c r="AC307" s="66">
        <f t="shared" si="31"/>
        <v>0.90641247833622185</v>
      </c>
      <c r="AD307" s="67">
        <f t="shared" si="32"/>
        <v>0.85961871750433272</v>
      </c>
    </row>
    <row r="308" spans="1:32" ht="18" customHeight="1" x14ac:dyDescent="0.2">
      <c r="A308" t="s">
        <v>2159</v>
      </c>
      <c r="B308" s="17">
        <v>1</v>
      </c>
      <c r="C308" s="17">
        <v>0</v>
      </c>
      <c r="D308" s="22" t="s">
        <v>2233</v>
      </c>
      <c r="E308" s="22" t="s">
        <v>2234</v>
      </c>
      <c r="F308" s="17">
        <f t="shared" si="34"/>
        <v>2006</v>
      </c>
      <c r="G308" s="18">
        <v>38869</v>
      </c>
      <c r="H308" s="22" t="s">
        <v>2983</v>
      </c>
      <c r="I308" s="17">
        <v>0</v>
      </c>
      <c r="J308" s="22" t="s">
        <v>2241</v>
      </c>
      <c r="K308" s="17">
        <v>0</v>
      </c>
      <c r="L308" s="59">
        <v>1</v>
      </c>
      <c r="M308" s="22" t="s">
        <v>2560</v>
      </c>
      <c r="N308" s="22" t="s">
        <v>2629</v>
      </c>
      <c r="P308" s="22" t="s">
        <v>2242</v>
      </c>
      <c r="R308" s="17">
        <v>1</v>
      </c>
      <c r="S308" s="17">
        <v>0</v>
      </c>
      <c r="T308" s="17">
        <v>0</v>
      </c>
      <c r="U308" s="17">
        <v>1</v>
      </c>
      <c r="V308" s="17">
        <v>0</v>
      </c>
      <c r="W308" s="17">
        <v>440</v>
      </c>
      <c r="X308" s="17">
        <v>135</v>
      </c>
      <c r="Y308" s="17">
        <v>6</v>
      </c>
      <c r="Z308" s="17">
        <f t="shared" si="35"/>
        <v>581</v>
      </c>
      <c r="AA308" s="11">
        <f t="shared" si="29"/>
        <v>0.75731497418244409</v>
      </c>
      <c r="AB308" s="11">
        <f t="shared" si="30"/>
        <v>0.23235800344234078</v>
      </c>
      <c r="AC308" s="66">
        <f t="shared" si="31"/>
        <v>0.75731497418244409</v>
      </c>
      <c r="AD308" s="67">
        <f t="shared" si="32"/>
        <v>0.63597246127366613</v>
      </c>
    </row>
    <row r="309" spans="1:32" ht="18" customHeight="1" x14ac:dyDescent="0.2">
      <c r="A309" t="s">
        <v>2159</v>
      </c>
      <c r="B309" s="17">
        <v>1</v>
      </c>
      <c r="C309" s="17">
        <v>0</v>
      </c>
      <c r="D309" s="22" t="s">
        <v>2233</v>
      </c>
      <c r="E309" s="22" t="s">
        <v>2234</v>
      </c>
      <c r="F309" s="17">
        <f t="shared" si="34"/>
        <v>2006</v>
      </c>
      <c r="G309" s="18">
        <v>38869</v>
      </c>
      <c r="H309" s="22" t="s">
        <v>2983</v>
      </c>
      <c r="I309" s="17">
        <v>0</v>
      </c>
      <c r="J309" s="22" t="s">
        <v>2229</v>
      </c>
      <c r="K309" s="17">
        <v>0</v>
      </c>
      <c r="L309" s="59">
        <v>1</v>
      </c>
      <c r="M309" s="22" t="s">
        <v>165</v>
      </c>
      <c r="N309" s="24" t="s">
        <v>2630</v>
      </c>
      <c r="P309" s="22" t="s">
        <v>2243</v>
      </c>
      <c r="R309" s="17">
        <v>1</v>
      </c>
      <c r="S309" s="17">
        <v>0</v>
      </c>
      <c r="T309" s="17">
        <v>0</v>
      </c>
      <c r="U309" s="17">
        <v>1</v>
      </c>
      <c r="V309" s="17">
        <v>1</v>
      </c>
      <c r="W309" s="17">
        <v>516</v>
      </c>
      <c r="X309" s="17">
        <v>54</v>
      </c>
      <c r="Y309" s="17">
        <v>0</v>
      </c>
      <c r="Z309" s="17">
        <f t="shared" si="35"/>
        <v>570</v>
      </c>
      <c r="AA309" s="11">
        <f t="shared" si="29"/>
        <v>0.90526315789473688</v>
      </c>
      <c r="AB309" s="11">
        <f t="shared" si="30"/>
        <v>9.4736842105263161E-2</v>
      </c>
      <c r="AC309" s="66">
        <f t="shared" si="31"/>
        <v>0.90526315789473688</v>
      </c>
      <c r="AD309" s="67">
        <f t="shared" si="32"/>
        <v>0.85789473684210527</v>
      </c>
    </row>
    <row r="310" spans="1:32" ht="18" customHeight="1" x14ac:dyDescent="0.2">
      <c r="A310" t="s">
        <v>2159</v>
      </c>
      <c r="B310" s="17">
        <v>1</v>
      </c>
      <c r="C310" s="17">
        <v>0</v>
      </c>
      <c r="D310" s="22" t="s">
        <v>2233</v>
      </c>
      <c r="E310" s="22" t="s">
        <v>2234</v>
      </c>
      <c r="F310" s="17">
        <f t="shared" si="34"/>
        <v>2006</v>
      </c>
      <c r="G310" s="18">
        <v>38980</v>
      </c>
      <c r="H310" s="22" t="s">
        <v>2983</v>
      </c>
      <c r="I310" s="17">
        <v>0</v>
      </c>
      <c r="J310" s="22" t="s">
        <v>2244</v>
      </c>
      <c r="K310" s="17">
        <v>0</v>
      </c>
      <c r="L310" s="59">
        <v>1</v>
      </c>
      <c r="M310" t="s">
        <v>202</v>
      </c>
      <c r="N310" s="50" t="s">
        <v>2121</v>
      </c>
      <c r="P310" s="22" t="s">
        <v>2245</v>
      </c>
      <c r="R310" s="17">
        <v>1</v>
      </c>
      <c r="S310" s="17">
        <v>0</v>
      </c>
      <c r="T310" s="17">
        <v>0</v>
      </c>
      <c r="U310" s="17">
        <v>1</v>
      </c>
      <c r="V310" s="17">
        <v>0</v>
      </c>
      <c r="W310" s="17">
        <v>442</v>
      </c>
      <c r="X310" s="17">
        <v>152</v>
      </c>
      <c r="Y310" s="17">
        <v>5</v>
      </c>
      <c r="Z310" s="17">
        <f t="shared" si="35"/>
        <v>599</v>
      </c>
      <c r="AA310" s="11">
        <f t="shared" si="29"/>
        <v>0.73789649415692826</v>
      </c>
      <c r="AB310" s="11">
        <f t="shared" si="30"/>
        <v>0.25375626043405675</v>
      </c>
      <c r="AC310" s="66">
        <f t="shared" si="31"/>
        <v>0.73789649415692826</v>
      </c>
      <c r="AD310" s="67">
        <f t="shared" si="32"/>
        <v>0.60684474123539234</v>
      </c>
      <c r="AF310" s="36"/>
    </row>
    <row r="311" spans="1:32" ht="18" customHeight="1" x14ac:dyDescent="0.2">
      <c r="A311" t="s">
        <v>2159</v>
      </c>
      <c r="B311" s="17">
        <v>1</v>
      </c>
      <c r="C311" s="17">
        <v>0</v>
      </c>
      <c r="D311" s="22" t="s">
        <v>2233</v>
      </c>
      <c r="E311" s="22" t="s">
        <v>2234</v>
      </c>
      <c r="F311" s="17">
        <f t="shared" si="34"/>
        <v>2006</v>
      </c>
      <c r="G311" s="18">
        <v>38988</v>
      </c>
      <c r="H311" s="22" t="s">
        <v>2983</v>
      </c>
      <c r="I311" s="17">
        <v>0</v>
      </c>
      <c r="J311" s="22" t="s">
        <v>2246</v>
      </c>
      <c r="K311" s="17">
        <v>0</v>
      </c>
      <c r="L311" s="59">
        <v>1</v>
      </c>
      <c r="M311" s="22" t="s">
        <v>129</v>
      </c>
      <c r="N311" s="22" t="s">
        <v>422</v>
      </c>
      <c r="P311" s="22" t="s">
        <v>2247</v>
      </c>
      <c r="R311" s="17">
        <v>1</v>
      </c>
      <c r="S311" s="17">
        <v>0</v>
      </c>
      <c r="T311" s="17">
        <v>0</v>
      </c>
      <c r="U311" s="17">
        <v>1</v>
      </c>
      <c r="V311" s="17">
        <v>1</v>
      </c>
      <c r="W311" s="17">
        <v>492</v>
      </c>
      <c r="X311" s="17">
        <v>71</v>
      </c>
      <c r="Y311" s="17">
        <v>9</v>
      </c>
      <c r="Z311" s="17">
        <f t="shared" si="35"/>
        <v>572</v>
      </c>
      <c r="AA311" s="11">
        <f t="shared" si="29"/>
        <v>0.8601398601398601</v>
      </c>
      <c r="AB311" s="11">
        <f t="shared" si="30"/>
        <v>0.12412587412587413</v>
      </c>
      <c r="AC311" s="66">
        <f t="shared" si="31"/>
        <v>0.8601398601398601</v>
      </c>
      <c r="AD311" s="67">
        <f t="shared" si="32"/>
        <v>0.79020979020979021</v>
      </c>
    </row>
    <row r="312" spans="1:32" ht="18" customHeight="1" x14ac:dyDescent="0.2">
      <c r="A312" t="s">
        <v>2159</v>
      </c>
      <c r="B312" s="17">
        <v>1</v>
      </c>
      <c r="C312" s="17">
        <v>0</v>
      </c>
      <c r="D312" s="22" t="s">
        <v>2233</v>
      </c>
      <c r="E312" s="22" t="s">
        <v>2234</v>
      </c>
      <c r="F312" s="17">
        <f t="shared" si="34"/>
        <v>2006</v>
      </c>
      <c r="G312" s="18">
        <v>38988</v>
      </c>
      <c r="H312" s="22" t="s">
        <v>2983</v>
      </c>
      <c r="I312" s="17">
        <v>0</v>
      </c>
      <c r="J312" s="22" t="s">
        <v>2248</v>
      </c>
      <c r="K312" s="17">
        <v>0</v>
      </c>
      <c r="L312" s="59">
        <v>1</v>
      </c>
      <c r="M312" s="22" t="s">
        <v>2576</v>
      </c>
      <c r="N312" s="22" t="s">
        <v>2629</v>
      </c>
      <c r="P312" s="22" t="s">
        <v>2249</v>
      </c>
      <c r="R312" s="17">
        <v>1</v>
      </c>
      <c r="S312" s="17">
        <v>0</v>
      </c>
      <c r="T312" s="17">
        <v>0</v>
      </c>
      <c r="U312" s="17">
        <v>1</v>
      </c>
      <c r="V312" s="17">
        <v>1</v>
      </c>
      <c r="W312" s="17">
        <v>503</v>
      </c>
      <c r="X312" s="17">
        <v>48</v>
      </c>
      <c r="Y312" s="17">
        <v>12</v>
      </c>
      <c r="Z312" s="17">
        <f t="shared" si="35"/>
        <v>563</v>
      </c>
      <c r="AA312" s="11">
        <f t="shared" si="29"/>
        <v>0.89342806394316165</v>
      </c>
      <c r="AB312" s="11">
        <f t="shared" si="30"/>
        <v>8.5257548845470696E-2</v>
      </c>
      <c r="AC312" s="66">
        <f t="shared" si="31"/>
        <v>0.89342806394316165</v>
      </c>
      <c r="AD312" s="67">
        <f t="shared" si="32"/>
        <v>0.84014209591474243</v>
      </c>
    </row>
    <row r="313" spans="1:32" ht="18" customHeight="1" x14ac:dyDescent="0.2">
      <c r="A313" t="s">
        <v>2159</v>
      </c>
      <c r="B313" s="17">
        <v>1</v>
      </c>
      <c r="C313" s="17">
        <v>0</v>
      </c>
      <c r="D313" s="22" t="s">
        <v>2233</v>
      </c>
      <c r="E313" s="22" t="s">
        <v>2234</v>
      </c>
      <c r="F313" s="17">
        <f t="shared" si="34"/>
        <v>2006</v>
      </c>
      <c r="G313" s="18">
        <v>39031</v>
      </c>
      <c r="H313" s="22" t="s">
        <v>2983</v>
      </c>
      <c r="I313" s="17">
        <v>0</v>
      </c>
      <c r="J313" s="22" t="s">
        <v>2235</v>
      </c>
      <c r="K313" s="17">
        <v>0</v>
      </c>
      <c r="L313" s="59">
        <v>1</v>
      </c>
      <c r="M313" s="5" t="s">
        <v>2566</v>
      </c>
      <c r="N313" s="5" t="s">
        <v>422</v>
      </c>
      <c r="P313" s="22" t="s">
        <v>2250</v>
      </c>
      <c r="R313" s="17">
        <v>1</v>
      </c>
      <c r="S313" s="17">
        <v>0</v>
      </c>
      <c r="T313" s="17">
        <v>0</v>
      </c>
      <c r="U313" s="17">
        <v>1</v>
      </c>
      <c r="V313" s="17">
        <v>1</v>
      </c>
      <c r="W313" s="17">
        <v>436</v>
      </c>
      <c r="X313" s="17">
        <v>101</v>
      </c>
      <c r="Y313" s="17">
        <v>26</v>
      </c>
      <c r="Z313" s="17">
        <f t="shared" si="35"/>
        <v>563</v>
      </c>
      <c r="AA313" s="11">
        <f t="shared" si="29"/>
        <v>0.77442273534635875</v>
      </c>
      <c r="AB313" s="11">
        <f t="shared" si="30"/>
        <v>0.17939609236234458</v>
      </c>
      <c r="AC313" s="66">
        <f t="shared" si="31"/>
        <v>0.77442273534635875</v>
      </c>
      <c r="AD313" s="67">
        <f t="shared" si="32"/>
        <v>0.66163410301953818</v>
      </c>
    </row>
    <row r="314" spans="1:32" ht="18" customHeight="1" x14ac:dyDescent="0.2">
      <c r="A314" t="s">
        <v>2159</v>
      </c>
      <c r="B314" s="17">
        <v>1</v>
      </c>
      <c r="C314" s="17">
        <v>0</v>
      </c>
      <c r="D314" s="22" t="s">
        <v>2233</v>
      </c>
      <c r="E314" s="22" t="s">
        <v>2234</v>
      </c>
      <c r="F314" s="17">
        <f t="shared" si="34"/>
        <v>2006</v>
      </c>
      <c r="G314" s="18">
        <v>39051</v>
      </c>
      <c r="H314" s="22" t="s">
        <v>2983</v>
      </c>
      <c r="I314" s="17">
        <v>0</v>
      </c>
      <c r="J314" s="22" t="s">
        <v>2251</v>
      </c>
      <c r="K314" s="17">
        <v>0</v>
      </c>
      <c r="L314" s="59">
        <v>1</v>
      </c>
      <c r="M314" s="22" t="s">
        <v>2556</v>
      </c>
      <c r="N314" s="24" t="s">
        <v>2630</v>
      </c>
      <c r="P314" s="22" t="s">
        <v>2252</v>
      </c>
      <c r="R314" s="17">
        <v>1</v>
      </c>
      <c r="S314" s="17">
        <v>0</v>
      </c>
      <c r="T314" s="17">
        <v>0</v>
      </c>
      <c r="U314" s="17">
        <v>1</v>
      </c>
      <c r="V314" s="17">
        <v>1</v>
      </c>
      <c r="W314" s="17">
        <v>486</v>
      </c>
      <c r="X314" s="17">
        <v>46</v>
      </c>
      <c r="Y314" s="17">
        <v>2</v>
      </c>
      <c r="Z314" s="17">
        <f t="shared" si="35"/>
        <v>534</v>
      </c>
      <c r="AA314" s="11">
        <f t="shared" si="29"/>
        <v>0.9101123595505618</v>
      </c>
      <c r="AB314" s="11">
        <f t="shared" si="30"/>
        <v>8.6142322097378279E-2</v>
      </c>
      <c r="AC314" s="66">
        <f t="shared" si="31"/>
        <v>0.9101123595505618</v>
      </c>
      <c r="AD314" s="67">
        <f t="shared" si="32"/>
        <v>0.8651685393258427</v>
      </c>
    </row>
    <row r="315" spans="1:32" ht="18" customHeight="1" x14ac:dyDescent="0.2">
      <c r="A315" t="s">
        <v>2159</v>
      </c>
      <c r="B315" s="17">
        <v>1</v>
      </c>
      <c r="C315" s="17">
        <v>0</v>
      </c>
      <c r="D315" s="22" t="s">
        <v>2233</v>
      </c>
      <c r="E315" s="22" t="s">
        <v>2234</v>
      </c>
      <c r="F315" s="17">
        <f t="shared" si="34"/>
        <v>2006</v>
      </c>
      <c r="G315" s="18">
        <v>39066</v>
      </c>
      <c r="H315" s="22" t="s">
        <v>2983</v>
      </c>
      <c r="I315" s="17">
        <v>0</v>
      </c>
      <c r="J315" s="22" t="s">
        <v>2253</v>
      </c>
      <c r="K315" s="17">
        <v>0</v>
      </c>
      <c r="L315" s="59">
        <v>1</v>
      </c>
      <c r="M315" t="s">
        <v>2570</v>
      </c>
      <c r="N315" s="22" t="s">
        <v>2629</v>
      </c>
      <c r="P315" s="22" t="s">
        <v>2254</v>
      </c>
      <c r="R315" s="17">
        <v>1</v>
      </c>
      <c r="S315" s="17">
        <v>0</v>
      </c>
      <c r="T315" s="17">
        <v>0</v>
      </c>
      <c r="U315" s="17">
        <v>1</v>
      </c>
      <c r="V315" s="17">
        <v>1</v>
      </c>
      <c r="W315" s="17">
        <v>466</v>
      </c>
      <c r="X315" s="17">
        <v>44</v>
      </c>
      <c r="Y315" s="17">
        <v>11</v>
      </c>
      <c r="Z315" s="17">
        <f t="shared" si="35"/>
        <v>521</v>
      </c>
      <c r="AA315" s="11">
        <f t="shared" ref="AA315:AA378" si="36">W315/Z315</f>
        <v>0.89443378119001915</v>
      </c>
      <c r="AB315" s="11">
        <f t="shared" ref="AB315:AB378" si="37">X315/Z315</f>
        <v>8.4452975047984644E-2</v>
      </c>
      <c r="AC315" s="66">
        <f t="shared" ref="AC315:AC378" si="38">IF(K315=1,AB315,AA315)</f>
        <v>0.89443378119001915</v>
      </c>
      <c r="AD315" s="67">
        <f t="shared" ref="AD315:AD378" si="39">SUM((MAX(W315,X315,Y315)-0.5*(SUM(W315+X315+Y315)-MAX(W315,X315,Y315)))/SUM(W315+X315+Y315))</f>
        <v>0.84165067178502884</v>
      </c>
      <c r="AF315" s="36"/>
    </row>
    <row r="316" spans="1:32" ht="14.5" customHeight="1" x14ac:dyDescent="0.2">
      <c r="A316" t="s">
        <v>2159</v>
      </c>
      <c r="B316" s="17">
        <v>1</v>
      </c>
      <c r="C316" s="17">
        <v>0</v>
      </c>
      <c r="D316" s="22" t="s">
        <v>2233</v>
      </c>
      <c r="E316" s="22" t="s">
        <v>2234</v>
      </c>
      <c r="F316" s="17">
        <f t="shared" si="34"/>
        <v>2007</v>
      </c>
      <c r="G316" s="18">
        <v>39150</v>
      </c>
      <c r="H316" s="22" t="s">
        <v>2983</v>
      </c>
      <c r="I316" s="17">
        <v>0</v>
      </c>
      <c r="J316" s="22" t="s">
        <v>2255</v>
      </c>
      <c r="K316" s="17">
        <v>0</v>
      </c>
      <c r="L316" s="59">
        <v>1</v>
      </c>
      <c r="M316" s="22" t="s">
        <v>129</v>
      </c>
      <c r="N316" s="22" t="s">
        <v>422</v>
      </c>
      <c r="P316" s="22" t="s">
        <v>2256</v>
      </c>
      <c r="R316" s="17">
        <v>1</v>
      </c>
      <c r="S316" s="17">
        <v>0</v>
      </c>
      <c r="T316" s="17">
        <v>0</v>
      </c>
      <c r="U316" s="17">
        <v>1</v>
      </c>
      <c r="V316" s="17">
        <v>0</v>
      </c>
      <c r="W316" s="17">
        <v>405</v>
      </c>
      <c r="X316" s="17">
        <v>157</v>
      </c>
      <c r="Y316" s="17">
        <v>11</v>
      </c>
      <c r="Z316" s="17">
        <f t="shared" si="35"/>
        <v>573</v>
      </c>
      <c r="AA316" s="11">
        <f t="shared" si="36"/>
        <v>0.70680628272251311</v>
      </c>
      <c r="AB316" s="11">
        <f t="shared" si="37"/>
        <v>0.27399650959860383</v>
      </c>
      <c r="AC316" s="66">
        <f t="shared" si="38"/>
        <v>0.70680628272251311</v>
      </c>
      <c r="AD316" s="67">
        <f t="shared" si="39"/>
        <v>0.56020942408376961</v>
      </c>
    </row>
    <row r="317" spans="1:32" ht="14.5" customHeight="1" x14ac:dyDescent="0.2">
      <c r="A317" t="s">
        <v>2159</v>
      </c>
      <c r="B317" s="17">
        <v>1</v>
      </c>
      <c r="C317" s="17">
        <v>0</v>
      </c>
      <c r="D317" s="22" t="s">
        <v>2233</v>
      </c>
      <c r="E317" s="22" t="s">
        <v>2234</v>
      </c>
      <c r="F317" s="17">
        <f t="shared" si="34"/>
        <v>2007</v>
      </c>
      <c r="G317" s="18">
        <v>39199</v>
      </c>
      <c r="H317" s="22" t="s">
        <v>2983</v>
      </c>
      <c r="I317" s="17">
        <v>0</v>
      </c>
      <c r="J317" s="22" t="s">
        <v>2257</v>
      </c>
      <c r="K317" s="17">
        <v>0</v>
      </c>
      <c r="L317" s="59">
        <v>1</v>
      </c>
      <c r="M317" s="22" t="s">
        <v>2576</v>
      </c>
      <c r="N317" s="22" t="s">
        <v>2629</v>
      </c>
      <c r="P317" s="22" t="s">
        <v>2258</v>
      </c>
      <c r="R317" s="17">
        <v>1</v>
      </c>
      <c r="S317" s="17">
        <v>0</v>
      </c>
      <c r="T317" s="17">
        <v>0</v>
      </c>
      <c r="U317" s="17">
        <v>1</v>
      </c>
      <c r="V317" s="17">
        <v>1</v>
      </c>
      <c r="W317" s="17">
        <v>497</v>
      </c>
      <c r="X317" s="17">
        <v>32</v>
      </c>
      <c r="Y317" s="17">
        <v>23</v>
      </c>
      <c r="Z317" s="17">
        <f t="shared" si="35"/>
        <v>552</v>
      </c>
      <c r="AA317" s="11">
        <f t="shared" si="36"/>
        <v>0.90036231884057971</v>
      </c>
      <c r="AB317" s="11">
        <f t="shared" si="37"/>
        <v>5.7971014492753624E-2</v>
      </c>
      <c r="AC317" s="66">
        <f t="shared" si="38"/>
        <v>0.90036231884057971</v>
      </c>
      <c r="AD317" s="67">
        <f t="shared" si="39"/>
        <v>0.85054347826086951</v>
      </c>
    </row>
    <row r="318" spans="1:32" ht="14.5" customHeight="1" x14ac:dyDescent="0.2">
      <c r="A318" t="s">
        <v>2159</v>
      </c>
      <c r="B318" s="17">
        <v>1</v>
      </c>
      <c r="C318" s="17">
        <v>0</v>
      </c>
      <c r="D318" s="22" t="s">
        <v>2233</v>
      </c>
      <c r="E318" s="22" t="s">
        <v>2234</v>
      </c>
      <c r="F318" s="17">
        <f t="shared" si="34"/>
        <v>2007</v>
      </c>
      <c r="G318" s="18">
        <v>39247</v>
      </c>
      <c r="H318" s="22" t="s">
        <v>2983</v>
      </c>
      <c r="I318" s="17">
        <v>0</v>
      </c>
      <c r="J318" s="22" t="s">
        <v>2253</v>
      </c>
      <c r="K318" s="17">
        <v>0</v>
      </c>
      <c r="L318" s="59">
        <v>1</v>
      </c>
      <c r="M318" t="s">
        <v>2570</v>
      </c>
      <c r="N318" s="22" t="s">
        <v>2629</v>
      </c>
      <c r="P318" s="22" t="s">
        <v>2259</v>
      </c>
      <c r="R318" s="17">
        <v>1</v>
      </c>
      <c r="S318" s="17">
        <v>0</v>
      </c>
      <c r="T318" s="17">
        <v>0</v>
      </c>
      <c r="U318" s="17">
        <v>1</v>
      </c>
      <c r="V318" s="17">
        <v>1</v>
      </c>
      <c r="W318" s="17">
        <v>506</v>
      </c>
      <c r="X318" s="17">
        <v>40</v>
      </c>
      <c r="Y318" s="17">
        <v>18</v>
      </c>
      <c r="Z318" s="17">
        <f t="shared" si="35"/>
        <v>564</v>
      </c>
      <c r="AA318" s="11">
        <f t="shared" si="36"/>
        <v>0.8971631205673759</v>
      </c>
      <c r="AB318" s="11">
        <f t="shared" si="37"/>
        <v>7.0921985815602842E-2</v>
      </c>
      <c r="AC318" s="66">
        <f t="shared" si="38"/>
        <v>0.8971631205673759</v>
      </c>
      <c r="AD318" s="67">
        <f t="shared" si="39"/>
        <v>0.8457446808510638</v>
      </c>
    </row>
    <row r="319" spans="1:32" ht="14.5" customHeight="1" x14ac:dyDescent="0.2">
      <c r="A319" t="s">
        <v>2159</v>
      </c>
      <c r="B319" s="17">
        <v>1</v>
      </c>
      <c r="C319" s="17">
        <v>0</v>
      </c>
      <c r="D319" s="22" t="s">
        <v>2233</v>
      </c>
      <c r="E319" s="22" t="s">
        <v>2234</v>
      </c>
      <c r="F319" s="17">
        <f t="shared" si="34"/>
        <v>2007</v>
      </c>
      <c r="G319" s="18">
        <v>39254</v>
      </c>
      <c r="H319" s="22" t="s">
        <v>2983</v>
      </c>
      <c r="I319" s="17">
        <v>0</v>
      </c>
      <c r="J319" s="22" t="s">
        <v>2260</v>
      </c>
      <c r="K319" s="17">
        <v>0</v>
      </c>
      <c r="L319" s="59">
        <v>1</v>
      </c>
      <c r="M319" s="22" t="s">
        <v>165</v>
      </c>
      <c r="N319" s="24" t="s">
        <v>2630</v>
      </c>
      <c r="P319" s="22" t="s">
        <v>2261</v>
      </c>
      <c r="R319" s="17">
        <v>1</v>
      </c>
      <c r="S319" s="17">
        <v>0</v>
      </c>
      <c r="T319" s="17">
        <v>0</v>
      </c>
      <c r="U319" s="17">
        <v>1</v>
      </c>
      <c r="V319" s="17">
        <v>1</v>
      </c>
      <c r="W319" s="17">
        <v>515</v>
      </c>
      <c r="X319" s="17">
        <v>58</v>
      </c>
      <c r="Y319" s="17">
        <v>3</v>
      </c>
      <c r="Z319" s="17">
        <f t="shared" si="35"/>
        <v>576</v>
      </c>
      <c r="AA319" s="11">
        <f t="shared" si="36"/>
        <v>0.89409722222222221</v>
      </c>
      <c r="AB319" s="11">
        <f t="shared" si="37"/>
        <v>0.10069444444444445</v>
      </c>
      <c r="AC319" s="66">
        <f t="shared" si="38"/>
        <v>0.89409722222222221</v>
      </c>
      <c r="AD319" s="67">
        <f t="shared" si="39"/>
        <v>0.84114583333333337</v>
      </c>
    </row>
    <row r="320" spans="1:32" ht="14.5" customHeight="1" x14ac:dyDescent="0.2">
      <c r="A320" t="s">
        <v>2159</v>
      </c>
      <c r="B320" s="17">
        <v>1</v>
      </c>
      <c r="C320" s="17">
        <v>0</v>
      </c>
      <c r="D320" s="22" t="s">
        <v>2233</v>
      </c>
      <c r="E320" s="22" t="s">
        <v>2234</v>
      </c>
      <c r="F320" s="17">
        <f t="shared" si="34"/>
        <v>2007</v>
      </c>
      <c r="G320" s="18">
        <v>39337</v>
      </c>
      <c r="H320" s="22" t="s">
        <v>2983</v>
      </c>
      <c r="I320" s="17">
        <v>0</v>
      </c>
      <c r="J320" s="22" t="s">
        <v>2262</v>
      </c>
      <c r="K320" s="17">
        <v>0</v>
      </c>
      <c r="L320" s="59">
        <v>1</v>
      </c>
      <c r="M320" t="s">
        <v>202</v>
      </c>
      <c r="N320" s="50" t="s">
        <v>2121</v>
      </c>
      <c r="P320" s="22" t="s">
        <v>2263</v>
      </c>
      <c r="R320" s="17">
        <v>1</v>
      </c>
      <c r="S320" s="17">
        <v>0</v>
      </c>
      <c r="T320" s="17">
        <v>0</v>
      </c>
      <c r="U320" s="17">
        <v>1</v>
      </c>
      <c r="V320" s="17">
        <v>1</v>
      </c>
      <c r="W320" s="17">
        <v>441</v>
      </c>
      <c r="X320" s="17">
        <v>126</v>
      </c>
      <c r="Y320" s="17">
        <v>4</v>
      </c>
      <c r="Z320" s="17">
        <f t="shared" si="35"/>
        <v>571</v>
      </c>
      <c r="AA320" s="11">
        <f t="shared" si="36"/>
        <v>0.77232924693520144</v>
      </c>
      <c r="AB320" s="11">
        <f t="shared" si="37"/>
        <v>0.22066549912434325</v>
      </c>
      <c r="AC320" s="66">
        <f t="shared" si="38"/>
        <v>0.77232924693520144</v>
      </c>
      <c r="AD320" s="67">
        <f t="shared" si="39"/>
        <v>0.65849387040280205</v>
      </c>
    </row>
    <row r="321" spans="1:30" ht="14.5" customHeight="1" x14ac:dyDescent="0.2">
      <c r="A321" t="s">
        <v>2159</v>
      </c>
      <c r="B321" s="17">
        <v>1</v>
      </c>
      <c r="C321" s="17">
        <v>0</v>
      </c>
      <c r="D321" s="22" t="s">
        <v>2233</v>
      </c>
      <c r="E321" s="22" t="s">
        <v>2234</v>
      </c>
      <c r="F321" s="17">
        <f t="shared" si="34"/>
        <v>2007</v>
      </c>
      <c r="G321" s="18">
        <v>39367</v>
      </c>
      <c r="H321" s="22" t="s">
        <v>2983</v>
      </c>
      <c r="I321" s="17">
        <v>0</v>
      </c>
      <c r="J321" s="22" t="s">
        <v>2264</v>
      </c>
      <c r="K321" s="17">
        <v>0</v>
      </c>
      <c r="L321" s="59">
        <v>1</v>
      </c>
      <c r="M321" s="22" t="s">
        <v>129</v>
      </c>
      <c r="N321" s="22" t="s">
        <v>422</v>
      </c>
      <c r="P321" s="22" t="s">
        <v>2265</v>
      </c>
      <c r="R321" s="17">
        <v>1</v>
      </c>
      <c r="S321" s="17">
        <v>0</v>
      </c>
      <c r="T321" s="17">
        <v>0</v>
      </c>
      <c r="U321" s="17">
        <v>1</v>
      </c>
      <c r="V321" s="17">
        <v>1</v>
      </c>
      <c r="W321" s="17">
        <v>454</v>
      </c>
      <c r="X321" s="17">
        <v>79</v>
      </c>
      <c r="Y321" s="17">
        <v>48</v>
      </c>
      <c r="Z321" s="17">
        <f t="shared" si="35"/>
        <v>581</v>
      </c>
      <c r="AA321" s="11">
        <f t="shared" si="36"/>
        <v>0.78141135972461273</v>
      </c>
      <c r="AB321" s="11">
        <f t="shared" si="37"/>
        <v>0.13597246127366611</v>
      </c>
      <c r="AC321" s="66">
        <f t="shared" si="38"/>
        <v>0.78141135972461273</v>
      </c>
      <c r="AD321" s="67">
        <f t="shared" si="39"/>
        <v>0.67211703958691915</v>
      </c>
    </row>
    <row r="322" spans="1:30" ht="14.5" customHeight="1" x14ac:dyDescent="0.2">
      <c r="A322" t="s">
        <v>2159</v>
      </c>
      <c r="B322" s="17">
        <v>1</v>
      </c>
      <c r="C322" s="17">
        <v>0</v>
      </c>
      <c r="D322" s="22" t="s">
        <v>2233</v>
      </c>
      <c r="E322" s="22" t="s">
        <v>2234</v>
      </c>
      <c r="F322" s="17">
        <f t="shared" si="34"/>
        <v>2007</v>
      </c>
      <c r="G322" s="18">
        <v>39401</v>
      </c>
      <c r="H322" s="22" t="s">
        <v>2983</v>
      </c>
      <c r="I322" s="17">
        <v>0</v>
      </c>
      <c r="J322" s="22" t="s">
        <v>2235</v>
      </c>
      <c r="K322" s="17">
        <v>0</v>
      </c>
      <c r="L322" s="59">
        <v>1</v>
      </c>
      <c r="M322" s="5" t="s">
        <v>2854</v>
      </c>
      <c r="N322" s="5" t="s">
        <v>2627</v>
      </c>
      <c r="P322" s="22" t="s">
        <v>2266</v>
      </c>
      <c r="R322" s="17">
        <v>1</v>
      </c>
      <c r="S322" s="17">
        <v>0</v>
      </c>
      <c r="T322" s="17">
        <v>0</v>
      </c>
      <c r="U322" s="17">
        <v>1</v>
      </c>
      <c r="V322" s="17">
        <v>1</v>
      </c>
      <c r="W322" s="17">
        <v>413</v>
      </c>
      <c r="X322" s="17">
        <v>145</v>
      </c>
      <c r="Y322" s="17">
        <v>15</v>
      </c>
      <c r="Z322" s="17">
        <f t="shared" si="35"/>
        <v>573</v>
      </c>
      <c r="AA322" s="11">
        <f t="shared" si="36"/>
        <v>0.72076788830715532</v>
      </c>
      <c r="AB322" s="11">
        <f t="shared" si="37"/>
        <v>0.25305410122164052</v>
      </c>
      <c r="AC322" s="66">
        <f t="shared" si="38"/>
        <v>0.72076788830715532</v>
      </c>
      <c r="AD322" s="67">
        <f t="shared" si="39"/>
        <v>0.58115183246073299</v>
      </c>
    </row>
    <row r="323" spans="1:30" ht="14.5" customHeight="1" x14ac:dyDescent="0.2">
      <c r="A323" t="s">
        <v>2159</v>
      </c>
      <c r="B323" s="17">
        <v>1</v>
      </c>
      <c r="C323" s="17">
        <v>0</v>
      </c>
      <c r="D323" s="22" t="s">
        <v>2233</v>
      </c>
      <c r="E323" s="22" t="s">
        <v>2234</v>
      </c>
      <c r="F323" s="17">
        <f t="shared" si="34"/>
        <v>2007</v>
      </c>
      <c r="G323" s="18">
        <v>39401</v>
      </c>
      <c r="H323" s="22" t="s">
        <v>2983</v>
      </c>
      <c r="I323" s="17">
        <v>0</v>
      </c>
      <c r="J323" s="22" t="s">
        <v>2268</v>
      </c>
      <c r="K323" s="17">
        <v>0</v>
      </c>
      <c r="L323" s="59">
        <v>1</v>
      </c>
      <c r="M323" s="22" t="s">
        <v>2575</v>
      </c>
      <c r="N323" s="22" t="s">
        <v>2629</v>
      </c>
      <c r="P323" s="22" t="s">
        <v>2269</v>
      </c>
      <c r="R323" s="17">
        <v>1</v>
      </c>
      <c r="S323" s="17">
        <v>0</v>
      </c>
      <c r="T323" s="17">
        <v>0</v>
      </c>
      <c r="U323" s="17">
        <v>1</v>
      </c>
      <c r="V323" s="17">
        <v>0</v>
      </c>
      <c r="W323" s="17">
        <v>512</v>
      </c>
      <c r="X323" s="17">
        <v>44</v>
      </c>
      <c r="Y323" s="17">
        <v>12</v>
      </c>
      <c r="Z323" s="17">
        <f t="shared" si="35"/>
        <v>568</v>
      </c>
      <c r="AA323" s="11">
        <f t="shared" si="36"/>
        <v>0.90140845070422537</v>
      </c>
      <c r="AB323" s="11">
        <f t="shared" si="37"/>
        <v>7.746478873239436E-2</v>
      </c>
      <c r="AC323" s="66">
        <f t="shared" si="38"/>
        <v>0.90140845070422537</v>
      </c>
      <c r="AD323" s="67">
        <f t="shared" si="39"/>
        <v>0.852112676056338</v>
      </c>
    </row>
    <row r="324" spans="1:30" ht="14.5" customHeight="1" x14ac:dyDescent="0.2">
      <c r="A324" t="s">
        <v>2159</v>
      </c>
      <c r="B324" s="17">
        <v>1</v>
      </c>
      <c r="C324" s="17">
        <v>0</v>
      </c>
      <c r="D324" s="22" t="s">
        <v>2233</v>
      </c>
      <c r="E324" s="22" t="s">
        <v>2234</v>
      </c>
      <c r="F324" s="17">
        <f t="shared" si="34"/>
        <v>2007</v>
      </c>
      <c r="G324" s="18">
        <v>39401</v>
      </c>
      <c r="H324" s="22" t="s">
        <v>2983</v>
      </c>
      <c r="I324" s="17">
        <v>0</v>
      </c>
      <c r="J324" s="22" t="s">
        <v>2257</v>
      </c>
      <c r="K324" s="17">
        <v>0</v>
      </c>
      <c r="L324" s="59">
        <v>1</v>
      </c>
      <c r="M324" s="22" t="s">
        <v>2576</v>
      </c>
      <c r="N324" s="22" t="s">
        <v>2629</v>
      </c>
      <c r="P324" s="22" t="s">
        <v>2267</v>
      </c>
      <c r="R324" s="17">
        <v>1</v>
      </c>
      <c r="S324" s="17">
        <v>0</v>
      </c>
      <c r="T324" s="17">
        <v>0</v>
      </c>
      <c r="U324" s="17">
        <v>1</v>
      </c>
      <c r="V324" s="17">
        <v>1</v>
      </c>
      <c r="W324" s="17">
        <v>517</v>
      </c>
      <c r="X324" s="17">
        <v>41</v>
      </c>
      <c r="Y324" s="17">
        <v>14</v>
      </c>
      <c r="Z324" s="17">
        <f t="shared" si="35"/>
        <v>572</v>
      </c>
      <c r="AA324" s="11">
        <f t="shared" si="36"/>
        <v>0.90384615384615385</v>
      </c>
      <c r="AB324" s="11">
        <f t="shared" si="37"/>
        <v>7.167832167832168E-2</v>
      </c>
      <c r="AC324" s="66">
        <f t="shared" si="38"/>
        <v>0.90384615384615385</v>
      </c>
      <c r="AD324" s="67">
        <f t="shared" si="39"/>
        <v>0.85576923076923073</v>
      </c>
    </row>
    <row r="325" spans="1:30" ht="14.5" customHeight="1" x14ac:dyDescent="0.2">
      <c r="A325" t="s">
        <v>2159</v>
      </c>
      <c r="B325" s="17">
        <v>1</v>
      </c>
      <c r="C325" s="17">
        <v>0</v>
      </c>
      <c r="D325" s="22" t="s">
        <v>2233</v>
      </c>
      <c r="E325" s="22" t="s">
        <v>2234</v>
      </c>
      <c r="F325" s="17">
        <f t="shared" si="34"/>
        <v>2008</v>
      </c>
      <c r="G325" s="18">
        <v>39604</v>
      </c>
      <c r="H325" s="22" t="s">
        <v>2983</v>
      </c>
      <c r="I325" s="17">
        <v>0</v>
      </c>
      <c r="J325" s="22" t="s">
        <v>2270</v>
      </c>
      <c r="K325" s="17">
        <v>0</v>
      </c>
      <c r="L325" s="59">
        <v>1</v>
      </c>
      <c r="M325" s="22" t="s">
        <v>165</v>
      </c>
      <c r="N325" s="24" t="s">
        <v>2630</v>
      </c>
      <c r="P325" s="22" t="s">
        <v>2271</v>
      </c>
      <c r="R325" s="17">
        <v>1</v>
      </c>
      <c r="S325" s="17">
        <v>0</v>
      </c>
      <c r="T325" s="17">
        <v>0</v>
      </c>
      <c r="U325" s="17">
        <v>1</v>
      </c>
      <c r="V325" s="17">
        <v>1</v>
      </c>
      <c r="W325" s="17">
        <v>499</v>
      </c>
      <c r="X325" s="17">
        <v>57</v>
      </c>
      <c r="Y325" s="17">
        <v>3</v>
      </c>
      <c r="Z325" s="17">
        <f t="shared" si="35"/>
        <v>559</v>
      </c>
      <c r="AA325" s="11">
        <f t="shared" si="36"/>
        <v>0.89266547406082286</v>
      </c>
      <c r="AB325" s="11">
        <f t="shared" si="37"/>
        <v>0.10196779964221825</v>
      </c>
      <c r="AC325" s="66">
        <f t="shared" si="38"/>
        <v>0.89266547406082286</v>
      </c>
      <c r="AD325" s="67">
        <f t="shared" si="39"/>
        <v>0.83899821109123429</v>
      </c>
    </row>
    <row r="326" spans="1:30" ht="14.5" customHeight="1" x14ac:dyDescent="0.2">
      <c r="A326" t="s">
        <v>2159</v>
      </c>
      <c r="B326" s="17">
        <v>1</v>
      </c>
      <c r="C326" s="17">
        <v>0</v>
      </c>
      <c r="D326" s="22" t="s">
        <v>2233</v>
      </c>
      <c r="E326" s="22" t="s">
        <v>2234</v>
      </c>
      <c r="F326" s="17">
        <f t="shared" si="34"/>
        <v>2008</v>
      </c>
      <c r="G326" s="18">
        <v>39708</v>
      </c>
      <c r="H326" s="22" t="s">
        <v>2983</v>
      </c>
      <c r="I326" s="17">
        <v>0</v>
      </c>
      <c r="J326" s="22" t="s">
        <v>2273</v>
      </c>
      <c r="K326" s="17">
        <v>0</v>
      </c>
      <c r="L326" s="59">
        <v>1</v>
      </c>
      <c r="M326" s="22" t="s">
        <v>2575</v>
      </c>
      <c r="N326" s="22" t="s">
        <v>2629</v>
      </c>
      <c r="P326" s="22" t="s">
        <v>2274</v>
      </c>
      <c r="R326" s="17">
        <v>1</v>
      </c>
      <c r="S326" s="17">
        <v>0</v>
      </c>
      <c r="T326" s="17">
        <v>0</v>
      </c>
      <c r="U326" s="17">
        <v>1</v>
      </c>
      <c r="V326" s="17">
        <v>1</v>
      </c>
      <c r="W326" s="17">
        <v>510</v>
      </c>
      <c r="X326" s="17">
        <v>43</v>
      </c>
      <c r="Y326" s="17">
        <v>12</v>
      </c>
      <c r="Z326" s="17">
        <f t="shared" si="35"/>
        <v>565</v>
      </c>
      <c r="AA326" s="11">
        <f t="shared" si="36"/>
        <v>0.90265486725663713</v>
      </c>
      <c r="AB326" s="11">
        <f t="shared" si="37"/>
        <v>7.6106194690265486E-2</v>
      </c>
      <c r="AC326" s="66">
        <f t="shared" si="38"/>
        <v>0.90265486725663713</v>
      </c>
      <c r="AD326" s="67">
        <f t="shared" si="39"/>
        <v>0.85398230088495575</v>
      </c>
    </row>
    <row r="327" spans="1:30" ht="14.5" customHeight="1" x14ac:dyDescent="0.2">
      <c r="A327" t="s">
        <v>2159</v>
      </c>
      <c r="B327" s="17">
        <v>1</v>
      </c>
      <c r="C327" s="17">
        <v>0</v>
      </c>
      <c r="D327" s="22" t="s">
        <v>2233</v>
      </c>
      <c r="E327" s="22" t="s">
        <v>2234</v>
      </c>
      <c r="F327" s="17">
        <f t="shared" si="34"/>
        <v>2008</v>
      </c>
      <c r="G327" s="18">
        <v>39708</v>
      </c>
      <c r="H327" s="22" t="s">
        <v>2983</v>
      </c>
      <c r="I327" s="17">
        <v>0</v>
      </c>
      <c r="J327" s="22" t="s">
        <v>2275</v>
      </c>
      <c r="K327" s="17">
        <v>0</v>
      </c>
      <c r="L327" s="59">
        <v>1</v>
      </c>
      <c r="M327" t="s">
        <v>202</v>
      </c>
      <c r="N327" s="50" t="s">
        <v>2121</v>
      </c>
      <c r="P327" s="22" t="s">
        <v>2276</v>
      </c>
      <c r="R327" s="17">
        <v>1</v>
      </c>
      <c r="S327" s="17">
        <v>0</v>
      </c>
      <c r="T327" s="17">
        <v>0</v>
      </c>
      <c r="U327" s="17">
        <v>1</v>
      </c>
      <c r="V327" s="17">
        <v>1</v>
      </c>
      <c r="W327" s="17">
        <v>451</v>
      </c>
      <c r="X327" s="17">
        <v>107</v>
      </c>
      <c r="Y327" s="17">
        <v>9</v>
      </c>
      <c r="Z327" s="17">
        <f t="shared" si="35"/>
        <v>567</v>
      </c>
      <c r="AA327" s="11">
        <f t="shared" si="36"/>
        <v>0.79541446208112876</v>
      </c>
      <c r="AB327" s="11">
        <f t="shared" si="37"/>
        <v>0.18871252204585537</v>
      </c>
      <c r="AC327" s="66">
        <f t="shared" si="38"/>
        <v>0.79541446208112876</v>
      </c>
      <c r="AD327" s="67">
        <f t="shared" si="39"/>
        <v>0.69312169312169314</v>
      </c>
    </row>
    <row r="328" spans="1:30" ht="14.5" customHeight="1" x14ac:dyDescent="0.2">
      <c r="A328" t="s">
        <v>2159</v>
      </c>
      <c r="B328" s="17">
        <v>1</v>
      </c>
      <c r="C328" s="17">
        <v>0</v>
      </c>
      <c r="D328" s="22" t="s">
        <v>2233</v>
      </c>
      <c r="E328" s="22" t="s">
        <v>2234</v>
      </c>
      <c r="F328" s="17">
        <f t="shared" si="34"/>
        <v>2008</v>
      </c>
      <c r="G328" s="18">
        <v>39708</v>
      </c>
      <c r="H328" s="22" t="s">
        <v>2983</v>
      </c>
      <c r="I328" s="17">
        <v>0</v>
      </c>
      <c r="J328" s="22" t="s">
        <v>2257</v>
      </c>
      <c r="K328" s="17">
        <v>0</v>
      </c>
      <c r="L328" s="59">
        <v>1</v>
      </c>
      <c r="M328" s="22" t="s">
        <v>2576</v>
      </c>
      <c r="N328" s="22" t="s">
        <v>2629</v>
      </c>
      <c r="P328" s="22" t="s">
        <v>2272</v>
      </c>
      <c r="R328" s="17">
        <v>1</v>
      </c>
      <c r="S328" s="17">
        <v>0</v>
      </c>
      <c r="T328" s="17">
        <v>0</v>
      </c>
      <c r="U328" s="17">
        <v>1</v>
      </c>
      <c r="V328" s="17">
        <v>1</v>
      </c>
      <c r="W328" s="17">
        <v>504</v>
      </c>
      <c r="X328" s="17">
        <v>34</v>
      </c>
      <c r="Y328" s="17">
        <v>18</v>
      </c>
      <c r="Z328" s="17">
        <f t="shared" si="35"/>
        <v>556</v>
      </c>
      <c r="AA328" s="11">
        <f t="shared" si="36"/>
        <v>0.90647482014388492</v>
      </c>
      <c r="AB328" s="11">
        <f t="shared" si="37"/>
        <v>6.1151079136690649E-2</v>
      </c>
      <c r="AC328" s="66">
        <f t="shared" si="38"/>
        <v>0.90647482014388492</v>
      </c>
      <c r="AD328" s="67">
        <f t="shared" si="39"/>
        <v>0.85971223021582732</v>
      </c>
    </row>
    <row r="329" spans="1:30" ht="14.5" customHeight="1" x14ac:dyDescent="0.2">
      <c r="A329" t="s">
        <v>2159</v>
      </c>
      <c r="B329" s="17">
        <v>1</v>
      </c>
      <c r="C329" s="17">
        <v>0</v>
      </c>
      <c r="D329" s="22" t="s">
        <v>2233</v>
      </c>
      <c r="E329" s="22" t="s">
        <v>2234</v>
      </c>
      <c r="F329" s="17">
        <f t="shared" si="34"/>
        <v>2008</v>
      </c>
      <c r="G329" s="18">
        <v>39737</v>
      </c>
      <c r="H329" s="22" t="s">
        <v>2983</v>
      </c>
      <c r="I329" s="17">
        <v>0</v>
      </c>
      <c r="J329" s="22" t="s">
        <v>2277</v>
      </c>
      <c r="K329" s="17">
        <v>0</v>
      </c>
      <c r="L329" s="59">
        <v>1</v>
      </c>
      <c r="M329" s="22" t="s">
        <v>129</v>
      </c>
      <c r="N329" s="22" t="s">
        <v>422</v>
      </c>
      <c r="P329" s="22" t="s">
        <v>2278</v>
      </c>
      <c r="R329" s="17">
        <v>1</v>
      </c>
      <c r="S329" s="17">
        <v>0</v>
      </c>
      <c r="T329" s="17">
        <v>0</v>
      </c>
      <c r="U329" s="17">
        <v>1</v>
      </c>
      <c r="V329" s="17">
        <v>1</v>
      </c>
      <c r="W329" s="17">
        <v>442</v>
      </c>
      <c r="X329" s="17">
        <v>96</v>
      </c>
      <c r="Y329" s="17">
        <v>32</v>
      </c>
      <c r="Z329" s="17">
        <f t="shared" si="35"/>
        <v>570</v>
      </c>
      <c r="AA329" s="11">
        <f t="shared" si="36"/>
        <v>0.77543859649122804</v>
      </c>
      <c r="AB329" s="11">
        <f t="shared" si="37"/>
        <v>0.16842105263157894</v>
      </c>
      <c r="AC329" s="66">
        <f t="shared" si="38"/>
        <v>0.77543859649122804</v>
      </c>
      <c r="AD329" s="67">
        <f t="shared" si="39"/>
        <v>0.66315789473684206</v>
      </c>
    </row>
    <row r="330" spans="1:30" ht="14.5" customHeight="1" x14ac:dyDescent="0.2">
      <c r="A330" t="s">
        <v>2159</v>
      </c>
      <c r="B330" s="17">
        <v>1</v>
      </c>
      <c r="C330" s="17">
        <v>0</v>
      </c>
      <c r="D330" s="22" t="s">
        <v>2233</v>
      </c>
      <c r="E330" s="22" t="s">
        <v>2234</v>
      </c>
      <c r="F330" s="17">
        <f t="shared" si="34"/>
        <v>2008</v>
      </c>
      <c r="G330" s="18">
        <v>39765</v>
      </c>
      <c r="H330" s="22" t="s">
        <v>2983</v>
      </c>
      <c r="I330" s="17">
        <v>0</v>
      </c>
      <c r="J330" s="22" t="s">
        <v>2235</v>
      </c>
      <c r="K330" s="17">
        <v>0</v>
      </c>
      <c r="L330" s="59">
        <v>1</v>
      </c>
      <c r="M330" s="5" t="s">
        <v>2854</v>
      </c>
      <c r="N330" s="5" t="s">
        <v>2627</v>
      </c>
      <c r="P330" s="22" t="s">
        <v>2279</v>
      </c>
      <c r="R330" s="17">
        <v>1</v>
      </c>
      <c r="S330" s="17">
        <v>0</v>
      </c>
      <c r="T330" s="17">
        <v>0</v>
      </c>
      <c r="U330" s="17">
        <v>1</v>
      </c>
      <c r="V330" s="17">
        <v>1</v>
      </c>
      <c r="W330" s="17">
        <v>428</v>
      </c>
      <c r="X330" s="17">
        <v>130</v>
      </c>
      <c r="Y330" s="17">
        <v>8</v>
      </c>
      <c r="Z330" s="17">
        <f t="shared" ref="Z330:Z361" si="40">W330+X330+Y330</f>
        <v>566</v>
      </c>
      <c r="AA330" s="11">
        <f t="shared" si="36"/>
        <v>0.75618374558303891</v>
      </c>
      <c r="AB330" s="11">
        <f t="shared" si="37"/>
        <v>0.22968197879858657</v>
      </c>
      <c r="AC330" s="66">
        <f t="shared" si="38"/>
        <v>0.75618374558303891</v>
      </c>
      <c r="AD330" s="67">
        <f t="shared" si="39"/>
        <v>0.63427561837455826</v>
      </c>
    </row>
    <row r="331" spans="1:30" ht="14.5" customHeight="1" x14ac:dyDescent="0.2">
      <c r="A331" t="s">
        <v>2159</v>
      </c>
      <c r="B331" s="17">
        <v>1</v>
      </c>
      <c r="C331" s="17">
        <v>0</v>
      </c>
      <c r="D331" s="22" t="s">
        <v>2233</v>
      </c>
      <c r="E331" s="22" t="s">
        <v>2234</v>
      </c>
      <c r="F331" s="17">
        <f t="shared" si="34"/>
        <v>2008</v>
      </c>
      <c r="G331" s="18">
        <v>39801</v>
      </c>
      <c r="H331" s="22" t="s">
        <v>2983</v>
      </c>
      <c r="I331" s="17">
        <v>0</v>
      </c>
      <c r="J331" s="22" t="s">
        <v>2280</v>
      </c>
      <c r="K331" s="17">
        <v>0</v>
      </c>
      <c r="L331" s="59">
        <v>1</v>
      </c>
      <c r="M331" s="22" t="s">
        <v>2860</v>
      </c>
      <c r="N331" s="54" t="s">
        <v>2631</v>
      </c>
      <c r="P331" s="22" t="s">
        <v>2281</v>
      </c>
      <c r="R331" s="17">
        <v>1</v>
      </c>
      <c r="S331" s="17">
        <v>0</v>
      </c>
      <c r="T331" s="17">
        <v>0</v>
      </c>
      <c r="U331" s="17">
        <v>1</v>
      </c>
      <c r="V331" s="17">
        <v>0</v>
      </c>
      <c r="W331" s="17">
        <v>491</v>
      </c>
      <c r="X331" s="17">
        <v>55</v>
      </c>
      <c r="Y331" s="17">
        <v>12</v>
      </c>
      <c r="Z331" s="17">
        <f t="shared" si="40"/>
        <v>558</v>
      </c>
      <c r="AA331" s="11">
        <f t="shared" si="36"/>
        <v>0.87992831541218641</v>
      </c>
      <c r="AB331" s="11">
        <f t="shared" si="37"/>
        <v>9.8566308243727599E-2</v>
      </c>
      <c r="AC331" s="66">
        <f t="shared" si="38"/>
        <v>0.87992831541218641</v>
      </c>
      <c r="AD331" s="67">
        <f t="shared" si="39"/>
        <v>0.81989247311827962</v>
      </c>
    </row>
    <row r="332" spans="1:30" ht="14.5" customHeight="1" x14ac:dyDescent="0.2">
      <c r="A332" t="s">
        <v>2159</v>
      </c>
      <c r="B332" s="17">
        <v>1</v>
      </c>
      <c r="C332" s="17">
        <v>0</v>
      </c>
      <c r="D332" s="22" t="s">
        <v>2233</v>
      </c>
      <c r="E332" s="22" t="s">
        <v>2234</v>
      </c>
      <c r="F332" s="17">
        <f t="shared" si="34"/>
        <v>2009</v>
      </c>
      <c r="G332" s="18">
        <v>39961</v>
      </c>
      <c r="H332" s="22" t="s">
        <v>2983</v>
      </c>
      <c r="I332" s="17">
        <v>0</v>
      </c>
      <c r="J332" s="22" t="s">
        <v>2270</v>
      </c>
      <c r="K332" s="17">
        <v>0</v>
      </c>
      <c r="L332" s="59">
        <v>1</v>
      </c>
      <c r="M332" s="22" t="s">
        <v>165</v>
      </c>
      <c r="N332" s="24" t="s">
        <v>2630</v>
      </c>
      <c r="P332" s="22" t="s">
        <v>2282</v>
      </c>
      <c r="R332" s="17">
        <v>1</v>
      </c>
      <c r="S332" s="17">
        <v>0</v>
      </c>
      <c r="T332" s="17">
        <v>0</v>
      </c>
      <c r="U332" s="17">
        <v>1</v>
      </c>
      <c r="V332" s="17">
        <v>1</v>
      </c>
      <c r="W332" s="17">
        <v>503</v>
      </c>
      <c r="X332" s="17">
        <v>54</v>
      </c>
      <c r="Y332" s="17">
        <v>8</v>
      </c>
      <c r="Z332" s="17">
        <f t="shared" si="40"/>
        <v>565</v>
      </c>
      <c r="AA332" s="11">
        <f t="shared" si="36"/>
        <v>0.89026548672566375</v>
      </c>
      <c r="AB332" s="11">
        <f t="shared" si="37"/>
        <v>9.5575221238938052E-2</v>
      </c>
      <c r="AC332" s="66">
        <f t="shared" si="38"/>
        <v>0.89026548672566375</v>
      </c>
      <c r="AD332" s="67">
        <f t="shared" si="39"/>
        <v>0.83539823008849556</v>
      </c>
    </row>
    <row r="333" spans="1:30" ht="14.5" customHeight="1" x14ac:dyDescent="0.2">
      <c r="A333" t="s">
        <v>2159</v>
      </c>
      <c r="B333" s="17">
        <v>1</v>
      </c>
      <c r="C333" s="17">
        <v>0</v>
      </c>
      <c r="D333" s="22" t="s">
        <v>2233</v>
      </c>
      <c r="E333" s="22" t="s">
        <v>2234</v>
      </c>
      <c r="F333" s="17">
        <f t="shared" si="34"/>
        <v>2009</v>
      </c>
      <c r="G333" s="18">
        <v>39982</v>
      </c>
      <c r="H333" s="22" t="s">
        <v>2983</v>
      </c>
      <c r="I333" s="17">
        <v>0</v>
      </c>
      <c r="J333" s="22" t="s">
        <v>2283</v>
      </c>
      <c r="K333" s="17">
        <v>0</v>
      </c>
      <c r="L333" s="59">
        <v>1</v>
      </c>
      <c r="M333" s="22" t="s">
        <v>2860</v>
      </c>
      <c r="N333" s="54" t="s">
        <v>2631</v>
      </c>
      <c r="P333" s="22" t="s">
        <v>2284</v>
      </c>
      <c r="R333" s="17">
        <v>1</v>
      </c>
      <c r="S333" s="17">
        <v>0</v>
      </c>
      <c r="T333" s="17">
        <v>0</v>
      </c>
      <c r="U333" s="17">
        <v>1</v>
      </c>
      <c r="V333" s="17">
        <v>0</v>
      </c>
      <c r="W333" s="17">
        <v>475</v>
      </c>
      <c r="X333" s="17">
        <v>42</v>
      </c>
      <c r="Y333" s="17">
        <v>10</v>
      </c>
      <c r="Z333" s="17">
        <f t="shared" si="40"/>
        <v>527</v>
      </c>
      <c r="AA333" s="11">
        <f t="shared" si="36"/>
        <v>0.90132827324478182</v>
      </c>
      <c r="AB333" s="11">
        <f t="shared" si="37"/>
        <v>7.9696394686907021E-2</v>
      </c>
      <c r="AC333" s="66">
        <f t="shared" si="38"/>
        <v>0.90132827324478182</v>
      </c>
      <c r="AD333" s="67">
        <f t="shared" si="39"/>
        <v>0.85199240986717273</v>
      </c>
    </row>
    <row r="334" spans="1:30" ht="14.5" customHeight="1" x14ac:dyDescent="0.2">
      <c r="A334" t="s">
        <v>2159</v>
      </c>
      <c r="B334" s="17">
        <v>1</v>
      </c>
      <c r="C334" s="17">
        <v>0</v>
      </c>
      <c r="D334" s="22" t="s">
        <v>2233</v>
      </c>
      <c r="E334" s="22" t="s">
        <v>2234</v>
      </c>
      <c r="F334" s="17">
        <f t="shared" si="34"/>
        <v>2009</v>
      </c>
      <c r="G334" s="18">
        <v>39996</v>
      </c>
      <c r="H334" s="22" t="s">
        <v>2983</v>
      </c>
      <c r="I334" s="17">
        <v>0</v>
      </c>
      <c r="J334" s="22" t="s">
        <v>2285</v>
      </c>
      <c r="K334" s="17">
        <v>0</v>
      </c>
      <c r="L334" s="59">
        <v>1</v>
      </c>
      <c r="M334" s="22" t="s">
        <v>129</v>
      </c>
      <c r="N334" s="22" t="s">
        <v>422</v>
      </c>
      <c r="P334" s="22" t="s">
        <v>2286</v>
      </c>
      <c r="R334" s="17">
        <v>1</v>
      </c>
      <c r="S334" s="17">
        <v>0</v>
      </c>
      <c r="T334" s="17">
        <v>0</v>
      </c>
      <c r="U334" s="17">
        <v>1</v>
      </c>
      <c r="V334" s="17">
        <v>0</v>
      </c>
      <c r="W334" s="17">
        <v>460</v>
      </c>
      <c r="X334" s="17">
        <v>81</v>
      </c>
      <c r="Y334" s="17">
        <v>15</v>
      </c>
      <c r="Z334" s="17">
        <f t="shared" si="40"/>
        <v>556</v>
      </c>
      <c r="AA334" s="11">
        <f t="shared" si="36"/>
        <v>0.82733812949640284</v>
      </c>
      <c r="AB334" s="11">
        <f t="shared" si="37"/>
        <v>0.14568345323741008</v>
      </c>
      <c r="AC334" s="66">
        <f t="shared" si="38"/>
        <v>0.82733812949640284</v>
      </c>
      <c r="AD334" s="67">
        <f t="shared" si="39"/>
        <v>0.74100719424460426</v>
      </c>
    </row>
    <row r="335" spans="1:30" ht="14.5" customHeight="1" x14ac:dyDescent="0.2">
      <c r="A335" t="s">
        <v>2159</v>
      </c>
      <c r="B335" s="17">
        <v>1</v>
      </c>
      <c r="C335" s="17">
        <v>0</v>
      </c>
      <c r="D335" s="22" t="s">
        <v>2233</v>
      </c>
      <c r="E335" s="22" t="s">
        <v>2234</v>
      </c>
      <c r="F335" s="17">
        <f t="shared" si="34"/>
        <v>2009</v>
      </c>
      <c r="G335" s="18">
        <v>39996</v>
      </c>
      <c r="H335" s="22" t="s">
        <v>2983</v>
      </c>
      <c r="I335" s="17">
        <v>0</v>
      </c>
      <c r="J335" s="22" t="s">
        <v>2287</v>
      </c>
      <c r="K335" s="17">
        <v>0</v>
      </c>
      <c r="L335" s="59">
        <v>1</v>
      </c>
      <c r="M335" s="22" t="s">
        <v>2575</v>
      </c>
      <c r="N335" s="22" t="s">
        <v>2629</v>
      </c>
      <c r="P335" s="22" t="s">
        <v>2288</v>
      </c>
      <c r="R335" s="17">
        <v>1</v>
      </c>
      <c r="S335" s="17">
        <v>0</v>
      </c>
      <c r="T335" s="17">
        <v>0</v>
      </c>
      <c r="U335" s="17">
        <v>1</v>
      </c>
      <c r="V335" s="17">
        <v>1</v>
      </c>
      <c r="W335" s="17">
        <v>478</v>
      </c>
      <c r="X335" s="17">
        <v>50</v>
      </c>
      <c r="Y335" s="17">
        <v>2</v>
      </c>
      <c r="Z335" s="17">
        <f t="shared" si="40"/>
        <v>530</v>
      </c>
      <c r="AA335" s="11">
        <f t="shared" si="36"/>
        <v>0.90188679245283021</v>
      </c>
      <c r="AB335" s="11">
        <f t="shared" si="37"/>
        <v>9.4339622641509441E-2</v>
      </c>
      <c r="AC335" s="66">
        <f t="shared" si="38"/>
        <v>0.90188679245283021</v>
      </c>
      <c r="AD335" s="67">
        <f t="shared" si="39"/>
        <v>0.85283018867924532</v>
      </c>
    </row>
    <row r="336" spans="1:30" ht="14.5" customHeight="1" x14ac:dyDescent="0.2">
      <c r="A336" t="s">
        <v>2159</v>
      </c>
      <c r="B336" s="17">
        <v>1</v>
      </c>
      <c r="C336" s="17">
        <v>0</v>
      </c>
      <c r="D336" s="22" t="s">
        <v>2233</v>
      </c>
      <c r="E336" s="22" t="s">
        <v>2234</v>
      </c>
      <c r="F336" s="17">
        <f t="shared" si="34"/>
        <v>2009</v>
      </c>
      <c r="G336" s="18">
        <v>39996</v>
      </c>
      <c r="H336" s="22" t="s">
        <v>2983</v>
      </c>
      <c r="I336" s="17">
        <v>0</v>
      </c>
      <c r="J336" s="22" t="s">
        <v>2289</v>
      </c>
      <c r="K336" s="17">
        <v>0</v>
      </c>
      <c r="L336" s="59">
        <v>1</v>
      </c>
      <c r="M336" s="22" t="s">
        <v>2576</v>
      </c>
      <c r="N336" s="22" t="s">
        <v>2629</v>
      </c>
      <c r="P336" s="22" t="s">
        <v>2290</v>
      </c>
      <c r="R336" s="17">
        <v>1</v>
      </c>
      <c r="S336" s="17">
        <v>0</v>
      </c>
      <c r="T336" s="17">
        <v>0</v>
      </c>
      <c r="U336" s="17">
        <v>1</v>
      </c>
      <c r="V336" s="17">
        <v>1</v>
      </c>
      <c r="W336" s="17">
        <v>487</v>
      </c>
      <c r="X336" s="17">
        <v>39</v>
      </c>
      <c r="Y336" s="17">
        <v>14</v>
      </c>
      <c r="Z336" s="17">
        <f t="shared" si="40"/>
        <v>540</v>
      </c>
      <c r="AA336" s="11">
        <f t="shared" si="36"/>
        <v>0.9018518518518519</v>
      </c>
      <c r="AB336" s="11">
        <f t="shared" si="37"/>
        <v>7.2222222222222215E-2</v>
      </c>
      <c r="AC336" s="66">
        <f t="shared" si="38"/>
        <v>0.9018518518518519</v>
      </c>
      <c r="AD336" s="67">
        <f t="shared" si="39"/>
        <v>0.85277777777777775</v>
      </c>
    </row>
    <row r="337" spans="1:30" ht="14.5" customHeight="1" x14ac:dyDescent="0.2">
      <c r="A337" t="s">
        <v>2159</v>
      </c>
      <c r="B337" s="17">
        <v>1</v>
      </c>
      <c r="C337" s="17">
        <v>0</v>
      </c>
      <c r="D337" s="22" t="s">
        <v>2291</v>
      </c>
      <c r="E337" s="22" t="s">
        <v>2161</v>
      </c>
      <c r="F337" s="17">
        <f t="shared" si="34"/>
        <v>2009</v>
      </c>
      <c r="G337" s="18">
        <v>40150</v>
      </c>
      <c r="H337" s="22" t="s">
        <v>2983</v>
      </c>
      <c r="I337" s="17">
        <v>0</v>
      </c>
      <c r="J337" s="22" t="s">
        <v>2235</v>
      </c>
      <c r="K337" s="17">
        <v>0</v>
      </c>
      <c r="L337" s="59">
        <v>1</v>
      </c>
      <c r="M337" s="5" t="s">
        <v>2854</v>
      </c>
      <c r="N337" s="5" t="s">
        <v>2627</v>
      </c>
      <c r="P337" s="22" t="s">
        <v>2294</v>
      </c>
      <c r="R337" s="17">
        <v>1</v>
      </c>
      <c r="S337" s="17">
        <v>0</v>
      </c>
      <c r="T337" s="17">
        <v>0</v>
      </c>
      <c r="U337" s="17">
        <v>1</v>
      </c>
      <c r="V337" s="17">
        <v>1</v>
      </c>
      <c r="W337" s="17">
        <v>322</v>
      </c>
      <c r="X337" s="17">
        <v>266</v>
      </c>
      <c r="Y337" s="17">
        <v>0</v>
      </c>
      <c r="Z337" s="17">
        <f t="shared" si="40"/>
        <v>588</v>
      </c>
      <c r="AA337" s="11">
        <f t="shared" si="36"/>
        <v>0.54761904761904767</v>
      </c>
      <c r="AB337" s="11">
        <f t="shared" si="37"/>
        <v>0.45238095238095238</v>
      </c>
      <c r="AC337" s="66">
        <f t="shared" si="38"/>
        <v>0.54761904761904767</v>
      </c>
      <c r="AD337" s="67">
        <f t="shared" si="39"/>
        <v>0.32142857142857145</v>
      </c>
    </row>
    <row r="338" spans="1:30" ht="15" customHeight="1" x14ac:dyDescent="0.2">
      <c r="A338" t="s">
        <v>2159</v>
      </c>
      <c r="B338" s="17">
        <v>1</v>
      </c>
      <c r="C338" s="17">
        <v>0</v>
      </c>
      <c r="D338" s="22" t="s">
        <v>2291</v>
      </c>
      <c r="E338" s="22" t="s">
        <v>2161</v>
      </c>
      <c r="F338" s="17">
        <f t="shared" si="34"/>
        <v>2009</v>
      </c>
      <c r="G338" s="18">
        <v>40150</v>
      </c>
      <c r="H338" s="22" t="s">
        <v>2983</v>
      </c>
      <c r="I338" s="17">
        <v>0</v>
      </c>
      <c r="J338" s="22" t="s">
        <v>2292</v>
      </c>
      <c r="K338" s="17">
        <v>0</v>
      </c>
      <c r="L338" s="59">
        <v>1</v>
      </c>
      <c r="M338" s="22" t="s">
        <v>129</v>
      </c>
      <c r="N338" s="22" t="s">
        <v>422</v>
      </c>
      <c r="P338" s="22" t="s">
        <v>2293</v>
      </c>
      <c r="R338" s="17">
        <v>1</v>
      </c>
      <c r="S338" s="17">
        <v>0</v>
      </c>
      <c r="T338" s="17">
        <v>0</v>
      </c>
      <c r="U338" s="17">
        <v>1</v>
      </c>
      <c r="V338" s="17">
        <v>1</v>
      </c>
      <c r="W338" s="17">
        <v>446</v>
      </c>
      <c r="X338" s="17">
        <v>105</v>
      </c>
      <c r="Y338" s="17">
        <v>43</v>
      </c>
      <c r="Z338" s="17">
        <f t="shared" si="40"/>
        <v>594</v>
      </c>
      <c r="AA338" s="11">
        <f t="shared" si="36"/>
        <v>0.75084175084175087</v>
      </c>
      <c r="AB338" s="11">
        <f t="shared" si="37"/>
        <v>0.17676767676767677</v>
      </c>
      <c r="AC338" s="66">
        <f t="shared" si="38"/>
        <v>0.75084175084175087</v>
      </c>
      <c r="AD338" s="67">
        <f t="shared" si="39"/>
        <v>0.6262626262626263</v>
      </c>
    </row>
    <row r="339" spans="1:30" ht="14.5" customHeight="1" x14ac:dyDescent="0.2">
      <c r="A339" t="s">
        <v>2159</v>
      </c>
      <c r="B339" s="17">
        <v>1</v>
      </c>
      <c r="C339" s="17">
        <v>0</v>
      </c>
      <c r="D339" s="22" t="s">
        <v>2291</v>
      </c>
      <c r="E339" s="22" t="s">
        <v>2161</v>
      </c>
      <c r="F339" s="17">
        <f t="shared" si="34"/>
        <v>2009</v>
      </c>
      <c r="G339" s="18">
        <v>40150</v>
      </c>
      <c r="H339" s="22" t="s">
        <v>2983</v>
      </c>
      <c r="I339" s="17">
        <v>0</v>
      </c>
      <c r="J339" s="22" t="s">
        <v>2295</v>
      </c>
      <c r="K339" s="17">
        <v>0</v>
      </c>
      <c r="L339" s="59">
        <v>1</v>
      </c>
      <c r="M339" t="s">
        <v>202</v>
      </c>
      <c r="N339" s="50" t="s">
        <v>2121</v>
      </c>
      <c r="P339" s="22" t="s">
        <v>2296</v>
      </c>
      <c r="R339" s="17">
        <v>1</v>
      </c>
      <c r="S339" s="17">
        <v>0</v>
      </c>
      <c r="T339" s="17">
        <v>0</v>
      </c>
      <c r="U339" s="17">
        <v>1</v>
      </c>
      <c r="V339" s="17">
        <v>1</v>
      </c>
      <c r="W339" s="17">
        <v>500</v>
      </c>
      <c r="X339" s="17">
        <v>82</v>
      </c>
      <c r="Y339" s="17">
        <v>10</v>
      </c>
      <c r="Z339" s="17">
        <f t="shared" si="40"/>
        <v>592</v>
      </c>
      <c r="AA339" s="11">
        <f t="shared" si="36"/>
        <v>0.84459459459459463</v>
      </c>
      <c r="AB339" s="11">
        <f t="shared" si="37"/>
        <v>0.13851351351351351</v>
      </c>
      <c r="AC339" s="66">
        <f t="shared" si="38"/>
        <v>0.84459459459459463</v>
      </c>
      <c r="AD339" s="67">
        <f t="shared" si="39"/>
        <v>0.76689189189189189</v>
      </c>
    </row>
    <row r="340" spans="1:30" ht="14.5" customHeight="1" x14ac:dyDescent="0.2">
      <c r="A340" t="s">
        <v>2159</v>
      </c>
      <c r="B340" s="17">
        <v>1</v>
      </c>
      <c r="C340" s="17">
        <v>0</v>
      </c>
      <c r="D340" s="22" t="s">
        <v>2291</v>
      </c>
      <c r="E340" s="22" t="s">
        <v>2161</v>
      </c>
      <c r="F340" s="17">
        <f t="shared" ref="F340:F403" si="41">YEAR(G340)</f>
        <v>2009</v>
      </c>
      <c r="G340" s="18">
        <v>40164</v>
      </c>
      <c r="H340" s="22" t="s">
        <v>2983</v>
      </c>
      <c r="I340" s="17">
        <v>0</v>
      </c>
      <c r="J340" s="22" t="s">
        <v>2297</v>
      </c>
      <c r="K340" s="17">
        <v>0</v>
      </c>
      <c r="L340" s="59">
        <v>1</v>
      </c>
      <c r="M340" s="22" t="s">
        <v>2860</v>
      </c>
      <c r="N340" s="54" t="s">
        <v>2631</v>
      </c>
      <c r="P340" s="22" t="s">
        <v>2298</v>
      </c>
      <c r="R340" s="17">
        <v>1</v>
      </c>
      <c r="S340" s="17">
        <v>0</v>
      </c>
      <c r="T340" s="17">
        <v>0</v>
      </c>
      <c r="U340" s="17">
        <v>1</v>
      </c>
      <c r="V340" s="17">
        <v>1</v>
      </c>
      <c r="W340" s="17">
        <v>492</v>
      </c>
      <c r="X340" s="17">
        <v>74</v>
      </c>
      <c r="Y340" s="17">
        <v>11</v>
      </c>
      <c r="Z340" s="17">
        <f t="shared" si="40"/>
        <v>577</v>
      </c>
      <c r="AA340" s="11">
        <f t="shared" si="36"/>
        <v>0.85268630849220106</v>
      </c>
      <c r="AB340" s="11">
        <f t="shared" si="37"/>
        <v>0.12824956672443674</v>
      </c>
      <c r="AC340" s="66">
        <f t="shared" si="38"/>
        <v>0.85268630849220106</v>
      </c>
      <c r="AD340" s="67">
        <f t="shared" si="39"/>
        <v>0.77902946273830154</v>
      </c>
    </row>
    <row r="341" spans="1:30" ht="14.5" customHeight="1" x14ac:dyDescent="0.2">
      <c r="A341" t="s">
        <v>2159</v>
      </c>
      <c r="B341" s="17">
        <v>1</v>
      </c>
      <c r="C341" s="17">
        <v>0</v>
      </c>
      <c r="D341" s="22" t="s">
        <v>2291</v>
      </c>
      <c r="E341" s="22" t="s">
        <v>2161</v>
      </c>
      <c r="F341" s="17">
        <f t="shared" si="41"/>
        <v>2009</v>
      </c>
      <c r="G341" s="18">
        <v>40165</v>
      </c>
      <c r="H341" s="22" t="s">
        <v>2983</v>
      </c>
      <c r="I341" s="17">
        <v>0</v>
      </c>
      <c r="J341" s="22" t="s">
        <v>2299</v>
      </c>
      <c r="K341" s="17">
        <v>0</v>
      </c>
      <c r="L341" s="59">
        <v>1</v>
      </c>
      <c r="M341" s="22" t="s">
        <v>2556</v>
      </c>
      <c r="N341" s="24" t="s">
        <v>2630</v>
      </c>
      <c r="P341" s="22" t="s">
        <v>2300</v>
      </c>
      <c r="R341" s="17">
        <v>1</v>
      </c>
      <c r="S341" s="17">
        <v>0</v>
      </c>
      <c r="T341" s="17">
        <v>0</v>
      </c>
      <c r="U341" s="17">
        <v>1</v>
      </c>
      <c r="V341" s="17">
        <v>1</v>
      </c>
      <c r="W341" s="17">
        <v>497</v>
      </c>
      <c r="X341" s="17">
        <v>66</v>
      </c>
      <c r="Y341" s="17">
        <v>8</v>
      </c>
      <c r="Z341" s="17">
        <f t="shared" si="40"/>
        <v>571</v>
      </c>
      <c r="AA341" s="11">
        <f t="shared" si="36"/>
        <v>0.87040280210157617</v>
      </c>
      <c r="AB341" s="11">
        <f t="shared" si="37"/>
        <v>0.11558669001751314</v>
      </c>
      <c r="AC341" s="66">
        <f t="shared" si="38"/>
        <v>0.87040280210157617</v>
      </c>
      <c r="AD341" s="67">
        <f t="shared" si="39"/>
        <v>0.80560420315236425</v>
      </c>
    </row>
    <row r="342" spans="1:30" ht="14.5" customHeight="1" x14ac:dyDescent="0.2">
      <c r="A342" t="s">
        <v>2159</v>
      </c>
      <c r="B342" s="17">
        <v>1</v>
      </c>
      <c r="C342" s="17">
        <v>0</v>
      </c>
      <c r="D342" s="22" t="s">
        <v>2291</v>
      </c>
      <c r="E342" s="22" t="s">
        <v>2161</v>
      </c>
      <c r="F342" s="17">
        <f t="shared" si="41"/>
        <v>2010</v>
      </c>
      <c r="G342" s="18">
        <v>40235</v>
      </c>
      <c r="H342" s="22" t="s">
        <v>2983</v>
      </c>
      <c r="I342" s="17">
        <v>0</v>
      </c>
      <c r="J342" s="22" t="s">
        <v>2301</v>
      </c>
      <c r="K342" s="17">
        <v>0</v>
      </c>
      <c r="L342" s="59">
        <v>1</v>
      </c>
      <c r="M342" s="22" t="s">
        <v>129</v>
      </c>
      <c r="N342" s="22" t="s">
        <v>422</v>
      </c>
      <c r="P342" s="22" t="s">
        <v>2302</v>
      </c>
      <c r="R342" s="17">
        <v>1</v>
      </c>
      <c r="S342" s="17">
        <v>0</v>
      </c>
      <c r="T342" s="17">
        <v>0</v>
      </c>
      <c r="U342" s="17">
        <v>1</v>
      </c>
      <c r="V342" s="17">
        <v>1</v>
      </c>
      <c r="W342" s="17">
        <v>429</v>
      </c>
      <c r="X342" s="17">
        <v>111</v>
      </c>
      <c r="Y342" s="17">
        <v>46</v>
      </c>
      <c r="Z342" s="17">
        <f t="shared" si="40"/>
        <v>586</v>
      </c>
      <c r="AA342" s="11">
        <f t="shared" si="36"/>
        <v>0.73208191126279865</v>
      </c>
      <c r="AB342" s="11">
        <f t="shared" si="37"/>
        <v>0.18941979522184299</v>
      </c>
      <c r="AC342" s="66">
        <f t="shared" si="38"/>
        <v>0.73208191126279865</v>
      </c>
      <c r="AD342" s="67">
        <f t="shared" si="39"/>
        <v>0.59812286689419791</v>
      </c>
    </row>
    <row r="343" spans="1:30" ht="14.5" customHeight="1" x14ac:dyDescent="0.2">
      <c r="A343" t="s">
        <v>2159</v>
      </c>
      <c r="B343" s="17">
        <v>1</v>
      </c>
      <c r="C343" s="17">
        <v>0</v>
      </c>
      <c r="D343" s="22" t="s">
        <v>2291</v>
      </c>
      <c r="E343" s="22" t="s">
        <v>2161</v>
      </c>
      <c r="F343" s="17">
        <f t="shared" si="41"/>
        <v>2010</v>
      </c>
      <c r="G343" s="18">
        <v>40339</v>
      </c>
      <c r="H343" s="22" t="s">
        <v>2983</v>
      </c>
      <c r="I343" s="17">
        <v>0</v>
      </c>
      <c r="J343" s="22" t="s">
        <v>2270</v>
      </c>
      <c r="K343" s="17">
        <v>0</v>
      </c>
      <c r="L343" s="59">
        <v>1</v>
      </c>
      <c r="M343" s="22" t="s">
        <v>165</v>
      </c>
      <c r="N343" s="24" t="s">
        <v>2630</v>
      </c>
      <c r="P343" s="22" t="s">
        <v>2303</v>
      </c>
      <c r="R343" s="17">
        <v>1</v>
      </c>
      <c r="S343" s="17">
        <v>0</v>
      </c>
      <c r="T343" s="17">
        <v>0</v>
      </c>
      <c r="U343" s="17">
        <v>1</v>
      </c>
      <c r="V343" s="17">
        <v>1</v>
      </c>
      <c r="W343" s="17">
        <v>486</v>
      </c>
      <c r="X343" s="17">
        <v>71</v>
      </c>
      <c r="Y343" s="17">
        <v>10</v>
      </c>
      <c r="Z343" s="17">
        <f t="shared" si="40"/>
        <v>567</v>
      </c>
      <c r="AA343" s="11">
        <f t="shared" si="36"/>
        <v>0.8571428571428571</v>
      </c>
      <c r="AB343" s="11">
        <f t="shared" si="37"/>
        <v>0.12522045855379188</v>
      </c>
      <c r="AC343" s="66">
        <f t="shared" si="38"/>
        <v>0.8571428571428571</v>
      </c>
      <c r="AD343" s="67">
        <f t="shared" si="39"/>
        <v>0.7857142857142857</v>
      </c>
    </row>
    <row r="344" spans="1:30" ht="14.5" customHeight="1" x14ac:dyDescent="0.2">
      <c r="A344" t="s">
        <v>2159</v>
      </c>
      <c r="B344" s="17">
        <v>1</v>
      </c>
      <c r="C344" s="17">
        <v>0</v>
      </c>
      <c r="D344" s="22" t="s">
        <v>2291</v>
      </c>
      <c r="E344" s="22" t="s">
        <v>2161</v>
      </c>
      <c r="F344" s="17">
        <f t="shared" si="41"/>
        <v>2010</v>
      </c>
      <c r="G344" s="18">
        <v>40346</v>
      </c>
      <c r="H344" s="22" t="s">
        <v>2983</v>
      </c>
      <c r="I344" s="17">
        <v>0</v>
      </c>
      <c r="J344" s="22" t="s">
        <v>2304</v>
      </c>
      <c r="K344" s="17">
        <v>0</v>
      </c>
      <c r="L344" s="59">
        <v>1</v>
      </c>
      <c r="M344" s="22" t="s">
        <v>2575</v>
      </c>
      <c r="N344" s="22" t="s">
        <v>2629</v>
      </c>
      <c r="P344" s="22" t="s">
        <v>2305</v>
      </c>
      <c r="R344" s="17">
        <v>1</v>
      </c>
      <c r="S344" s="17">
        <v>0</v>
      </c>
      <c r="T344" s="17">
        <v>0</v>
      </c>
      <c r="U344" s="17">
        <v>1</v>
      </c>
      <c r="V344" s="17">
        <v>1</v>
      </c>
      <c r="W344" s="17">
        <v>486</v>
      </c>
      <c r="X344" s="17">
        <v>69</v>
      </c>
      <c r="Y344" s="17">
        <v>1</v>
      </c>
      <c r="Z344" s="17">
        <f t="shared" si="40"/>
        <v>556</v>
      </c>
      <c r="AA344" s="11">
        <f t="shared" si="36"/>
        <v>0.87410071942446044</v>
      </c>
      <c r="AB344" s="11">
        <f t="shared" si="37"/>
        <v>0.12410071942446044</v>
      </c>
      <c r="AC344" s="66">
        <f t="shared" si="38"/>
        <v>0.87410071942446044</v>
      </c>
      <c r="AD344" s="67">
        <f t="shared" si="39"/>
        <v>0.8111510791366906</v>
      </c>
    </row>
    <row r="345" spans="1:30" ht="14.5" customHeight="1" x14ac:dyDescent="0.2">
      <c r="A345" t="s">
        <v>2159</v>
      </c>
      <c r="B345" s="17">
        <v>1</v>
      </c>
      <c r="C345" s="17">
        <v>0</v>
      </c>
      <c r="D345" s="22" t="s">
        <v>2291</v>
      </c>
      <c r="E345" s="22" t="s">
        <v>2161</v>
      </c>
      <c r="F345" s="17">
        <f t="shared" si="41"/>
        <v>2010</v>
      </c>
      <c r="G345" s="18">
        <v>40346</v>
      </c>
      <c r="H345" s="22" t="s">
        <v>2983</v>
      </c>
      <c r="I345" s="17">
        <v>0</v>
      </c>
      <c r="J345" s="22" t="s">
        <v>2306</v>
      </c>
      <c r="K345" s="17">
        <v>0</v>
      </c>
      <c r="L345" s="59">
        <v>1</v>
      </c>
      <c r="M345" t="s">
        <v>202</v>
      </c>
      <c r="N345" s="50" t="s">
        <v>2121</v>
      </c>
      <c r="P345" s="22" t="s">
        <v>2307</v>
      </c>
      <c r="R345" s="17">
        <v>1</v>
      </c>
      <c r="S345" s="17">
        <v>0</v>
      </c>
      <c r="T345" s="17">
        <v>0</v>
      </c>
      <c r="U345" s="17">
        <v>1</v>
      </c>
      <c r="V345" s="17">
        <v>1</v>
      </c>
      <c r="W345" s="17">
        <v>486</v>
      </c>
      <c r="X345" s="17">
        <v>76</v>
      </c>
      <c r="Y345" s="17">
        <v>9</v>
      </c>
      <c r="Z345" s="17">
        <f t="shared" si="40"/>
        <v>571</v>
      </c>
      <c r="AA345" s="11">
        <f t="shared" si="36"/>
        <v>0.85113835376532399</v>
      </c>
      <c r="AB345" s="11">
        <f t="shared" si="37"/>
        <v>0.13309982486865149</v>
      </c>
      <c r="AC345" s="66">
        <f t="shared" si="38"/>
        <v>0.85113835376532399</v>
      </c>
      <c r="AD345" s="67">
        <f t="shared" si="39"/>
        <v>0.77670753064798603</v>
      </c>
    </row>
    <row r="346" spans="1:30" ht="14.5" customHeight="1" x14ac:dyDescent="0.2">
      <c r="A346" t="s">
        <v>2159</v>
      </c>
      <c r="B346" s="17">
        <v>1</v>
      </c>
      <c r="C346" s="17">
        <v>0</v>
      </c>
      <c r="D346" s="22" t="s">
        <v>2291</v>
      </c>
      <c r="E346" s="22" t="s">
        <v>2161</v>
      </c>
      <c r="F346" s="17">
        <f t="shared" si="41"/>
        <v>2010</v>
      </c>
      <c r="G346" s="18">
        <v>40346</v>
      </c>
      <c r="H346" s="22" t="s">
        <v>2983</v>
      </c>
      <c r="I346" s="17">
        <v>0</v>
      </c>
      <c r="J346" s="22" t="s">
        <v>2289</v>
      </c>
      <c r="K346" s="17">
        <v>0</v>
      </c>
      <c r="L346" s="59">
        <v>1</v>
      </c>
      <c r="M346" s="22" t="s">
        <v>2576</v>
      </c>
      <c r="N346" s="22" t="s">
        <v>2629</v>
      </c>
      <c r="P346" s="22" t="s">
        <v>2308</v>
      </c>
      <c r="R346" s="17">
        <v>1</v>
      </c>
      <c r="S346" s="17">
        <v>0</v>
      </c>
      <c r="T346" s="17">
        <v>0</v>
      </c>
      <c r="U346" s="17">
        <v>1</v>
      </c>
      <c r="V346" s="17">
        <v>1</v>
      </c>
      <c r="W346" s="17">
        <v>492</v>
      </c>
      <c r="X346" s="17">
        <v>44</v>
      </c>
      <c r="Y346" s="17">
        <v>26</v>
      </c>
      <c r="Z346" s="17">
        <f t="shared" si="40"/>
        <v>562</v>
      </c>
      <c r="AA346" s="11">
        <f t="shared" si="36"/>
        <v>0.8754448398576512</v>
      </c>
      <c r="AB346" s="11">
        <f t="shared" si="37"/>
        <v>7.8291814946619215E-2</v>
      </c>
      <c r="AC346" s="66">
        <f t="shared" si="38"/>
        <v>0.8754448398576512</v>
      </c>
      <c r="AD346" s="67">
        <f t="shared" si="39"/>
        <v>0.81316725978647686</v>
      </c>
    </row>
    <row r="347" spans="1:30" ht="14.5" customHeight="1" x14ac:dyDescent="0.2">
      <c r="A347" t="s">
        <v>2159</v>
      </c>
      <c r="B347" s="17">
        <v>1</v>
      </c>
      <c r="C347" s="17">
        <v>0</v>
      </c>
      <c r="D347" s="22" t="s">
        <v>2291</v>
      </c>
      <c r="E347" s="22" t="s">
        <v>2161</v>
      </c>
      <c r="F347" s="17">
        <f t="shared" si="41"/>
        <v>2010</v>
      </c>
      <c r="G347" s="18">
        <v>40514</v>
      </c>
      <c r="H347" s="22" t="s">
        <v>2983</v>
      </c>
      <c r="I347" s="17">
        <v>0</v>
      </c>
      <c r="J347" s="22" t="s">
        <v>2235</v>
      </c>
      <c r="K347" s="17">
        <v>0</v>
      </c>
      <c r="L347" s="59">
        <v>1</v>
      </c>
      <c r="M347" s="22" t="s">
        <v>2551</v>
      </c>
      <c r="N347" s="22" t="s">
        <v>2627</v>
      </c>
      <c r="P347" s="22" t="s">
        <v>2313</v>
      </c>
      <c r="R347" s="17">
        <v>1</v>
      </c>
      <c r="S347" s="17">
        <v>0</v>
      </c>
      <c r="T347" s="17">
        <v>0</v>
      </c>
      <c r="U347" s="17">
        <v>1</v>
      </c>
      <c r="V347" s="17">
        <v>1</v>
      </c>
      <c r="W347" s="17">
        <v>308</v>
      </c>
      <c r="X347" s="17">
        <v>249</v>
      </c>
      <c r="Y347" s="17">
        <v>0</v>
      </c>
      <c r="Z347" s="17">
        <f t="shared" si="40"/>
        <v>557</v>
      </c>
      <c r="AA347" s="11">
        <f t="shared" si="36"/>
        <v>0.55296229802513464</v>
      </c>
      <c r="AB347" s="11">
        <f t="shared" si="37"/>
        <v>0.44703770197486536</v>
      </c>
      <c r="AC347" s="66">
        <f t="shared" si="38"/>
        <v>0.55296229802513464</v>
      </c>
      <c r="AD347" s="67">
        <f t="shared" si="39"/>
        <v>0.32944344703770195</v>
      </c>
    </row>
    <row r="348" spans="1:30" ht="14.5" customHeight="1" x14ac:dyDescent="0.2">
      <c r="A348" t="s">
        <v>2159</v>
      </c>
      <c r="B348" s="17">
        <v>1</v>
      </c>
      <c r="C348" s="17">
        <v>0</v>
      </c>
      <c r="D348" s="22" t="s">
        <v>2291</v>
      </c>
      <c r="E348" s="22" t="s">
        <v>2161</v>
      </c>
      <c r="F348" s="17">
        <f t="shared" si="41"/>
        <v>2010</v>
      </c>
      <c r="G348" s="18">
        <v>40514</v>
      </c>
      <c r="H348" s="22" t="s">
        <v>2983</v>
      </c>
      <c r="I348" s="17">
        <v>0</v>
      </c>
      <c r="J348" s="22" t="s">
        <v>2309</v>
      </c>
      <c r="K348" s="17">
        <v>0</v>
      </c>
      <c r="L348" s="59">
        <v>1</v>
      </c>
      <c r="M348" s="22" t="s">
        <v>2556</v>
      </c>
      <c r="N348" s="24" t="s">
        <v>2630</v>
      </c>
      <c r="P348" s="22" t="s">
        <v>2310</v>
      </c>
      <c r="R348" s="17">
        <v>1</v>
      </c>
      <c r="S348" s="17">
        <v>0</v>
      </c>
      <c r="T348" s="17">
        <v>0</v>
      </c>
      <c r="U348" s="17">
        <v>1</v>
      </c>
      <c r="V348" s="17">
        <v>1</v>
      </c>
      <c r="W348" s="17">
        <v>498</v>
      </c>
      <c r="X348" s="17">
        <v>58</v>
      </c>
      <c r="Y348" s="17">
        <v>6</v>
      </c>
      <c r="Z348" s="17">
        <f t="shared" si="40"/>
        <v>562</v>
      </c>
      <c r="AA348" s="11">
        <f t="shared" si="36"/>
        <v>0.88612099644128117</v>
      </c>
      <c r="AB348" s="11">
        <f t="shared" si="37"/>
        <v>0.10320284697508897</v>
      </c>
      <c r="AC348" s="66">
        <f t="shared" si="38"/>
        <v>0.88612099644128117</v>
      </c>
      <c r="AD348" s="67">
        <f t="shared" si="39"/>
        <v>0.8291814946619217</v>
      </c>
    </row>
    <row r="349" spans="1:30" ht="14.5" customHeight="1" x14ac:dyDescent="0.2">
      <c r="A349" t="s">
        <v>2159</v>
      </c>
      <c r="B349" s="17">
        <v>1</v>
      </c>
      <c r="C349" s="17">
        <v>0</v>
      </c>
      <c r="D349" s="22" t="s">
        <v>2291</v>
      </c>
      <c r="E349" s="22" t="s">
        <v>2161</v>
      </c>
      <c r="F349" s="17">
        <f t="shared" si="41"/>
        <v>2010</v>
      </c>
      <c r="G349" s="18">
        <v>40514</v>
      </c>
      <c r="H349" s="22" t="s">
        <v>2983</v>
      </c>
      <c r="I349" s="17">
        <v>0</v>
      </c>
      <c r="J349" s="22" t="s">
        <v>2311</v>
      </c>
      <c r="K349" s="17">
        <v>0</v>
      </c>
      <c r="L349" s="59">
        <v>1</v>
      </c>
      <c r="M349" s="22" t="s">
        <v>2860</v>
      </c>
      <c r="N349" s="54" t="s">
        <v>2631</v>
      </c>
      <c r="P349" s="22" t="s">
        <v>2312</v>
      </c>
      <c r="R349" s="17">
        <v>1</v>
      </c>
      <c r="S349" s="17">
        <v>0</v>
      </c>
      <c r="T349" s="17">
        <v>0</v>
      </c>
      <c r="U349" s="17">
        <v>1</v>
      </c>
      <c r="V349" s="17">
        <v>1</v>
      </c>
      <c r="W349" s="17">
        <v>487</v>
      </c>
      <c r="X349" s="17">
        <v>68</v>
      </c>
      <c r="Y349" s="17">
        <v>12</v>
      </c>
      <c r="Z349" s="17">
        <f t="shared" si="40"/>
        <v>567</v>
      </c>
      <c r="AA349" s="11">
        <f t="shared" si="36"/>
        <v>0.85890652557319225</v>
      </c>
      <c r="AB349" s="11">
        <f t="shared" si="37"/>
        <v>0.11992945326278659</v>
      </c>
      <c r="AC349" s="66">
        <f t="shared" si="38"/>
        <v>0.85890652557319225</v>
      </c>
      <c r="AD349" s="67">
        <f t="shared" si="39"/>
        <v>0.78835978835978837</v>
      </c>
    </row>
    <row r="350" spans="1:30" ht="14.5" customHeight="1" x14ac:dyDescent="0.2">
      <c r="A350" t="s">
        <v>2159</v>
      </c>
      <c r="B350" s="17">
        <v>1</v>
      </c>
      <c r="C350" s="17">
        <v>1</v>
      </c>
      <c r="D350" s="22" t="s">
        <v>2291</v>
      </c>
      <c r="E350" s="22" t="s">
        <v>2161</v>
      </c>
      <c r="F350" s="17">
        <f t="shared" si="41"/>
        <v>2011</v>
      </c>
      <c r="G350" s="18">
        <v>40571</v>
      </c>
      <c r="H350" s="22" t="s">
        <v>2983</v>
      </c>
      <c r="I350" s="17">
        <v>0</v>
      </c>
      <c r="J350" s="22" t="s">
        <v>2314</v>
      </c>
      <c r="K350" s="17">
        <v>0</v>
      </c>
      <c r="L350" s="59">
        <v>1</v>
      </c>
      <c r="M350" s="22" t="s">
        <v>129</v>
      </c>
      <c r="N350" s="22" t="s">
        <v>422</v>
      </c>
      <c r="P350" s="22" t="s">
        <v>2315</v>
      </c>
      <c r="R350" s="17">
        <v>1</v>
      </c>
      <c r="S350" s="17">
        <v>0</v>
      </c>
      <c r="T350" s="17">
        <v>0</v>
      </c>
      <c r="U350" s="17">
        <v>1</v>
      </c>
      <c r="V350" s="17">
        <v>1</v>
      </c>
      <c r="W350" s="17">
        <v>420</v>
      </c>
      <c r="X350" s="17">
        <v>116</v>
      </c>
      <c r="Y350" s="17">
        <v>43</v>
      </c>
      <c r="Z350" s="17">
        <f t="shared" si="40"/>
        <v>579</v>
      </c>
      <c r="AA350" s="11">
        <f t="shared" si="36"/>
        <v>0.72538860103626945</v>
      </c>
      <c r="AB350" s="11">
        <f t="shared" si="37"/>
        <v>0.2003454231433506</v>
      </c>
      <c r="AC350" s="66">
        <f t="shared" si="38"/>
        <v>0.72538860103626945</v>
      </c>
      <c r="AD350" s="67">
        <f t="shared" si="39"/>
        <v>0.58808290155440412</v>
      </c>
    </row>
    <row r="351" spans="1:30" ht="14.5" customHeight="1" x14ac:dyDescent="0.2">
      <c r="A351" t="s">
        <v>2159</v>
      </c>
      <c r="B351" s="17">
        <v>1</v>
      </c>
      <c r="C351" s="17">
        <v>1</v>
      </c>
      <c r="D351" s="22" t="s">
        <v>2291</v>
      </c>
      <c r="E351" s="22" t="s">
        <v>2161</v>
      </c>
      <c r="F351" s="17">
        <f t="shared" si="41"/>
        <v>2011</v>
      </c>
      <c r="G351" s="18">
        <v>40627</v>
      </c>
      <c r="H351" s="22" t="s">
        <v>2983</v>
      </c>
      <c r="I351" s="17">
        <v>0</v>
      </c>
      <c r="J351" s="22" t="s">
        <v>2316</v>
      </c>
      <c r="K351" s="17">
        <v>0</v>
      </c>
      <c r="L351" s="59">
        <v>1</v>
      </c>
      <c r="M351" s="22" t="s">
        <v>129</v>
      </c>
      <c r="N351" s="22" t="s">
        <v>422</v>
      </c>
      <c r="P351" s="22" t="s">
        <v>2317</v>
      </c>
      <c r="R351" s="17">
        <v>1</v>
      </c>
      <c r="S351" s="17">
        <v>0</v>
      </c>
      <c r="T351" s="17">
        <v>0</v>
      </c>
      <c r="U351" s="17">
        <v>1</v>
      </c>
      <c r="V351" s="17">
        <v>0</v>
      </c>
      <c r="W351" s="17">
        <v>407</v>
      </c>
      <c r="X351" s="17">
        <v>113</v>
      </c>
      <c r="Y351" s="17">
        <v>33</v>
      </c>
      <c r="Z351" s="17">
        <f t="shared" si="40"/>
        <v>553</v>
      </c>
      <c r="AA351" s="11">
        <f t="shared" si="36"/>
        <v>0.73598553345388784</v>
      </c>
      <c r="AB351" s="11">
        <f t="shared" si="37"/>
        <v>0.20433996383363473</v>
      </c>
      <c r="AC351" s="66">
        <f t="shared" si="38"/>
        <v>0.73598553345388784</v>
      </c>
      <c r="AD351" s="67">
        <f t="shared" si="39"/>
        <v>0.60397830018083187</v>
      </c>
    </row>
    <row r="352" spans="1:30" ht="14.5" customHeight="1" x14ac:dyDescent="0.2">
      <c r="A352" t="s">
        <v>2159</v>
      </c>
      <c r="B352" s="17">
        <v>1</v>
      </c>
      <c r="C352" s="17">
        <v>1</v>
      </c>
      <c r="D352" s="22" t="s">
        <v>2291</v>
      </c>
      <c r="E352" s="22" t="s">
        <v>2161</v>
      </c>
      <c r="F352" s="17">
        <f t="shared" si="41"/>
        <v>2011</v>
      </c>
      <c r="G352" s="18">
        <v>40703</v>
      </c>
      <c r="H352" s="22" t="s">
        <v>2983</v>
      </c>
      <c r="I352" s="17">
        <v>0</v>
      </c>
      <c r="J352" s="22" t="s">
        <v>2270</v>
      </c>
      <c r="K352" s="17">
        <v>0</v>
      </c>
      <c r="L352" s="59">
        <v>1</v>
      </c>
      <c r="M352" s="22" t="s">
        <v>165</v>
      </c>
      <c r="N352" s="24" t="s">
        <v>2630</v>
      </c>
      <c r="P352" s="22" t="s">
        <v>2318</v>
      </c>
      <c r="R352" s="17">
        <v>1</v>
      </c>
      <c r="S352" s="17">
        <v>0</v>
      </c>
      <c r="T352" s="17">
        <v>0</v>
      </c>
      <c r="U352" s="17">
        <v>1</v>
      </c>
      <c r="V352" s="17">
        <v>1</v>
      </c>
      <c r="W352" s="17">
        <v>489</v>
      </c>
      <c r="X352" s="17">
        <v>66</v>
      </c>
      <c r="Y352" s="17">
        <v>10</v>
      </c>
      <c r="Z352" s="17">
        <f t="shared" si="40"/>
        <v>565</v>
      </c>
      <c r="AA352" s="11">
        <f t="shared" si="36"/>
        <v>0.86548672566371676</v>
      </c>
      <c r="AB352" s="11">
        <f t="shared" si="37"/>
        <v>0.1168141592920354</v>
      </c>
      <c r="AC352" s="66">
        <f t="shared" si="38"/>
        <v>0.86548672566371676</v>
      </c>
      <c r="AD352" s="67">
        <f t="shared" si="39"/>
        <v>0.7982300884955752</v>
      </c>
    </row>
    <row r="353" spans="1:30" ht="14.5" customHeight="1" x14ac:dyDescent="0.2">
      <c r="A353" t="s">
        <v>2159</v>
      </c>
      <c r="B353" s="17">
        <v>1</v>
      </c>
      <c r="C353" s="17">
        <v>1</v>
      </c>
      <c r="D353" s="22" t="s">
        <v>2291</v>
      </c>
      <c r="E353" s="22" t="s">
        <v>2161</v>
      </c>
      <c r="F353" s="17">
        <f t="shared" si="41"/>
        <v>2011</v>
      </c>
      <c r="G353" s="18">
        <v>40703</v>
      </c>
      <c r="H353" s="22" t="s">
        <v>2983</v>
      </c>
      <c r="I353" s="17">
        <v>0</v>
      </c>
      <c r="J353" s="22" t="s">
        <v>2319</v>
      </c>
      <c r="K353" s="17">
        <v>0</v>
      </c>
      <c r="L353" s="59">
        <v>1</v>
      </c>
      <c r="M353" t="s">
        <v>202</v>
      </c>
      <c r="N353" s="50" t="s">
        <v>2121</v>
      </c>
      <c r="P353" s="22" t="s">
        <v>2320</v>
      </c>
      <c r="R353" s="17">
        <v>1</v>
      </c>
      <c r="S353" s="17">
        <v>0</v>
      </c>
      <c r="T353" s="17">
        <v>0</v>
      </c>
      <c r="U353" s="17">
        <v>1</v>
      </c>
      <c r="V353" s="17">
        <v>1</v>
      </c>
      <c r="W353" s="17">
        <v>484</v>
      </c>
      <c r="X353" s="17">
        <v>80</v>
      </c>
      <c r="Y353" s="17">
        <v>7</v>
      </c>
      <c r="Z353" s="17">
        <f t="shared" si="40"/>
        <v>571</v>
      </c>
      <c r="AA353" s="11">
        <f t="shared" si="36"/>
        <v>0.84763572679509636</v>
      </c>
      <c r="AB353" s="11">
        <f t="shared" si="37"/>
        <v>0.14010507880910683</v>
      </c>
      <c r="AC353" s="66">
        <f t="shared" si="38"/>
        <v>0.84763572679509636</v>
      </c>
      <c r="AD353" s="67">
        <f t="shared" si="39"/>
        <v>0.77145359019264448</v>
      </c>
    </row>
    <row r="354" spans="1:30" ht="14.5" customHeight="1" x14ac:dyDescent="0.2">
      <c r="A354" t="s">
        <v>2159</v>
      </c>
      <c r="B354" s="17">
        <v>1</v>
      </c>
      <c r="C354" s="17">
        <v>1</v>
      </c>
      <c r="D354" s="22" t="s">
        <v>2291</v>
      </c>
      <c r="E354" s="22" t="s">
        <v>2161</v>
      </c>
      <c r="F354" s="17">
        <f t="shared" si="41"/>
        <v>2011</v>
      </c>
      <c r="G354" s="18">
        <v>40732</v>
      </c>
      <c r="H354" s="22" t="s">
        <v>2983</v>
      </c>
      <c r="I354" s="17">
        <v>0</v>
      </c>
      <c r="J354" s="22" t="s">
        <v>2287</v>
      </c>
      <c r="K354" s="17">
        <v>0</v>
      </c>
      <c r="L354" s="59">
        <v>1</v>
      </c>
      <c r="M354" s="22" t="s">
        <v>2575</v>
      </c>
      <c r="N354" s="22" t="s">
        <v>2629</v>
      </c>
      <c r="P354" s="22" t="s">
        <v>2321</v>
      </c>
      <c r="R354" s="17">
        <v>1</v>
      </c>
      <c r="S354" s="17">
        <v>0</v>
      </c>
      <c r="T354" s="17">
        <v>0</v>
      </c>
      <c r="U354" s="17">
        <v>1</v>
      </c>
      <c r="V354" s="17">
        <v>1</v>
      </c>
      <c r="W354" s="17">
        <v>490</v>
      </c>
      <c r="X354" s="17">
        <v>63</v>
      </c>
      <c r="Y354" s="17">
        <v>1</v>
      </c>
      <c r="Z354" s="17">
        <f t="shared" si="40"/>
        <v>554</v>
      </c>
      <c r="AA354" s="11">
        <f t="shared" si="36"/>
        <v>0.8844765342960289</v>
      </c>
      <c r="AB354" s="11">
        <f t="shared" si="37"/>
        <v>0.11371841155234658</v>
      </c>
      <c r="AC354" s="66">
        <f t="shared" si="38"/>
        <v>0.8844765342960289</v>
      </c>
      <c r="AD354" s="67">
        <f t="shared" si="39"/>
        <v>0.8267148014440433</v>
      </c>
    </row>
    <row r="355" spans="1:30" ht="14.5" customHeight="1" x14ac:dyDescent="0.2">
      <c r="A355" t="s">
        <v>2159</v>
      </c>
      <c r="B355" s="17">
        <v>1</v>
      </c>
      <c r="C355" s="17">
        <v>1</v>
      </c>
      <c r="D355" s="22" t="s">
        <v>2291</v>
      </c>
      <c r="E355" s="22" t="s">
        <v>2161</v>
      </c>
      <c r="F355" s="17">
        <f t="shared" si="41"/>
        <v>2011</v>
      </c>
      <c r="G355" s="18">
        <v>40732</v>
      </c>
      <c r="H355" s="22" t="s">
        <v>2983</v>
      </c>
      <c r="I355" s="17">
        <v>0</v>
      </c>
      <c r="J355" s="22" t="s">
        <v>2322</v>
      </c>
      <c r="K355" s="17">
        <v>0</v>
      </c>
      <c r="L355" s="59">
        <v>1</v>
      </c>
      <c r="M355" s="22" t="s">
        <v>2577</v>
      </c>
      <c r="N355" s="22" t="s">
        <v>2629</v>
      </c>
      <c r="P355" s="22" t="s">
        <v>2323</v>
      </c>
      <c r="R355" s="17">
        <v>1</v>
      </c>
      <c r="S355" s="17">
        <v>0</v>
      </c>
      <c r="T355" s="17">
        <v>0</v>
      </c>
      <c r="U355" s="17">
        <v>1</v>
      </c>
      <c r="V355" s="17">
        <v>0</v>
      </c>
      <c r="W355" s="17">
        <v>487</v>
      </c>
      <c r="X355" s="17">
        <v>62</v>
      </c>
      <c r="Y355" s="17">
        <v>1</v>
      </c>
      <c r="Z355" s="17">
        <f t="shared" si="40"/>
        <v>550</v>
      </c>
      <c r="AA355" s="11">
        <f t="shared" si="36"/>
        <v>0.88545454545454549</v>
      </c>
      <c r="AB355" s="11">
        <f t="shared" si="37"/>
        <v>0.11272727272727273</v>
      </c>
      <c r="AC355" s="66">
        <f t="shared" si="38"/>
        <v>0.88545454545454549</v>
      </c>
      <c r="AD355" s="67">
        <f t="shared" si="39"/>
        <v>0.82818181818181813</v>
      </c>
    </row>
    <row r="356" spans="1:30" ht="14.5" customHeight="1" x14ac:dyDescent="0.2">
      <c r="A356" t="s">
        <v>2159</v>
      </c>
      <c r="B356" s="17">
        <v>1</v>
      </c>
      <c r="C356" s="17">
        <v>1</v>
      </c>
      <c r="D356" s="22" t="s">
        <v>2291</v>
      </c>
      <c r="E356" s="22" t="s">
        <v>2161</v>
      </c>
      <c r="F356" s="17">
        <f t="shared" si="41"/>
        <v>2011</v>
      </c>
      <c r="G356" s="18">
        <v>40815</v>
      </c>
      <c r="H356" s="22" t="s">
        <v>2983</v>
      </c>
      <c r="I356" s="17">
        <v>0</v>
      </c>
      <c r="J356" s="22" t="s">
        <v>2324</v>
      </c>
      <c r="K356" s="17">
        <v>0</v>
      </c>
      <c r="L356" s="59">
        <v>1</v>
      </c>
      <c r="M356" s="22" t="s">
        <v>2577</v>
      </c>
      <c r="N356" s="22" t="s">
        <v>2629</v>
      </c>
      <c r="P356" s="22" t="s">
        <v>2325</v>
      </c>
      <c r="R356" s="17">
        <v>1</v>
      </c>
      <c r="S356" s="17">
        <v>0</v>
      </c>
      <c r="T356" s="17">
        <v>0</v>
      </c>
      <c r="U356" s="17">
        <v>1</v>
      </c>
      <c r="V356" s="17">
        <v>1</v>
      </c>
      <c r="W356" s="17">
        <v>462</v>
      </c>
      <c r="X356" s="17">
        <v>58</v>
      </c>
      <c r="Y356" s="17">
        <v>1</v>
      </c>
      <c r="Z356" s="17">
        <f t="shared" si="40"/>
        <v>521</v>
      </c>
      <c r="AA356" s="11">
        <f t="shared" si="36"/>
        <v>0.88675623800383874</v>
      </c>
      <c r="AB356" s="11">
        <f t="shared" si="37"/>
        <v>0.11132437619961612</v>
      </c>
      <c r="AC356" s="66">
        <f t="shared" si="38"/>
        <v>0.88675623800383874</v>
      </c>
      <c r="AD356" s="67">
        <f t="shared" si="39"/>
        <v>0.83013435700575811</v>
      </c>
    </row>
    <row r="357" spans="1:30" ht="14.5" customHeight="1" x14ac:dyDescent="0.2">
      <c r="A357" t="s">
        <v>2159</v>
      </c>
      <c r="B357" s="17">
        <v>1</v>
      </c>
      <c r="C357" s="17">
        <v>1</v>
      </c>
      <c r="D357" s="22" t="s">
        <v>2291</v>
      </c>
      <c r="E357" s="22" t="s">
        <v>2161</v>
      </c>
      <c r="F357" s="17">
        <f t="shared" si="41"/>
        <v>2011</v>
      </c>
      <c r="G357" s="18">
        <v>40815</v>
      </c>
      <c r="H357" s="22" t="s">
        <v>2983</v>
      </c>
      <c r="I357" s="17">
        <v>0</v>
      </c>
      <c r="J357" s="22" t="s">
        <v>2342</v>
      </c>
      <c r="K357" s="17">
        <v>0</v>
      </c>
      <c r="L357" s="59">
        <v>1</v>
      </c>
      <c r="M357" s="22" t="s">
        <v>2577</v>
      </c>
      <c r="N357" s="22" t="s">
        <v>2629</v>
      </c>
      <c r="P357" s="22" t="s">
        <v>2343</v>
      </c>
      <c r="R357" s="17">
        <v>1</v>
      </c>
      <c r="S357" s="17">
        <v>0</v>
      </c>
      <c r="T357" s="17">
        <v>0</v>
      </c>
      <c r="U357" s="17">
        <v>1</v>
      </c>
      <c r="V357" s="17">
        <v>1</v>
      </c>
      <c r="W357" s="17">
        <v>494</v>
      </c>
      <c r="X357" s="17">
        <v>65</v>
      </c>
      <c r="Y357" s="17">
        <v>2</v>
      </c>
      <c r="Z357" s="17">
        <f t="shared" si="40"/>
        <v>561</v>
      </c>
      <c r="AA357" s="11">
        <f t="shared" si="36"/>
        <v>0.88057040998217473</v>
      </c>
      <c r="AB357" s="11">
        <f t="shared" si="37"/>
        <v>0.11586452762923351</v>
      </c>
      <c r="AC357" s="66">
        <f t="shared" si="38"/>
        <v>0.88057040998217473</v>
      </c>
      <c r="AD357" s="67">
        <f t="shared" si="39"/>
        <v>0.82085561497326198</v>
      </c>
    </row>
    <row r="358" spans="1:30" ht="14.5" customHeight="1" x14ac:dyDescent="0.2">
      <c r="A358" t="s">
        <v>2159</v>
      </c>
      <c r="B358" s="17">
        <v>1</v>
      </c>
      <c r="C358" s="17">
        <v>1</v>
      </c>
      <c r="D358" s="22" t="s">
        <v>2291</v>
      </c>
      <c r="E358" s="22" t="s">
        <v>2161</v>
      </c>
      <c r="F358" s="17">
        <f t="shared" si="41"/>
        <v>2011</v>
      </c>
      <c r="G358" s="18">
        <v>40878</v>
      </c>
      <c r="H358" s="22" t="s">
        <v>2983</v>
      </c>
      <c r="I358" s="17">
        <v>0</v>
      </c>
      <c r="J358" s="22" t="s">
        <v>2330</v>
      </c>
      <c r="K358" s="17">
        <v>0</v>
      </c>
      <c r="L358" s="59">
        <v>1</v>
      </c>
      <c r="M358" s="22" t="s">
        <v>2551</v>
      </c>
      <c r="N358" s="22" t="s">
        <v>2627</v>
      </c>
      <c r="P358" s="22" t="s">
        <v>2331</v>
      </c>
      <c r="R358" s="17">
        <v>1</v>
      </c>
      <c r="S358" s="17">
        <v>0</v>
      </c>
      <c r="T358" s="17">
        <v>0</v>
      </c>
      <c r="U358" s="17">
        <v>1</v>
      </c>
      <c r="V358" s="17">
        <v>1</v>
      </c>
      <c r="W358" s="17">
        <v>306</v>
      </c>
      <c r="X358" s="17">
        <v>253</v>
      </c>
      <c r="Y358" s="17">
        <v>0</v>
      </c>
      <c r="Z358" s="17">
        <f t="shared" si="40"/>
        <v>559</v>
      </c>
      <c r="AA358" s="11">
        <f t="shared" si="36"/>
        <v>0.54740608228980325</v>
      </c>
      <c r="AB358" s="11">
        <f t="shared" si="37"/>
        <v>0.4525939177101968</v>
      </c>
      <c r="AC358" s="66">
        <f t="shared" si="38"/>
        <v>0.54740608228980325</v>
      </c>
      <c r="AD358" s="67">
        <f t="shared" si="39"/>
        <v>0.32110912343470482</v>
      </c>
    </row>
    <row r="359" spans="1:30" ht="14.5" customHeight="1" x14ac:dyDescent="0.2">
      <c r="A359" t="s">
        <v>2159</v>
      </c>
      <c r="B359" s="17">
        <v>1</v>
      </c>
      <c r="C359" s="17">
        <v>1</v>
      </c>
      <c r="D359" s="22" t="s">
        <v>2291</v>
      </c>
      <c r="E359" s="22" t="s">
        <v>2161</v>
      </c>
      <c r="F359" s="17">
        <f t="shared" si="41"/>
        <v>2011</v>
      </c>
      <c r="G359" s="18">
        <v>40878</v>
      </c>
      <c r="H359" s="22" t="s">
        <v>2983</v>
      </c>
      <c r="I359" s="17">
        <v>0</v>
      </c>
      <c r="J359" s="22" t="s">
        <v>2326</v>
      </c>
      <c r="K359" s="17">
        <v>0</v>
      </c>
      <c r="L359" s="59">
        <v>1</v>
      </c>
      <c r="M359" s="22" t="s">
        <v>2556</v>
      </c>
      <c r="N359" s="24" t="s">
        <v>2630</v>
      </c>
      <c r="P359" s="22" t="s">
        <v>2327</v>
      </c>
      <c r="R359" s="17">
        <v>1</v>
      </c>
      <c r="S359" s="17">
        <v>0</v>
      </c>
      <c r="T359" s="17">
        <v>0</v>
      </c>
      <c r="U359" s="17">
        <v>1</v>
      </c>
      <c r="V359" s="17">
        <v>1</v>
      </c>
      <c r="W359" s="17">
        <v>469</v>
      </c>
      <c r="X359" s="17">
        <v>59</v>
      </c>
      <c r="Y359" s="17">
        <v>7</v>
      </c>
      <c r="Z359" s="17">
        <f t="shared" si="40"/>
        <v>535</v>
      </c>
      <c r="AA359" s="11">
        <f t="shared" si="36"/>
        <v>0.87663551401869155</v>
      </c>
      <c r="AB359" s="11">
        <f t="shared" si="37"/>
        <v>0.1102803738317757</v>
      </c>
      <c r="AC359" s="66">
        <f t="shared" si="38"/>
        <v>0.87663551401869155</v>
      </c>
      <c r="AD359" s="67">
        <f t="shared" si="39"/>
        <v>0.81495327102803738</v>
      </c>
    </row>
    <row r="360" spans="1:30" ht="14.5" customHeight="1" x14ac:dyDescent="0.2">
      <c r="A360" t="s">
        <v>2159</v>
      </c>
      <c r="B360" s="17">
        <v>1</v>
      </c>
      <c r="C360" s="17">
        <v>1</v>
      </c>
      <c r="D360" s="22" t="s">
        <v>2291</v>
      </c>
      <c r="E360" s="22" t="s">
        <v>2161</v>
      </c>
      <c r="F360" s="17">
        <f t="shared" si="41"/>
        <v>2011</v>
      </c>
      <c r="G360" s="18">
        <v>40878</v>
      </c>
      <c r="H360" s="22" t="s">
        <v>2983</v>
      </c>
      <c r="I360" s="17">
        <v>0</v>
      </c>
      <c r="J360" s="22" t="s">
        <v>2328</v>
      </c>
      <c r="K360" s="17">
        <v>0</v>
      </c>
      <c r="L360" s="59">
        <v>1</v>
      </c>
      <c r="M360" s="22" t="s">
        <v>2860</v>
      </c>
      <c r="N360" s="54" t="s">
        <v>2631</v>
      </c>
      <c r="P360" s="22" t="s">
        <v>2329</v>
      </c>
      <c r="R360" s="17">
        <v>1</v>
      </c>
      <c r="S360" s="17">
        <v>0</v>
      </c>
      <c r="T360" s="17">
        <v>0</v>
      </c>
      <c r="U360" s="17">
        <v>1</v>
      </c>
      <c r="V360" s="17">
        <v>1</v>
      </c>
      <c r="W360" s="17">
        <v>472</v>
      </c>
      <c r="X360" s="17">
        <v>63</v>
      </c>
      <c r="Y360" s="17">
        <v>12</v>
      </c>
      <c r="Z360" s="17">
        <f t="shared" si="40"/>
        <v>547</v>
      </c>
      <c r="AA360" s="11">
        <f t="shared" si="36"/>
        <v>0.86288848263254114</v>
      </c>
      <c r="AB360" s="11">
        <f t="shared" si="37"/>
        <v>0.11517367458866545</v>
      </c>
      <c r="AC360" s="66">
        <f t="shared" si="38"/>
        <v>0.86288848263254114</v>
      </c>
      <c r="AD360" s="67">
        <f t="shared" si="39"/>
        <v>0.79433272394881171</v>
      </c>
    </row>
    <row r="361" spans="1:30" ht="14.5" customHeight="1" x14ac:dyDescent="0.2">
      <c r="A361" t="s">
        <v>2159</v>
      </c>
      <c r="B361" s="17">
        <v>1</v>
      </c>
      <c r="C361" s="17">
        <v>1</v>
      </c>
      <c r="D361" s="22" t="s">
        <v>2291</v>
      </c>
      <c r="E361" s="22" t="s">
        <v>2161</v>
      </c>
      <c r="F361" s="17">
        <f t="shared" si="41"/>
        <v>2012</v>
      </c>
      <c r="G361" s="18">
        <v>40934</v>
      </c>
      <c r="H361" s="22" t="s">
        <v>2983</v>
      </c>
      <c r="I361" s="17">
        <v>0</v>
      </c>
      <c r="J361" s="22" t="s">
        <v>2332</v>
      </c>
      <c r="K361" s="17">
        <v>0</v>
      </c>
      <c r="L361" s="59">
        <v>1</v>
      </c>
      <c r="M361" s="22" t="s">
        <v>129</v>
      </c>
      <c r="N361" s="22" t="s">
        <v>422</v>
      </c>
      <c r="P361" s="22" t="s">
        <v>2333</v>
      </c>
      <c r="R361" s="17">
        <v>1</v>
      </c>
      <c r="S361" s="17">
        <v>0</v>
      </c>
      <c r="T361" s="17">
        <v>0</v>
      </c>
      <c r="U361" s="17">
        <v>1</v>
      </c>
      <c r="V361" s="17">
        <v>1</v>
      </c>
      <c r="W361" s="17">
        <v>424</v>
      </c>
      <c r="X361" s="17">
        <v>107</v>
      </c>
      <c r="Y361" s="17">
        <v>38</v>
      </c>
      <c r="Z361" s="17">
        <f t="shared" si="40"/>
        <v>569</v>
      </c>
      <c r="AA361" s="11">
        <f t="shared" si="36"/>
        <v>0.74516695957820733</v>
      </c>
      <c r="AB361" s="11">
        <f t="shared" si="37"/>
        <v>0.18804920913884007</v>
      </c>
      <c r="AC361" s="66">
        <f t="shared" si="38"/>
        <v>0.74516695957820733</v>
      </c>
      <c r="AD361" s="67">
        <f t="shared" si="39"/>
        <v>0.61775043936731111</v>
      </c>
    </row>
    <row r="362" spans="1:30" ht="14.5" customHeight="1" x14ac:dyDescent="0.2">
      <c r="A362" t="s">
        <v>2159</v>
      </c>
      <c r="B362" s="17">
        <v>1</v>
      </c>
      <c r="C362" s="17">
        <v>1</v>
      </c>
      <c r="D362" s="22" t="s">
        <v>2291</v>
      </c>
      <c r="E362" s="22" t="s">
        <v>2161</v>
      </c>
      <c r="F362" s="17">
        <f t="shared" si="41"/>
        <v>2012</v>
      </c>
      <c r="G362" s="18">
        <v>41039</v>
      </c>
      <c r="H362" s="22" t="s">
        <v>2983</v>
      </c>
      <c r="I362" s="17">
        <v>0</v>
      </c>
      <c r="J362" s="22" t="s">
        <v>2334</v>
      </c>
      <c r="K362" s="17">
        <v>0</v>
      </c>
      <c r="L362" s="59">
        <v>1</v>
      </c>
      <c r="M362" s="22" t="s">
        <v>2860</v>
      </c>
      <c r="N362" s="54" t="s">
        <v>2631</v>
      </c>
      <c r="P362" s="22" t="s">
        <v>2335</v>
      </c>
      <c r="R362" s="17">
        <v>1</v>
      </c>
      <c r="S362" s="17">
        <v>0</v>
      </c>
      <c r="T362" s="17">
        <v>0</v>
      </c>
      <c r="U362" s="17">
        <v>1</v>
      </c>
      <c r="V362" s="17">
        <v>1</v>
      </c>
      <c r="W362" s="17">
        <v>305</v>
      </c>
      <c r="X362" s="17">
        <v>206</v>
      </c>
      <c r="Y362" s="17">
        <v>59</v>
      </c>
      <c r="Z362" s="17">
        <f t="shared" ref="Z362:Z393" si="42">W362+X362+Y362</f>
        <v>570</v>
      </c>
      <c r="AA362" s="11">
        <f t="shared" si="36"/>
        <v>0.53508771929824561</v>
      </c>
      <c r="AB362" s="11">
        <f t="shared" si="37"/>
        <v>0.36140350877192984</v>
      </c>
      <c r="AC362" s="66">
        <f t="shared" si="38"/>
        <v>0.53508771929824561</v>
      </c>
      <c r="AD362" s="67">
        <f t="shared" si="39"/>
        <v>0.30263157894736842</v>
      </c>
    </row>
    <row r="363" spans="1:30" ht="14.5" customHeight="1" x14ac:dyDescent="0.2">
      <c r="A363" t="s">
        <v>2159</v>
      </c>
      <c r="B363" s="17">
        <v>1</v>
      </c>
      <c r="C363" s="17">
        <v>1</v>
      </c>
      <c r="D363" s="22" t="s">
        <v>2291</v>
      </c>
      <c r="E363" s="22" t="s">
        <v>2161</v>
      </c>
      <c r="F363" s="17">
        <f t="shared" si="41"/>
        <v>2012</v>
      </c>
      <c r="G363" s="18">
        <v>41054</v>
      </c>
      <c r="H363" s="22" t="s">
        <v>2983</v>
      </c>
      <c r="I363" s="17">
        <v>0</v>
      </c>
      <c r="J363" s="22" t="s">
        <v>2336</v>
      </c>
      <c r="K363" s="17">
        <v>0</v>
      </c>
      <c r="L363" s="59">
        <v>1</v>
      </c>
      <c r="M363" s="22" t="s">
        <v>165</v>
      </c>
      <c r="N363" s="24" t="s">
        <v>2630</v>
      </c>
      <c r="P363" s="22" t="s">
        <v>2337</v>
      </c>
      <c r="R363" s="17">
        <v>1</v>
      </c>
      <c r="S363" s="17">
        <v>0</v>
      </c>
      <c r="T363" s="17">
        <v>0</v>
      </c>
      <c r="U363" s="17">
        <v>1</v>
      </c>
      <c r="V363" s="17">
        <v>1</v>
      </c>
      <c r="W363" s="17">
        <v>486</v>
      </c>
      <c r="X363" s="17">
        <v>70</v>
      </c>
      <c r="Y363" s="17">
        <v>8</v>
      </c>
      <c r="Z363" s="17">
        <f t="shared" si="42"/>
        <v>564</v>
      </c>
      <c r="AA363" s="11">
        <f t="shared" si="36"/>
        <v>0.86170212765957444</v>
      </c>
      <c r="AB363" s="11">
        <f t="shared" si="37"/>
        <v>0.12411347517730496</v>
      </c>
      <c r="AC363" s="66">
        <f t="shared" si="38"/>
        <v>0.86170212765957444</v>
      </c>
      <c r="AD363" s="67">
        <f t="shared" si="39"/>
        <v>0.79255319148936165</v>
      </c>
    </row>
    <row r="364" spans="1:30" ht="14.5" customHeight="1" x14ac:dyDescent="0.2">
      <c r="A364" t="s">
        <v>2159</v>
      </c>
      <c r="B364" s="17">
        <v>1</v>
      </c>
      <c r="C364" s="17">
        <v>1</v>
      </c>
      <c r="D364" s="22" t="s">
        <v>2291</v>
      </c>
      <c r="E364" s="22" t="s">
        <v>2161</v>
      </c>
      <c r="F364" s="17">
        <f t="shared" si="41"/>
        <v>2012</v>
      </c>
      <c r="G364" s="18">
        <v>41088</v>
      </c>
      <c r="H364" s="22" t="s">
        <v>2983</v>
      </c>
      <c r="I364" s="17">
        <v>0</v>
      </c>
      <c r="J364" s="22" t="s">
        <v>2338</v>
      </c>
      <c r="K364" s="17">
        <v>0</v>
      </c>
      <c r="L364" s="59">
        <v>1</v>
      </c>
      <c r="M364" t="s">
        <v>202</v>
      </c>
      <c r="N364" s="50" t="s">
        <v>2121</v>
      </c>
      <c r="P364" s="22" t="s">
        <v>2339</v>
      </c>
      <c r="R364" s="17">
        <v>1</v>
      </c>
      <c r="S364" s="17">
        <v>0</v>
      </c>
      <c r="T364" s="17">
        <v>0</v>
      </c>
      <c r="U364" s="17">
        <v>1</v>
      </c>
      <c r="V364" s="17">
        <v>1</v>
      </c>
      <c r="W364" s="17">
        <v>507</v>
      </c>
      <c r="X364" s="17">
        <v>74</v>
      </c>
      <c r="Y364" s="17">
        <v>4</v>
      </c>
      <c r="Z364" s="17">
        <f t="shared" si="42"/>
        <v>585</v>
      </c>
      <c r="AA364" s="11">
        <f t="shared" si="36"/>
        <v>0.8666666666666667</v>
      </c>
      <c r="AB364" s="11">
        <f t="shared" si="37"/>
        <v>0.12649572649572649</v>
      </c>
      <c r="AC364" s="66">
        <f t="shared" si="38"/>
        <v>0.8666666666666667</v>
      </c>
      <c r="AD364" s="67">
        <f t="shared" si="39"/>
        <v>0.8</v>
      </c>
    </row>
    <row r="365" spans="1:30" ht="14.25" customHeight="1" x14ac:dyDescent="0.2">
      <c r="A365" t="s">
        <v>2159</v>
      </c>
      <c r="B365" s="17">
        <v>1</v>
      </c>
      <c r="C365" s="17">
        <v>1</v>
      </c>
      <c r="D365" s="22" t="s">
        <v>2291</v>
      </c>
      <c r="E365" s="22" t="s">
        <v>2161</v>
      </c>
      <c r="F365" s="17">
        <f t="shared" si="41"/>
        <v>2012</v>
      </c>
      <c r="G365" s="18">
        <v>41221</v>
      </c>
      <c r="H365" s="22" t="s">
        <v>2983</v>
      </c>
      <c r="I365" s="17">
        <v>0</v>
      </c>
      <c r="J365" s="22" t="s">
        <v>2340</v>
      </c>
      <c r="K365" s="17">
        <v>0</v>
      </c>
      <c r="L365" s="59">
        <v>1</v>
      </c>
      <c r="M365" s="22" t="s">
        <v>2575</v>
      </c>
      <c r="N365" s="22" t="s">
        <v>2629</v>
      </c>
      <c r="P365" s="22" t="s">
        <v>2341</v>
      </c>
      <c r="R365" s="17">
        <v>1</v>
      </c>
      <c r="S365" s="17">
        <v>0</v>
      </c>
      <c r="T365" s="17">
        <v>0</v>
      </c>
      <c r="U365" s="17">
        <v>1</v>
      </c>
      <c r="V365" s="17">
        <v>1</v>
      </c>
      <c r="W365" s="17">
        <v>503</v>
      </c>
      <c r="X365" s="17">
        <v>68</v>
      </c>
      <c r="Y365" s="17">
        <v>1</v>
      </c>
      <c r="Z365" s="17">
        <f t="shared" si="42"/>
        <v>572</v>
      </c>
      <c r="AA365" s="11">
        <f t="shared" si="36"/>
        <v>0.87937062937062938</v>
      </c>
      <c r="AB365" s="11">
        <f t="shared" si="37"/>
        <v>0.11888111888111888</v>
      </c>
      <c r="AC365" s="66">
        <f t="shared" si="38"/>
        <v>0.87937062937062938</v>
      </c>
      <c r="AD365" s="67">
        <f t="shared" si="39"/>
        <v>0.81905594405594406</v>
      </c>
    </row>
    <row r="366" spans="1:30" ht="13.5" customHeight="1" x14ac:dyDescent="0.2">
      <c r="A366" t="s">
        <v>2159</v>
      </c>
      <c r="B366" s="17">
        <v>1</v>
      </c>
      <c r="C366" s="17">
        <v>1</v>
      </c>
      <c r="D366" s="22" t="s">
        <v>2291</v>
      </c>
      <c r="E366" s="22" t="s">
        <v>2161</v>
      </c>
      <c r="F366" s="17">
        <f t="shared" si="41"/>
        <v>2012</v>
      </c>
      <c r="G366" s="18">
        <v>41256</v>
      </c>
      <c r="H366" s="22" t="s">
        <v>2983</v>
      </c>
      <c r="I366" s="17">
        <v>0</v>
      </c>
      <c r="J366" s="22" t="s">
        <v>2235</v>
      </c>
      <c r="K366" s="17">
        <v>0</v>
      </c>
      <c r="L366" s="59">
        <v>1</v>
      </c>
      <c r="M366" s="22" t="s">
        <v>2551</v>
      </c>
      <c r="N366" s="22" t="s">
        <v>2627</v>
      </c>
      <c r="P366" s="22" t="s">
        <v>2344</v>
      </c>
      <c r="R366" s="17">
        <v>1</v>
      </c>
      <c r="S366" s="17">
        <v>0</v>
      </c>
      <c r="T366" s="17">
        <v>0</v>
      </c>
      <c r="U366" s="17">
        <v>1</v>
      </c>
      <c r="V366" s="17">
        <v>1</v>
      </c>
      <c r="W366" s="17">
        <v>311</v>
      </c>
      <c r="X366" s="17">
        <v>256</v>
      </c>
      <c r="Y366" s="17">
        <v>1</v>
      </c>
      <c r="Z366" s="17">
        <f t="shared" si="42"/>
        <v>568</v>
      </c>
      <c r="AA366" s="11">
        <f t="shared" si="36"/>
        <v>0.54753521126760563</v>
      </c>
      <c r="AB366" s="11">
        <f t="shared" si="37"/>
        <v>0.45070422535211269</v>
      </c>
      <c r="AC366" s="66">
        <f t="shared" si="38"/>
        <v>0.54753521126760563</v>
      </c>
      <c r="AD366" s="67">
        <f t="shared" si="39"/>
        <v>0.32130281690140844</v>
      </c>
    </row>
    <row r="367" spans="1:30" ht="14.5" customHeight="1" x14ac:dyDescent="0.2">
      <c r="A367" t="s">
        <v>2159</v>
      </c>
      <c r="B367" s="17">
        <v>1</v>
      </c>
      <c r="C367" s="17">
        <v>1</v>
      </c>
      <c r="D367" s="22" t="s">
        <v>2291</v>
      </c>
      <c r="E367" s="22" t="s">
        <v>2161</v>
      </c>
      <c r="F367" s="17">
        <f t="shared" si="41"/>
        <v>2012</v>
      </c>
      <c r="G367" s="18">
        <v>41257</v>
      </c>
      <c r="H367" s="22" t="s">
        <v>2983</v>
      </c>
      <c r="I367" s="17">
        <v>0</v>
      </c>
      <c r="J367" s="22" t="s">
        <v>2520</v>
      </c>
      <c r="K367" s="17">
        <v>0</v>
      </c>
      <c r="L367" s="59">
        <v>1</v>
      </c>
      <c r="M367" s="22" t="s">
        <v>2614</v>
      </c>
      <c r="N367" s="22" t="s">
        <v>2628</v>
      </c>
      <c r="P367" s="22" t="s">
        <v>2345</v>
      </c>
      <c r="R367" s="17">
        <v>1</v>
      </c>
      <c r="S367" s="17">
        <v>0</v>
      </c>
      <c r="T367" s="17">
        <v>0</v>
      </c>
      <c r="U367" s="17">
        <v>1</v>
      </c>
      <c r="V367" s="17">
        <v>0</v>
      </c>
      <c r="W367" s="17">
        <v>461</v>
      </c>
      <c r="X367" s="17">
        <v>86</v>
      </c>
      <c r="Y367" s="17">
        <v>8</v>
      </c>
      <c r="Z367" s="17">
        <f t="shared" si="42"/>
        <v>555</v>
      </c>
      <c r="AA367" s="11">
        <f t="shared" si="36"/>
        <v>0.83063063063063058</v>
      </c>
      <c r="AB367" s="11">
        <f t="shared" si="37"/>
        <v>0.15495495495495495</v>
      </c>
      <c r="AC367" s="66">
        <f t="shared" si="38"/>
        <v>0.83063063063063058</v>
      </c>
      <c r="AD367" s="67">
        <f t="shared" si="39"/>
        <v>0.74594594594594599</v>
      </c>
    </row>
    <row r="368" spans="1:30" ht="14.5" customHeight="1" x14ac:dyDescent="0.2">
      <c r="A368" t="s">
        <v>2159</v>
      </c>
      <c r="B368" s="17">
        <v>1</v>
      </c>
      <c r="C368" s="17">
        <v>0</v>
      </c>
      <c r="D368" s="22" t="s">
        <v>2291</v>
      </c>
      <c r="E368" s="22" t="s">
        <v>2161</v>
      </c>
      <c r="F368" s="17">
        <f t="shared" si="41"/>
        <v>2013</v>
      </c>
      <c r="G368" s="18">
        <v>41305</v>
      </c>
      <c r="H368" s="22" t="s">
        <v>2983</v>
      </c>
      <c r="I368" s="17">
        <v>0</v>
      </c>
      <c r="J368" s="22" t="s">
        <v>2521</v>
      </c>
      <c r="K368" s="17">
        <v>0</v>
      </c>
      <c r="L368" s="59">
        <v>1</v>
      </c>
      <c r="M368" s="22" t="s">
        <v>129</v>
      </c>
      <c r="N368" s="22" t="s">
        <v>422</v>
      </c>
      <c r="P368" s="22" t="s">
        <v>2346</v>
      </c>
      <c r="R368" s="17">
        <v>1</v>
      </c>
      <c r="S368" s="17">
        <v>0</v>
      </c>
      <c r="T368" s="17">
        <v>0</v>
      </c>
      <c r="U368" s="17">
        <v>1</v>
      </c>
      <c r="V368" s="17">
        <v>1</v>
      </c>
      <c r="W368" s="17">
        <v>435</v>
      </c>
      <c r="X368" s="17">
        <v>111</v>
      </c>
      <c r="Y368" s="17">
        <v>39</v>
      </c>
      <c r="Z368" s="17">
        <f t="shared" si="42"/>
        <v>585</v>
      </c>
      <c r="AA368" s="11">
        <f t="shared" si="36"/>
        <v>0.74358974358974361</v>
      </c>
      <c r="AB368" s="11">
        <f t="shared" si="37"/>
        <v>0.18974358974358974</v>
      </c>
      <c r="AC368" s="66">
        <f t="shared" si="38"/>
        <v>0.74358974358974361</v>
      </c>
      <c r="AD368" s="67">
        <f t="shared" si="39"/>
        <v>0.61538461538461542</v>
      </c>
    </row>
    <row r="369" spans="1:95" ht="14.5" customHeight="1" x14ac:dyDescent="0.2">
      <c r="A369" t="s">
        <v>2159</v>
      </c>
      <c r="B369" s="17">
        <v>1</v>
      </c>
      <c r="C369" s="17">
        <v>0</v>
      </c>
      <c r="D369" s="22" t="s">
        <v>2291</v>
      </c>
      <c r="E369" s="22" t="s">
        <v>2161</v>
      </c>
      <c r="F369" s="17">
        <f t="shared" si="41"/>
        <v>2013</v>
      </c>
      <c r="G369" s="18">
        <v>41333</v>
      </c>
      <c r="H369" s="22" t="s">
        <v>2983</v>
      </c>
      <c r="I369" s="17">
        <v>0</v>
      </c>
      <c r="J369" s="22" t="s">
        <v>2349</v>
      </c>
      <c r="K369" s="17">
        <v>0</v>
      </c>
      <c r="L369" s="59">
        <v>1</v>
      </c>
      <c r="M369" s="22" t="s">
        <v>2573</v>
      </c>
      <c r="N369" s="22" t="s">
        <v>2629</v>
      </c>
      <c r="P369" s="22" t="s">
        <v>2350</v>
      </c>
      <c r="R369" s="17">
        <v>1</v>
      </c>
      <c r="S369" s="17">
        <v>0</v>
      </c>
      <c r="T369" s="17">
        <v>0</v>
      </c>
      <c r="U369" s="17">
        <v>1</v>
      </c>
      <c r="V369" s="17">
        <v>0</v>
      </c>
      <c r="W369" s="17">
        <v>492</v>
      </c>
      <c r="X369" s="17">
        <v>66</v>
      </c>
      <c r="Y369" s="17">
        <v>8</v>
      </c>
      <c r="Z369" s="17">
        <f t="shared" si="42"/>
        <v>566</v>
      </c>
      <c r="AA369" s="11">
        <f t="shared" si="36"/>
        <v>0.86925795053003529</v>
      </c>
      <c r="AB369" s="11">
        <f t="shared" si="37"/>
        <v>0.1166077738515901</v>
      </c>
      <c r="AC369" s="66">
        <f t="shared" si="38"/>
        <v>0.86925795053003529</v>
      </c>
      <c r="AD369" s="67">
        <f t="shared" si="39"/>
        <v>0.80388692579505305</v>
      </c>
    </row>
    <row r="370" spans="1:95" ht="14.5" customHeight="1" x14ac:dyDescent="0.2">
      <c r="A370" t="s">
        <v>2159</v>
      </c>
      <c r="B370" s="17">
        <v>1</v>
      </c>
      <c r="C370" s="17">
        <v>0</v>
      </c>
      <c r="D370" s="22" t="s">
        <v>2291</v>
      </c>
      <c r="E370" s="22" t="s">
        <v>2161</v>
      </c>
      <c r="F370" s="17">
        <f t="shared" si="41"/>
        <v>2013</v>
      </c>
      <c r="G370" s="18">
        <v>41333</v>
      </c>
      <c r="H370" s="22" t="s">
        <v>2983</v>
      </c>
      <c r="I370" s="17">
        <v>0</v>
      </c>
      <c r="J370" s="22" t="s">
        <v>2347</v>
      </c>
      <c r="K370" s="17">
        <v>0</v>
      </c>
      <c r="L370" s="59">
        <v>1</v>
      </c>
      <c r="M370" s="22" t="s">
        <v>2542</v>
      </c>
      <c r="N370" s="48" t="s">
        <v>2629</v>
      </c>
      <c r="P370" s="22" t="s">
        <v>2348</v>
      </c>
      <c r="R370" s="17">
        <v>1</v>
      </c>
      <c r="S370" s="17">
        <v>0</v>
      </c>
      <c r="T370" s="17">
        <v>0</v>
      </c>
      <c r="U370" s="17">
        <v>1</v>
      </c>
      <c r="V370" s="17">
        <v>0</v>
      </c>
      <c r="W370" s="17">
        <v>496</v>
      </c>
      <c r="X370" s="17">
        <v>67</v>
      </c>
      <c r="Y370" s="17">
        <v>4</v>
      </c>
      <c r="Z370" s="17">
        <f t="shared" si="42"/>
        <v>567</v>
      </c>
      <c r="AA370" s="11">
        <f t="shared" si="36"/>
        <v>0.87477954144620806</v>
      </c>
      <c r="AB370" s="11">
        <f t="shared" si="37"/>
        <v>0.11816578483245149</v>
      </c>
      <c r="AC370" s="66">
        <f t="shared" si="38"/>
        <v>0.87477954144620806</v>
      </c>
      <c r="AD370" s="67">
        <f t="shared" si="39"/>
        <v>0.81216931216931221</v>
      </c>
    </row>
    <row r="371" spans="1:95" ht="14.5" customHeight="1" x14ac:dyDescent="0.2">
      <c r="A371" t="s">
        <v>2159</v>
      </c>
      <c r="B371" s="17">
        <v>1</v>
      </c>
      <c r="C371" s="17">
        <v>0</v>
      </c>
      <c r="D371" s="22" t="s">
        <v>2291</v>
      </c>
      <c r="E371" s="22" t="s">
        <v>2161</v>
      </c>
      <c r="F371" s="17">
        <f t="shared" si="41"/>
        <v>2013</v>
      </c>
      <c r="G371" s="18">
        <v>41410</v>
      </c>
      <c r="H371" s="22" t="s">
        <v>2983</v>
      </c>
      <c r="I371" s="17">
        <v>0</v>
      </c>
      <c r="J371" s="22" t="s">
        <v>2351</v>
      </c>
      <c r="K371" s="17">
        <v>0</v>
      </c>
      <c r="L371" s="59">
        <v>1</v>
      </c>
      <c r="M371" s="22" t="s">
        <v>2860</v>
      </c>
      <c r="N371" s="54" t="s">
        <v>2631</v>
      </c>
      <c r="P371" s="22" t="s">
        <v>2352</v>
      </c>
      <c r="R371" s="17">
        <v>1</v>
      </c>
      <c r="S371" s="17">
        <v>0</v>
      </c>
      <c r="T371" s="17">
        <v>0</v>
      </c>
      <c r="U371" s="17">
        <v>1</v>
      </c>
      <c r="V371" s="17">
        <v>1</v>
      </c>
      <c r="W371" s="17">
        <v>310</v>
      </c>
      <c r="X371" s="17">
        <v>206</v>
      </c>
      <c r="Y371" s="17">
        <v>61</v>
      </c>
      <c r="Z371" s="17">
        <f t="shared" si="42"/>
        <v>577</v>
      </c>
      <c r="AA371" s="11">
        <f t="shared" si="36"/>
        <v>0.53726169844020799</v>
      </c>
      <c r="AB371" s="11">
        <f t="shared" si="37"/>
        <v>0.35701906412478335</v>
      </c>
      <c r="AC371" s="66">
        <f t="shared" si="38"/>
        <v>0.53726169844020799</v>
      </c>
      <c r="AD371" s="67">
        <f t="shared" si="39"/>
        <v>0.30589254766031193</v>
      </c>
    </row>
    <row r="372" spans="1:95" ht="14.5" customHeight="1" x14ac:dyDescent="0.2">
      <c r="A372" t="s">
        <v>2159</v>
      </c>
      <c r="B372" s="17">
        <v>1</v>
      </c>
      <c r="C372" s="17">
        <v>0</v>
      </c>
      <c r="D372" s="22" t="s">
        <v>2291</v>
      </c>
      <c r="E372" s="22" t="s">
        <v>2161</v>
      </c>
      <c r="F372" s="17">
        <f t="shared" si="41"/>
        <v>2013</v>
      </c>
      <c r="G372" s="18">
        <v>41438</v>
      </c>
      <c r="H372" s="22" t="s">
        <v>2983</v>
      </c>
      <c r="I372" s="17">
        <v>0</v>
      </c>
      <c r="J372" s="22" t="s">
        <v>2353</v>
      </c>
      <c r="K372" s="17">
        <v>0</v>
      </c>
      <c r="L372" s="59">
        <v>1</v>
      </c>
      <c r="M372" s="22" t="s">
        <v>165</v>
      </c>
      <c r="N372" s="24" t="s">
        <v>2630</v>
      </c>
      <c r="P372" s="22" t="s">
        <v>2354</v>
      </c>
      <c r="R372" s="17">
        <v>1</v>
      </c>
      <c r="S372" s="17">
        <v>0</v>
      </c>
      <c r="T372" s="17">
        <v>0</v>
      </c>
      <c r="U372" s="17">
        <v>1</v>
      </c>
      <c r="V372" s="17">
        <v>1</v>
      </c>
      <c r="W372" s="17">
        <v>495</v>
      </c>
      <c r="X372" s="17">
        <v>50</v>
      </c>
      <c r="Y372" s="17">
        <v>8</v>
      </c>
      <c r="Z372" s="17">
        <f t="shared" si="42"/>
        <v>553</v>
      </c>
      <c r="AA372" s="11">
        <f t="shared" si="36"/>
        <v>0.89511754068716098</v>
      </c>
      <c r="AB372" s="11">
        <f t="shared" si="37"/>
        <v>9.0415913200723327E-2</v>
      </c>
      <c r="AC372" s="66">
        <f t="shared" si="38"/>
        <v>0.89511754068716098</v>
      </c>
      <c r="AD372" s="67">
        <f t="shared" si="39"/>
        <v>0.84267631103074137</v>
      </c>
    </row>
    <row r="373" spans="1:95" ht="14.5" customHeight="1" x14ac:dyDescent="0.2">
      <c r="A373" t="s">
        <v>2159</v>
      </c>
      <c r="B373" s="17">
        <v>1</v>
      </c>
      <c r="C373" s="17">
        <v>0</v>
      </c>
      <c r="D373" s="22" t="s">
        <v>2291</v>
      </c>
      <c r="E373" s="22" t="s">
        <v>2161</v>
      </c>
      <c r="F373" s="17">
        <f t="shared" si="41"/>
        <v>2013</v>
      </c>
      <c r="G373" s="18">
        <v>41452</v>
      </c>
      <c r="H373" s="22" t="s">
        <v>2983</v>
      </c>
      <c r="I373" s="17">
        <v>0</v>
      </c>
      <c r="J373" s="22" t="s">
        <v>2357</v>
      </c>
      <c r="K373" s="17">
        <v>0</v>
      </c>
      <c r="L373" s="59">
        <v>1</v>
      </c>
      <c r="M373" s="22" t="s">
        <v>247</v>
      </c>
      <c r="N373" s="5" t="s">
        <v>2629</v>
      </c>
      <c r="P373" s="22" t="s">
        <v>2358</v>
      </c>
      <c r="R373" s="17">
        <v>1</v>
      </c>
      <c r="S373" s="17">
        <v>0</v>
      </c>
      <c r="T373" s="17">
        <v>0</v>
      </c>
      <c r="U373" s="17">
        <v>1</v>
      </c>
      <c r="V373" s="17">
        <v>0</v>
      </c>
      <c r="W373" s="17">
        <v>502</v>
      </c>
      <c r="X373" s="17">
        <v>69</v>
      </c>
      <c r="Y373" s="17">
        <v>7</v>
      </c>
      <c r="Z373" s="17">
        <f t="shared" si="42"/>
        <v>578</v>
      </c>
      <c r="AA373" s="11">
        <f t="shared" si="36"/>
        <v>0.86851211072664358</v>
      </c>
      <c r="AB373" s="11">
        <f t="shared" si="37"/>
        <v>0.11937716262975778</v>
      </c>
      <c r="AC373" s="66">
        <f t="shared" si="38"/>
        <v>0.86851211072664358</v>
      </c>
      <c r="AD373" s="67">
        <f t="shared" si="39"/>
        <v>0.80276816608996537</v>
      </c>
    </row>
    <row r="374" spans="1:95" ht="14.5" customHeight="1" x14ac:dyDescent="0.2">
      <c r="A374" t="s">
        <v>2159</v>
      </c>
      <c r="B374" s="17">
        <v>1</v>
      </c>
      <c r="C374" s="17">
        <v>0</v>
      </c>
      <c r="D374" s="22" t="s">
        <v>2291</v>
      </c>
      <c r="E374" s="22" t="s">
        <v>2161</v>
      </c>
      <c r="F374" s="17">
        <f t="shared" si="41"/>
        <v>2013</v>
      </c>
      <c r="G374" s="18">
        <v>41452</v>
      </c>
      <c r="H374" s="22" t="s">
        <v>2983</v>
      </c>
      <c r="I374" s="17">
        <v>0</v>
      </c>
      <c r="J374" s="22" t="s">
        <v>2355</v>
      </c>
      <c r="K374" s="17">
        <v>0</v>
      </c>
      <c r="L374" s="59">
        <v>1</v>
      </c>
      <c r="M374" t="s">
        <v>202</v>
      </c>
      <c r="N374" s="50" t="s">
        <v>2121</v>
      </c>
      <c r="P374" s="22" t="s">
        <v>2356</v>
      </c>
      <c r="R374" s="17">
        <v>1</v>
      </c>
      <c r="S374" s="17">
        <v>0</v>
      </c>
      <c r="T374" s="17">
        <v>0</v>
      </c>
      <c r="U374" s="17">
        <v>1</v>
      </c>
      <c r="V374" s="17">
        <v>1</v>
      </c>
      <c r="W374" s="17">
        <v>499</v>
      </c>
      <c r="X374" s="17">
        <v>73</v>
      </c>
      <c r="Y374" s="17">
        <v>5</v>
      </c>
      <c r="Z374" s="17">
        <f t="shared" si="42"/>
        <v>577</v>
      </c>
      <c r="AA374" s="11">
        <f t="shared" si="36"/>
        <v>0.86481802426343157</v>
      </c>
      <c r="AB374" s="11">
        <f t="shared" si="37"/>
        <v>0.1265164644714038</v>
      </c>
      <c r="AC374" s="66">
        <f t="shared" si="38"/>
        <v>0.86481802426343157</v>
      </c>
      <c r="AD374" s="67">
        <f t="shared" si="39"/>
        <v>0.79722703639514736</v>
      </c>
    </row>
    <row r="375" spans="1:95" ht="14.5" customHeight="1" x14ac:dyDescent="0.2">
      <c r="A375" t="s">
        <v>2159</v>
      </c>
      <c r="B375" s="17">
        <v>1</v>
      </c>
      <c r="C375" s="17">
        <v>0</v>
      </c>
      <c r="D375" s="22" t="s">
        <v>2359</v>
      </c>
      <c r="E375" s="22" t="s">
        <v>2234</v>
      </c>
      <c r="F375" s="17">
        <f t="shared" si="41"/>
        <v>2013</v>
      </c>
      <c r="G375" s="18">
        <v>41606</v>
      </c>
      <c r="H375" s="22" t="s">
        <v>2983</v>
      </c>
      <c r="I375" s="17">
        <v>0</v>
      </c>
      <c r="J375" s="22" t="s">
        <v>2362</v>
      </c>
      <c r="K375" s="17">
        <v>0</v>
      </c>
      <c r="L375" s="59">
        <v>1</v>
      </c>
      <c r="M375" s="22" t="s">
        <v>2575</v>
      </c>
      <c r="N375" s="22" t="s">
        <v>2629</v>
      </c>
      <c r="P375" s="22" t="s">
        <v>2363</v>
      </c>
      <c r="R375" s="17">
        <v>1</v>
      </c>
      <c r="S375" s="17">
        <v>0</v>
      </c>
      <c r="T375" s="17">
        <v>0</v>
      </c>
      <c r="U375" s="17">
        <v>1</v>
      </c>
      <c r="V375" s="17">
        <v>1</v>
      </c>
      <c r="W375" s="17">
        <v>511</v>
      </c>
      <c r="X375" s="17">
        <v>58</v>
      </c>
      <c r="Y375" s="17">
        <v>2</v>
      </c>
      <c r="Z375" s="17">
        <f t="shared" si="42"/>
        <v>571</v>
      </c>
      <c r="AA375" s="11">
        <f t="shared" si="36"/>
        <v>0.8949211908931699</v>
      </c>
      <c r="AB375" s="11">
        <f t="shared" si="37"/>
        <v>0.10157618213660245</v>
      </c>
      <c r="AC375" s="66">
        <f t="shared" si="38"/>
        <v>0.8949211908931699</v>
      </c>
      <c r="AD375" s="67">
        <f t="shared" si="39"/>
        <v>0.8423817863397548</v>
      </c>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row>
    <row r="376" spans="1:95" ht="14.5" customHeight="1" x14ac:dyDescent="0.2">
      <c r="A376" t="s">
        <v>2159</v>
      </c>
      <c r="B376" s="17">
        <v>1</v>
      </c>
      <c r="C376" s="17">
        <v>0</v>
      </c>
      <c r="D376" s="22" t="s">
        <v>2359</v>
      </c>
      <c r="E376" s="22" t="s">
        <v>2234</v>
      </c>
      <c r="F376" s="17">
        <f t="shared" si="41"/>
        <v>2013</v>
      </c>
      <c r="G376" s="18">
        <v>41606</v>
      </c>
      <c r="H376" s="22" t="s">
        <v>2983</v>
      </c>
      <c r="I376" s="17">
        <v>0</v>
      </c>
      <c r="J376" s="22" t="s">
        <v>2360</v>
      </c>
      <c r="K376" s="17">
        <v>0</v>
      </c>
      <c r="L376" s="59">
        <v>1</v>
      </c>
      <c r="M376" s="22" t="s">
        <v>2577</v>
      </c>
      <c r="N376" s="22" t="s">
        <v>2629</v>
      </c>
      <c r="P376" s="22" t="s">
        <v>2361</v>
      </c>
      <c r="R376" s="17">
        <v>1</v>
      </c>
      <c r="S376" s="17">
        <v>0</v>
      </c>
      <c r="T376" s="17">
        <v>0</v>
      </c>
      <c r="U376" s="17">
        <v>1</v>
      </c>
      <c r="V376" s="17">
        <v>1</v>
      </c>
      <c r="W376" s="17">
        <v>540</v>
      </c>
      <c r="X376" s="17">
        <v>60</v>
      </c>
      <c r="Y376" s="17">
        <v>2</v>
      </c>
      <c r="Z376" s="17">
        <f t="shared" si="42"/>
        <v>602</v>
      </c>
      <c r="AA376" s="11">
        <f t="shared" si="36"/>
        <v>0.89700996677740863</v>
      </c>
      <c r="AB376" s="11">
        <f t="shared" si="37"/>
        <v>9.9667774086378738E-2</v>
      </c>
      <c r="AC376" s="66">
        <f t="shared" si="38"/>
        <v>0.89700996677740863</v>
      </c>
      <c r="AD376" s="67">
        <f t="shared" si="39"/>
        <v>0.845514950166113</v>
      </c>
    </row>
    <row r="377" spans="1:95" ht="14.5" customHeight="1" x14ac:dyDescent="0.2">
      <c r="A377" t="s">
        <v>2159</v>
      </c>
      <c r="B377" s="17">
        <v>1</v>
      </c>
      <c r="C377" s="17">
        <v>0</v>
      </c>
      <c r="D377" s="22" t="s">
        <v>2359</v>
      </c>
      <c r="E377" s="22" t="s">
        <v>2234</v>
      </c>
      <c r="F377" s="17">
        <f t="shared" si="41"/>
        <v>2014</v>
      </c>
      <c r="G377" s="18">
        <v>41668</v>
      </c>
      <c r="H377" s="22" t="s">
        <v>2983</v>
      </c>
      <c r="I377" s="17">
        <v>0</v>
      </c>
      <c r="J377" s="22" t="s">
        <v>2366</v>
      </c>
      <c r="K377" s="17">
        <v>0</v>
      </c>
      <c r="L377" s="59">
        <v>1</v>
      </c>
      <c r="M377" s="22" t="s">
        <v>2551</v>
      </c>
      <c r="N377" s="22" t="s">
        <v>2627</v>
      </c>
      <c r="P377" s="22" t="s">
        <v>2367</v>
      </c>
      <c r="R377" s="17">
        <v>1</v>
      </c>
      <c r="S377" s="17">
        <v>0</v>
      </c>
      <c r="T377" s="17">
        <v>0</v>
      </c>
      <c r="U377" s="17">
        <v>1</v>
      </c>
      <c r="V377" s="17">
        <v>1</v>
      </c>
      <c r="W377" s="17">
        <v>467</v>
      </c>
      <c r="X377" s="17">
        <v>129</v>
      </c>
      <c r="Y377" s="17">
        <v>6</v>
      </c>
      <c r="Z377" s="17">
        <f t="shared" si="42"/>
        <v>602</v>
      </c>
      <c r="AA377" s="11">
        <f t="shared" si="36"/>
        <v>0.77574750830564787</v>
      </c>
      <c r="AB377" s="11">
        <f t="shared" si="37"/>
        <v>0.21428571428571427</v>
      </c>
      <c r="AC377" s="66">
        <f t="shared" si="38"/>
        <v>0.77574750830564787</v>
      </c>
      <c r="AD377" s="67">
        <f t="shared" si="39"/>
        <v>0.66362126245847175</v>
      </c>
    </row>
    <row r="378" spans="1:95" ht="14.5" customHeight="1" x14ac:dyDescent="0.2">
      <c r="A378" t="s">
        <v>2159</v>
      </c>
      <c r="B378" s="17">
        <v>1</v>
      </c>
      <c r="C378" s="17">
        <v>0</v>
      </c>
      <c r="D378" s="22" t="s">
        <v>2359</v>
      </c>
      <c r="E378" s="22" t="s">
        <v>2234</v>
      </c>
      <c r="F378" s="17">
        <f t="shared" si="41"/>
        <v>2014</v>
      </c>
      <c r="G378" s="18">
        <v>41668</v>
      </c>
      <c r="H378" s="22" t="s">
        <v>2983</v>
      </c>
      <c r="I378" s="17">
        <v>0</v>
      </c>
      <c r="J378" s="22" t="s">
        <v>2364</v>
      </c>
      <c r="K378" s="17">
        <v>0</v>
      </c>
      <c r="L378" s="59">
        <v>1</v>
      </c>
      <c r="M378" s="22" t="s">
        <v>2614</v>
      </c>
      <c r="N378" s="22" t="s">
        <v>2628</v>
      </c>
      <c r="P378" s="22" t="s">
        <v>2365</v>
      </c>
      <c r="R378" s="17">
        <v>1</v>
      </c>
      <c r="S378" s="17">
        <v>0</v>
      </c>
      <c r="T378" s="17">
        <v>0</v>
      </c>
      <c r="U378" s="17">
        <v>1</v>
      </c>
      <c r="V378" s="17">
        <v>1</v>
      </c>
      <c r="W378" s="17">
        <v>522</v>
      </c>
      <c r="X378" s="17">
        <v>71</v>
      </c>
      <c r="Y378" s="17">
        <v>7</v>
      </c>
      <c r="Z378" s="17">
        <f t="shared" si="42"/>
        <v>600</v>
      </c>
      <c r="AA378" s="11">
        <f t="shared" si="36"/>
        <v>0.87</v>
      </c>
      <c r="AB378" s="11">
        <f t="shared" si="37"/>
        <v>0.11833333333333333</v>
      </c>
      <c r="AC378" s="66">
        <f t="shared" si="38"/>
        <v>0.87</v>
      </c>
      <c r="AD378" s="67">
        <f t="shared" si="39"/>
        <v>0.80500000000000005</v>
      </c>
    </row>
    <row r="379" spans="1:95" ht="14.5" customHeight="1" x14ac:dyDescent="0.2">
      <c r="A379" t="s">
        <v>2159</v>
      </c>
      <c r="B379" s="17">
        <v>1</v>
      </c>
      <c r="C379" s="17">
        <v>0</v>
      </c>
      <c r="D379" s="22" t="s">
        <v>2359</v>
      </c>
      <c r="E379" s="22" t="s">
        <v>2234</v>
      </c>
      <c r="F379" s="17">
        <f t="shared" si="41"/>
        <v>2014</v>
      </c>
      <c r="G379" s="18">
        <v>41690</v>
      </c>
      <c r="H379" s="22" t="s">
        <v>2983</v>
      </c>
      <c r="I379" s="17">
        <v>0</v>
      </c>
      <c r="J379" s="22" t="s">
        <v>2370</v>
      </c>
      <c r="K379" s="17">
        <v>0</v>
      </c>
      <c r="L379" s="59">
        <v>1</v>
      </c>
      <c r="M379" s="22" t="s">
        <v>2542</v>
      </c>
      <c r="N379" s="48" t="s">
        <v>2629</v>
      </c>
      <c r="P379" s="22" t="s">
        <v>2371</v>
      </c>
      <c r="R379" s="17">
        <v>1</v>
      </c>
      <c r="S379" s="17">
        <v>0</v>
      </c>
      <c r="T379" s="17">
        <v>0</v>
      </c>
      <c r="U379" s="17">
        <v>1</v>
      </c>
      <c r="V379" s="17">
        <v>1</v>
      </c>
      <c r="W379" s="17">
        <v>525</v>
      </c>
      <c r="X379" s="17">
        <v>61</v>
      </c>
      <c r="Y379" s="17">
        <v>4</v>
      </c>
      <c r="Z379" s="17">
        <f t="shared" si="42"/>
        <v>590</v>
      </c>
      <c r="AA379" s="11">
        <f t="shared" ref="AA379:AA442" si="43">W379/Z379</f>
        <v>0.88983050847457623</v>
      </c>
      <c r="AB379" s="11">
        <f t="shared" ref="AB379:AB442" si="44">X379/Z379</f>
        <v>0.10338983050847457</v>
      </c>
      <c r="AC379" s="66">
        <f t="shared" ref="AC379:AC442" si="45">IF(K379=1,AB379,AA379)</f>
        <v>0.88983050847457623</v>
      </c>
      <c r="AD379" s="67">
        <f t="shared" ref="AD379:AD442" si="46">SUM((MAX(W379,X379,Y379)-0.5*(SUM(W379+X379+Y379)-MAX(W379,X379,Y379)))/SUM(W379+X379+Y379))</f>
        <v>0.8347457627118644</v>
      </c>
    </row>
    <row r="380" spans="1:95" ht="14.5" customHeight="1" x14ac:dyDescent="0.2">
      <c r="A380" t="s">
        <v>2159</v>
      </c>
      <c r="B380" s="17">
        <v>1</v>
      </c>
      <c r="C380" s="17">
        <v>0</v>
      </c>
      <c r="D380" s="22" t="s">
        <v>2359</v>
      </c>
      <c r="E380" s="22" t="s">
        <v>2234</v>
      </c>
      <c r="F380" s="17">
        <f t="shared" si="41"/>
        <v>2014</v>
      </c>
      <c r="G380" s="18">
        <v>41690</v>
      </c>
      <c r="H380" s="22" t="s">
        <v>2983</v>
      </c>
      <c r="I380" s="17">
        <v>0</v>
      </c>
      <c r="J380" s="22" t="s">
        <v>2368</v>
      </c>
      <c r="K380" s="17">
        <v>0</v>
      </c>
      <c r="L380" s="59">
        <v>1</v>
      </c>
      <c r="M380" s="22" t="s">
        <v>129</v>
      </c>
      <c r="N380" s="22" t="s">
        <v>422</v>
      </c>
      <c r="P380" s="22" t="s">
        <v>2369</v>
      </c>
      <c r="R380" s="17">
        <v>1</v>
      </c>
      <c r="S380" s="17">
        <v>0</v>
      </c>
      <c r="T380" s="17">
        <v>0</v>
      </c>
      <c r="U380" s="17">
        <v>1</v>
      </c>
      <c r="V380" s="17">
        <v>1</v>
      </c>
      <c r="W380" s="17">
        <v>498</v>
      </c>
      <c r="X380" s="17">
        <v>84</v>
      </c>
      <c r="Y380" s="17">
        <v>17</v>
      </c>
      <c r="Z380" s="17">
        <f t="shared" si="42"/>
        <v>599</v>
      </c>
      <c r="AA380" s="11">
        <f t="shared" si="43"/>
        <v>0.8313856427378965</v>
      </c>
      <c r="AB380" s="11">
        <f t="shared" si="44"/>
        <v>0.14023372287145242</v>
      </c>
      <c r="AC380" s="66">
        <f t="shared" si="45"/>
        <v>0.8313856427378965</v>
      </c>
      <c r="AD380" s="67">
        <f t="shared" si="46"/>
        <v>0.74707846410684475</v>
      </c>
    </row>
    <row r="381" spans="1:95" ht="14.5" customHeight="1" x14ac:dyDescent="0.2">
      <c r="A381" t="s">
        <v>2159</v>
      </c>
      <c r="B381" s="17">
        <v>1</v>
      </c>
      <c r="C381" s="17">
        <v>0</v>
      </c>
      <c r="D381" s="22" t="s">
        <v>2359</v>
      </c>
      <c r="E381" s="22" t="s">
        <v>2234</v>
      </c>
      <c r="F381" s="17">
        <f t="shared" si="41"/>
        <v>2014</v>
      </c>
      <c r="G381" s="18">
        <v>41732</v>
      </c>
      <c r="H381" s="22" t="s">
        <v>2983</v>
      </c>
      <c r="I381" s="17">
        <v>0</v>
      </c>
      <c r="J381" s="22" t="s">
        <v>2372</v>
      </c>
      <c r="K381" s="17">
        <v>0</v>
      </c>
      <c r="L381" s="59">
        <v>1</v>
      </c>
      <c r="M381" s="22" t="s">
        <v>2561</v>
      </c>
      <c r="N381" s="48" t="s">
        <v>2629</v>
      </c>
      <c r="P381" s="22" t="s">
        <v>2373</v>
      </c>
      <c r="R381" s="17">
        <v>1</v>
      </c>
      <c r="S381" s="17">
        <v>0</v>
      </c>
      <c r="T381" s="17">
        <v>0</v>
      </c>
      <c r="U381" s="17">
        <v>1</v>
      </c>
      <c r="V381" s="17">
        <v>0</v>
      </c>
      <c r="W381" s="17">
        <v>469</v>
      </c>
      <c r="X381" s="17">
        <v>118</v>
      </c>
      <c r="Y381" s="17">
        <v>2</v>
      </c>
      <c r="Z381" s="17">
        <f t="shared" si="42"/>
        <v>589</v>
      </c>
      <c r="AA381" s="11">
        <f t="shared" si="43"/>
        <v>0.79626485568760608</v>
      </c>
      <c r="AB381" s="11">
        <f t="shared" si="44"/>
        <v>0.20033955857385399</v>
      </c>
      <c r="AC381" s="66">
        <f t="shared" si="45"/>
        <v>0.79626485568760608</v>
      </c>
      <c r="AD381" s="67">
        <f t="shared" si="46"/>
        <v>0.69439728353140917</v>
      </c>
    </row>
    <row r="382" spans="1:95" ht="14.5" customHeight="1" x14ac:dyDescent="0.2">
      <c r="A382" t="s">
        <v>2159</v>
      </c>
      <c r="B382" s="17">
        <v>1</v>
      </c>
      <c r="C382" s="17">
        <v>0</v>
      </c>
      <c r="D382" s="22" t="s">
        <v>2359</v>
      </c>
      <c r="E382" s="22" t="s">
        <v>2234</v>
      </c>
      <c r="F382" s="17">
        <f t="shared" si="41"/>
        <v>2014</v>
      </c>
      <c r="G382" s="18">
        <v>41738</v>
      </c>
      <c r="H382" s="22" t="s">
        <v>2983</v>
      </c>
      <c r="I382" s="17">
        <v>0</v>
      </c>
      <c r="J382" s="22" t="s">
        <v>2374</v>
      </c>
      <c r="K382" s="17">
        <v>0</v>
      </c>
      <c r="L382" s="59">
        <v>1</v>
      </c>
      <c r="M382" t="s">
        <v>2574</v>
      </c>
      <c r="N382" t="s">
        <v>2121</v>
      </c>
      <c r="P382" s="22" t="s">
        <v>2375</v>
      </c>
      <c r="R382" s="17">
        <v>1</v>
      </c>
      <c r="S382" s="17">
        <v>0</v>
      </c>
      <c r="T382" s="17">
        <v>0</v>
      </c>
      <c r="U382" s="17">
        <v>1</v>
      </c>
      <c r="V382" s="17">
        <v>0</v>
      </c>
      <c r="W382" s="17">
        <v>535</v>
      </c>
      <c r="X382" s="17">
        <v>35</v>
      </c>
      <c r="Y382" s="17">
        <v>19</v>
      </c>
      <c r="Z382" s="17">
        <f t="shared" si="42"/>
        <v>589</v>
      </c>
      <c r="AA382" s="11">
        <f t="shared" si="43"/>
        <v>0.90831918505942277</v>
      </c>
      <c r="AB382" s="11">
        <f t="shared" si="44"/>
        <v>5.9422750424448216E-2</v>
      </c>
      <c r="AC382" s="66">
        <f t="shared" si="45"/>
        <v>0.90831918505942277</v>
      </c>
      <c r="AD382" s="67">
        <f t="shared" si="46"/>
        <v>0.86247877758913416</v>
      </c>
    </row>
    <row r="383" spans="1:95" ht="14.5" customHeight="1" x14ac:dyDescent="0.2">
      <c r="A383" t="s">
        <v>2159</v>
      </c>
      <c r="B383" s="17">
        <v>1</v>
      </c>
      <c r="C383" s="17">
        <v>0</v>
      </c>
      <c r="D383" s="22" t="s">
        <v>2359</v>
      </c>
      <c r="E383" s="22" t="s">
        <v>2234</v>
      </c>
      <c r="F383" s="17">
        <f t="shared" si="41"/>
        <v>2014</v>
      </c>
      <c r="G383" s="18">
        <v>41739</v>
      </c>
      <c r="H383" s="22" t="s">
        <v>2983</v>
      </c>
      <c r="I383" s="17">
        <v>0</v>
      </c>
      <c r="J383" s="22" t="s">
        <v>2376</v>
      </c>
      <c r="K383" s="17">
        <v>0</v>
      </c>
      <c r="L383" s="59">
        <v>1</v>
      </c>
      <c r="M383" s="22" t="s">
        <v>706</v>
      </c>
      <c r="N383" s="22" t="s">
        <v>2629</v>
      </c>
      <c r="P383" s="22" t="s">
        <v>2377</v>
      </c>
      <c r="R383" s="17">
        <v>1</v>
      </c>
      <c r="S383" s="17">
        <v>0</v>
      </c>
      <c r="T383" s="17">
        <v>0</v>
      </c>
      <c r="U383" s="17">
        <v>1</v>
      </c>
      <c r="V383" s="17">
        <v>0</v>
      </c>
      <c r="W383" s="17">
        <v>514</v>
      </c>
      <c r="X383" s="17">
        <v>59</v>
      </c>
      <c r="Y383" s="17">
        <v>3</v>
      </c>
      <c r="Z383" s="17">
        <f t="shared" si="42"/>
        <v>576</v>
      </c>
      <c r="AA383" s="11">
        <f t="shared" si="43"/>
        <v>0.89236111111111116</v>
      </c>
      <c r="AB383" s="11">
        <f t="shared" si="44"/>
        <v>0.10243055555555555</v>
      </c>
      <c r="AC383" s="66">
        <f t="shared" si="45"/>
        <v>0.89236111111111116</v>
      </c>
      <c r="AD383" s="67">
        <f t="shared" si="46"/>
        <v>0.83854166666666663</v>
      </c>
    </row>
    <row r="384" spans="1:95" ht="14.5" customHeight="1" x14ac:dyDescent="0.2">
      <c r="A384" t="s">
        <v>2159</v>
      </c>
      <c r="B384" s="17">
        <v>1</v>
      </c>
      <c r="C384" s="17">
        <v>0</v>
      </c>
      <c r="D384" s="22" t="s">
        <v>2359</v>
      </c>
      <c r="E384" s="22" t="s">
        <v>2234</v>
      </c>
      <c r="F384" s="17">
        <f t="shared" si="41"/>
        <v>2014</v>
      </c>
      <c r="G384" s="18">
        <v>41781</v>
      </c>
      <c r="H384" s="22" t="s">
        <v>2983</v>
      </c>
      <c r="I384" s="17">
        <v>0</v>
      </c>
      <c r="J384" s="22" t="s">
        <v>2378</v>
      </c>
      <c r="K384" s="17">
        <v>0</v>
      </c>
      <c r="L384" s="59">
        <v>1</v>
      </c>
      <c r="M384" s="22" t="s">
        <v>2860</v>
      </c>
      <c r="N384" s="54" t="s">
        <v>2631</v>
      </c>
      <c r="P384" s="22" t="s">
        <v>2379</v>
      </c>
      <c r="R384" s="17">
        <v>1</v>
      </c>
      <c r="S384" s="17">
        <v>0</v>
      </c>
      <c r="T384" s="17">
        <v>0</v>
      </c>
      <c r="U384" s="17">
        <v>1</v>
      </c>
      <c r="V384" s="17">
        <v>1</v>
      </c>
      <c r="W384" s="17">
        <v>458</v>
      </c>
      <c r="X384" s="17">
        <v>70</v>
      </c>
      <c r="Y384" s="17">
        <v>51</v>
      </c>
      <c r="Z384" s="17">
        <f t="shared" si="42"/>
        <v>579</v>
      </c>
      <c r="AA384" s="11">
        <f t="shared" si="43"/>
        <v>0.79101899827288424</v>
      </c>
      <c r="AB384" s="11">
        <f t="shared" si="44"/>
        <v>0.12089810017271158</v>
      </c>
      <c r="AC384" s="66">
        <f t="shared" si="45"/>
        <v>0.79101899827288424</v>
      </c>
      <c r="AD384" s="67">
        <f t="shared" si="46"/>
        <v>0.68652849740932642</v>
      </c>
    </row>
    <row r="385" spans="1:32" ht="14.5" customHeight="1" x14ac:dyDescent="0.2">
      <c r="A385" t="s">
        <v>2159</v>
      </c>
      <c r="B385" s="17">
        <v>1</v>
      </c>
      <c r="C385" s="17">
        <v>0</v>
      </c>
      <c r="D385" s="22" t="s">
        <v>2359</v>
      </c>
      <c r="E385" s="22" t="s">
        <v>2234</v>
      </c>
      <c r="F385" s="17">
        <f t="shared" si="41"/>
        <v>2014</v>
      </c>
      <c r="G385" s="18">
        <v>41795</v>
      </c>
      <c r="H385" s="22" t="s">
        <v>2983</v>
      </c>
      <c r="I385" s="17">
        <v>0</v>
      </c>
      <c r="J385" s="22" t="s">
        <v>2380</v>
      </c>
      <c r="K385" s="17">
        <v>0</v>
      </c>
      <c r="L385" s="59">
        <v>1</v>
      </c>
      <c r="M385" s="22" t="s">
        <v>165</v>
      </c>
      <c r="N385" s="24" t="s">
        <v>2630</v>
      </c>
      <c r="P385" s="22" t="s">
        <v>2381</v>
      </c>
      <c r="R385" s="17">
        <v>1</v>
      </c>
      <c r="S385" s="17">
        <v>0</v>
      </c>
      <c r="T385" s="17">
        <v>0</v>
      </c>
      <c r="U385" s="17">
        <v>1</v>
      </c>
      <c r="V385" s="17">
        <v>1</v>
      </c>
      <c r="W385" s="17">
        <v>531</v>
      </c>
      <c r="X385" s="17">
        <v>59</v>
      </c>
      <c r="Y385" s="17">
        <v>7</v>
      </c>
      <c r="Z385" s="17">
        <f t="shared" si="42"/>
        <v>597</v>
      </c>
      <c r="AA385" s="11">
        <f t="shared" si="43"/>
        <v>0.88944723618090449</v>
      </c>
      <c r="AB385" s="11">
        <f t="shared" si="44"/>
        <v>9.8827470686767172E-2</v>
      </c>
      <c r="AC385" s="66">
        <f t="shared" si="45"/>
        <v>0.88944723618090449</v>
      </c>
      <c r="AD385" s="67">
        <f t="shared" si="46"/>
        <v>0.83417085427135673</v>
      </c>
    </row>
    <row r="386" spans="1:32" ht="14.5" customHeight="1" x14ac:dyDescent="0.2">
      <c r="A386" t="s">
        <v>2159</v>
      </c>
      <c r="B386" s="17">
        <v>1</v>
      </c>
      <c r="C386" s="17">
        <v>0</v>
      </c>
      <c r="D386" s="22" t="s">
        <v>2359</v>
      </c>
      <c r="E386" s="22" t="s">
        <v>2234</v>
      </c>
      <c r="F386" s="17">
        <f t="shared" si="41"/>
        <v>2014</v>
      </c>
      <c r="G386" s="18">
        <v>41815</v>
      </c>
      <c r="H386" s="22" t="s">
        <v>2983</v>
      </c>
      <c r="I386" s="17">
        <v>0</v>
      </c>
      <c r="J386" s="22" t="s">
        <v>2382</v>
      </c>
      <c r="K386" s="17">
        <v>0</v>
      </c>
      <c r="L386" s="59">
        <v>1</v>
      </c>
      <c r="M386" s="22" t="s">
        <v>247</v>
      </c>
      <c r="N386" s="5" t="s">
        <v>2629</v>
      </c>
      <c r="P386" s="22" t="s">
        <v>2383</v>
      </c>
      <c r="R386" s="17">
        <v>1</v>
      </c>
      <c r="S386" s="17">
        <v>0</v>
      </c>
      <c r="T386" s="17">
        <v>0</v>
      </c>
      <c r="U386" s="17">
        <v>1</v>
      </c>
      <c r="V386" s="17">
        <v>1</v>
      </c>
      <c r="W386" s="17">
        <v>518</v>
      </c>
      <c r="X386" s="17">
        <v>64</v>
      </c>
      <c r="Y386" s="17">
        <v>5</v>
      </c>
      <c r="Z386" s="17">
        <f t="shared" si="42"/>
        <v>587</v>
      </c>
      <c r="AA386" s="11">
        <f t="shared" si="43"/>
        <v>0.88245315161839866</v>
      </c>
      <c r="AB386" s="11">
        <f t="shared" si="44"/>
        <v>0.10902896081771721</v>
      </c>
      <c r="AC386" s="66">
        <f t="shared" si="45"/>
        <v>0.88245315161839866</v>
      </c>
      <c r="AD386" s="67">
        <f t="shared" si="46"/>
        <v>0.82367972742759799</v>
      </c>
    </row>
    <row r="387" spans="1:32" ht="14.5" customHeight="1" x14ac:dyDescent="0.2">
      <c r="A387" t="s">
        <v>2159</v>
      </c>
      <c r="B387" s="17">
        <v>1</v>
      </c>
      <c r="C387" s="17">
        <v>0</v>
      </c>
      <c r="D387" s="22" t="s">
        <v>2359</v>
      </c>
      <c r="E387" s="22" t="s">
        <v>2234</v>
      </c>
      <c r="F387" s="17">
        <f t="shared" si="41"/>
        <v>2014</v>
      </c>
      <c r="G387" s="18">
        <v>41815</v>
      </c>
      <c r="H387" s="22" t="s">
        <v>2983</v>
      </c>
      <c r="I387" s="17">
        <v>0</v>
      </c>
      <c r="J387" s="22" t="s">
        <v>2384</v>
      </c>
      <c r="K387" s="17">
        <v>0</v>
      </c>
      <c r="L387" s="59">
        <v>1</v>
      </c>
      <c r="M387" t="s">
        <v>202</v>
      </c>
      <c r="N387" s="50" t="s">
        <v>2121</v>
      </c>
      <c r="P387" s="22" t="s">
        <v>2385</v>
      </c>
      <c r="R387" s="17">
        <v>1</v>
      </c>
      <c r="S387" s="17">
        <v>0</v>
      </c>
      <c r="T387" s="17">
        <v>0</v>
      </c>
      <c r="U387" s="17">
        <v>1</v>
      </c>
      <c r="V387" s="17">
        <v>1</v>
      </c>
      <c r="W387" s="17">
        <v>514</v>
      </c>
      <c r="X387" s="17">
        <v>66</v>
      </c>
      <c r="Y387" s="17">
        <v>8</v>
      </c>
      <c r="Z387" s="17">
        <f t="shared" si="42"/>
        <v>588</v>
      </c>
      <c r="AA387" s="11">
        <f t="shared" si="43"/>
        <v>0.87414965986394555</v>
      </c>
      <c r="AB387" s="11">
        <f t="shared" si="44"/>
        <v>0.11224489795918367</v>
      </c>
      <c r="AC387" s="66">
        <f t="shared" si="45"/>
        <v>0.87414965986394555</v>
      </c>
      <c r="AD387" s="67">
        <f t="shared" si="46"/>
        <v>0.81122448979591832</v>
      </c>
    </row>
    <row r="388" spans="1:32" ht="14.5" customHeight="1" x14ac:dyDescent="0.2">
      <c r="A388" t="s">
        <v>2159</v>
      </c>
      <c r="B388" s="17">
        <v>1</v>
      </c>
      <c r="C388" s="17">
        <v>0</v>
      </c>
      <c r="D388" s="22" t="s">
        <v>2359</v>
      </c>
      <c r="E388" s="22" t="s">
        <v>2234</v>
      </c>
      <c r="F388" s="17">
        <f t="shared" si="41"/>
        <v>2014</v>
      </c>
      <c r="G388" s="18">
        <v>41956</v>
      </c>
      <c r="H388" s="22" t="s">
        <v>2983</v>
      </c>
      <c r="I388" s="17">
        <v>0</v>
      </c>
      <c r="J388" s="22" t="s">
        <v>2386</v>
      </c>
      <c r="K388" s="17">
        <v>0</v>
      </c>
      <c r="L388" s="59">
        <v>1</v>
      </c>
      <c r="M388" s="22" t="s">
        <v>2577</v>
      </c>
      <c r="N388" s="22" t="s">
        <v>2629</v>
      </c>
      <c r="P388" s="22" t="s">
        <v>2387</v>
      </c>
      <c r="R388" s="17">
        <v>1</v>
      </c>
      <c r="S388" s="17">
        <v>0</v>
      </c>
      <c r="T388" s="17">
        <v>0</v>
      </c>
      <c r="U388" s="17">
        <v>1</v>
      </c>
      <c r="V388" s="17">
        <v>1</v>
      </c>
      <c r="W388" s="17">
        <v>523</v>
      </c>
      <c r="X388" s="17">
        <v>55</v>
      </c>
      <c r="Y388" s="17">
        <v>3</v>
      </c>
      <c r="Z388" s="17">
        <f t="shared" si="42"/>
        <v>581</v>
      </c>
      <c r="AA388" s="11">
        <f t="shared" si="43"/>
        <v>0.90017211703958688</v>
      </c>
      <c r="AB388" s="11">
        <f t="shared" si="44"/>
        <v>9.4664371772805511E-2</v>
      </c>
      <c r="AC388" s="66">
        <f t="shared" si="45"/>
        <v>0.90017211703958688</v>
      </c>
      <c r="AD388" s="67">
        <f t="shared" si="46"/>
        <v>0.85025817555938032</v>
      </c>
    </row>
    <row r="389" spans="1:32" ht="14.5" customHeight="1" x14ac:dyDescent="0.2">
      <c r="A389" t="s">
        <v>2159</v>
      </c>
      <c r="B389" s="17">
        <v>1</v>
      </c>
      <c r="C389" s="17">
        <v>0</v>
      </c>
      <c r="D389" s="22" t="s">
        <v>2359</v>
      </c>
      <c r="E389" s="22" t="s">
        <v>2234</v>
      </c>
      <c r="F389" s="17">
        <f t="shared" si="41"/>
        <v>2014</v>
      </c>
      <c r="G389" s="18">
        <v>41971</v>
      </c>
      <c r="H389" s="22" t="s">
        <v>2983</v>
      </c>
      <c r="I389" s="17">
        <v>0</v>
      </c>
      <c r="J389" s="22" t="s">
        <v>2388</v>
      </c>
      <c r="K389" s="17">
        <v>0</v>
      </c>
      <c r="L389" s="59">
        <v>1</v>
      </c>
      <c r="M389" s="22" t="s">
        <v>2575</v>
      </c>
      <c r="N389" s="22" t="s">
        <v>2629</v>
      </c>
      <c r="P389" s="22" t="s">
        <v>2389</v>
      </c>
      <c r="R389" s="17">
        <v>1</v>
      </c>
      <c r="S389" s="17">
        <v>0</v>
      </c>
      <c r="T389" s="17">
        <v>0</v>
      </c>
      <c r="U389" s="17">
        <v>1</v>
      </c>
      <c r="V389" s="17">
        <v>1</v>
      </c>
      <c r="W389" s="17">
        <v>521</v>
      </c>
      <c r="X389" s="17">
        <v>54</v>
      </c>
      <c r="Y389" s="17">
        <v>2</v>
      </c>
      <c r="Z389" s="17">
        <f t="shared" si="42"/>
        <v>577</v>
      </c>
      <c r="AA389" s="11">
        <f t="shared" si="43"/>
        <v>0.90294627383015602</v>
      </c>
      <c r="AB389" s="11">
        <f t="shared" si="44"/>
        <v>9.3587521663778164E-2</v>
      </c>
      <c r="AC389" s="66">
        <f t="shared" si="45"/>
        <v>0.90294627383015602</v>
      </c>
      <c r="AD389" s="67">
        <f t="shared" si="46"/>
        <v>0.85441941074523398</v>
      </c>
    </row>
    <row r="390" spans="1:32" ht="14.5" customHeight="1" x14ac:dyDescent="0.2">
      <c r="A390" t="s">
        <v>2159</v>
      </c>
      <c r="B390" s="17">
        <v>1</v>
      </c>
      <c r="C390" s="17">
        <v>0</v>
      </c>
      <c r="D390" s="22" t="s">
        <v>2359</v>
      </c>
      <c r="E390" s="22" t="s">
        <v>2234</v>
      </c>
      <c r="F390" s="17">
        <f t="shared" si="41"/>
        <v>2014</v>
      </c>
      <c r="G390" s="18">
        <v>41991</v>
      </c>
      <c r="H390" s="22" t="s">
        <v>2983</v>
      </c>
      <c r="I390" s="17">
        <v>0</v>
      </c>
      <c r="J390" s="22" t="s">
        <v>2390</v>
      </c>
      <c r="K390" s="17">
        <v>0</v>
      </c>
      <c r="L390" s="59">
        <v>1</v>
      </c>
      <c r="M390" s="22" t="s">
        <v>2551</v>
      </c>
      <c r="N390" s="22" t="s">
        <v>2627</v>
      </c>
      <c r="P390" s="22" t="s">
        <v>2391</v>
      </c>
      <c r="R390" s="17">
        <v>1</v>
      </c>
      <c r="S390" s="17">
        <v>0</v>
      </c>
      <c r="T390" s="17">
        <v>0</v>
      </c>
      <c r="U390" s="17">
        <v>1</v>
      </c>
      <c r="V390" s="17">
        <v>1</v>
      </c>
      <c r="W390" s="17">
        <v>461</v>
      </c>
      <c r="X390" s="17">
        <v>122</v>
      </c>
      <c r="Y390" s="17">
        <v>3</v>
      </c>
      <c r="Z390" s="17">
        <f t="shared" si="42"/>
        <v>586</v>
      </c>
      <c r="AA390" s="11">
        <f t="shared" si="43"/>
        <v>0.78668941979522189</v>
      </c>
      <c r="AB390" s="11">
        <f t="shared" si="44"/>
        <v>0.20819112627986347</v>
      </c>
      <c r="AC390" s="66">
        <f t="shared" si="45"/>
        <v>0.78668941979522189</v>
      </c>
      <c r="AD390" s="67">
        <f t="shared" si="46"/>
        <v>0.68003412969283272</v>
      </c>
    </row>
    <row r="391" spans="1:32" ht="14.5" customHeight="1" x14ac:dyDescent="0.2">
      <c r="A391" t="s">
        <v>2159</v>
      </c>
      <c r="B391" s="17">
        <v>1</v>
      </c>
      <c r="C391" s="17">
        <v>0</v>
      </c>
      <c r="D391" s="22" t="s">
        <v>2359</v>
      </c>
      <c r="E391" s="22" t="s">
        <v>2234</v>
      </c>
      <c r="F391" s="17">
        <f t="shared" si="41"/>
        <v>2014</v>
      </c>
      <c r="G391" s="18">
        <v>41991</v>
      </c>
      <c r="H391" s="22" t="s">
        <v>2983</v>
      </c>
      <c r="I391" s="17">
        <v>0</v>
      </c>
      <c r="J391" s="22" t="s">
        <v>2392</v>
      </c>
      <c r="K391" s="17">
        <v>0</v>
      </c>
      <c r="L391" s="59">
        <v>1</v>
      </c>
      <c r="M391" s="22" t="s">
        <v>2555</v>
      </c>
      <c r="N391" s="22" t="s">
        <v>422</v>
      </c>
      <c r="P391" s="22" t="s">
        <v>2393</v>
      </c>
      <c r="R391" s="17">
        <v>1</v>
      </c>
      <c r="S391" s="17">
        <v>0</v>
      </c>
      <c r="T391" s="17">
        <v>0</v>
      </c>
      <c r="U391" s="17">
        <v>1</v>
      </c>
      <c r="V391" s="17">
        <v>0</v>
      </c>
      <c r="W391" s="17">
        <v>472</v>
      </c>
      <c r="X391" s="17">
        <v>102</v>
      </c>
      <c r="Y391" s="17">
        <v>18</v>
      </c>
      <c r="Z391" s="17">
        <f t="shared" si="42"/>
        <v>592</v>
      </c>
      <c r="AA391" s="11">
        <f t="shared" si="43"/>
        <v>0.79729729729729726</v>
      </c>
      <c r="AB391" s="11">
        <f t="shared" si="44"/>
        <v>0.17229729729729729</v>
      </c>
      <c r="AC391" s="66">
        <f t="shared" si="45"/>
        <v>0.79729729729729726</v>
      </c>
      <c r="AD391" s="67">
        <f t="shared" si="46"/>
        <v>0.69594594594594594</v>
      </c>
    </row>
    <row r="392" spans="1:32" ht="14.5" customHeight="1" x14ac:dyDescent="0.2">
      <c r="A392" t="s">
        <v>2159</v>
      </c>
      <c r="B392" s="17">
        <v>1</v>
      </c>
      <c r="C392" s="17">
        <v>0</v>
      </c>
      <c r="D392" s="22" t="s">
        <v>2359</v>
      </c>
      <c r="E392" s="22" t="s">
        <v>2234</v>
      </c>
      <c r="F392" s="17">
        <f t="shared" si="41"/>
        <v>2015</v>
      </c>
      <c r="G392" s="18">
        <v>42033</v>
      </c>
      <c r="H392" s="22" t="s">
        <v>2983</v>
      </c>
      <c r="I392" s="17">
        <v>0</v>
      </c>
      <c r="J392" s="19" t="s">
        <v>2396</v>
      </c>
      <c r="K392" s="17">
        <v>0</v>
      </c>
      <c r="L392" s="59">
        <v>1</v>
      </c>
      <c r="M392" s="22" t="s">
        <v>2614</v>
      </c>
      <c r="N392" s="22" t="s">
        <v>2628</v>
      </c>
      <c r="P392" s="22" t="s">
        <v>2397</v>
      </c>
      <c r="R392" s="17">
        <v>1</v>
      </c>
      <c r="S392" s="17">
        <v>0</v>
      </c>
      <c r="T392" s="17">
        <v>0</v>
      </c>
      <c r="U392" s="17">
        <v>1</v>
      </c>
      <c r="V392" s="17">
        <v>1</v>
      </c>
      <c r="W392" s="17">
        <v>503</v>
      </c>
      <c r="X392" s="17">
        <v>70</v>
      </c>
      <c r="Y392" s="17">
        <v>7</v>
      </c>
      <c r="Z392" s="17">
        <f t="shared" si="42"/>
        <v>580</v>
      </c>
      <c r="AA392" s="11">
        <f t="shared" si="43"/>
        <v>0.86724137931034484</v>
      </c>
      <c r="AB392" s="11">
        <f t="shared" si="44"/>
        <v>0.1206896551724138</v>
      </c>
      <c r="AC392" s="66">
        <f t="shared" si="45"/>
        <v>0.86724137931034484</v>
      </c>
      <c r="AD392" s="67">
        <f t="shared" si="46"/>
        <v>0.80086206896551726</v>
      </c>
    </row>
    <row r="393" spans="1:32" ht="14.5" customHeight="1" x14ac:dyDescent="0.2">
      <c r="A393" t="s">
        <v>2159</v>
      </c>
      <c r="B393" s="17">
        <v>1</v>
      </c>
      <c r="C393" s="17">
        <v>0</v>
      </c>
      <c r="D393" s="22" t="s">
        <v>2359</v>
      </c>
      <c r="E393" s="22" t="s">
        <v>2234</v>
      </c>
      <c r="F393" s="17">
        <f t="shared" si="41"/>
        <v>2015</v>
      </c>
      <c r="G393" s="18">
        <v>42033</v>
      </c>
      <c r="H393" s="22" t="s">
        <v>2983</v>
      </c>
      <c r="I393" s="17">
        <v>0</v>
      </c>
      <c r="J393" s="22" t="s">
        <v>2394</v>
      </c>
      <c r="K393" s="17">
        <v>0</v>
      </c>
      <c r="L393" s="59">
        <v>1</v>
      </c>
      <c r="M393" t="s">
        <v>2571</v>
      </c>
      <c r="N393" t="s">
        <v>2121</v>
      </c>
      <c r="P393" s="22" t="s">
        <v>2395</v>
      </c>
      <c r="R393" s="17">
        <v>1</v>
      </c>
      <c r="S393" s="17">
        <v>0</v>
      </c>
      <c r="T393" s="17">
        <v>0</v>
      </c>
      <c r="U393" s="17">
        <v>1</v>
      </c>
      <c r="V393" s="17">
        <v>0</v>
      </c>
      <c r="W393" s="17">
        <v>457</v>
      </c>
      <c r="X393" s="17">
        <v>79</v>
      </c>
      <c r="Y393" s="17">
        <v>54</v>
      </c>
      <c r="Z393" s="17">
        <f t="shared" si="42"/>
        <v>590</v>
      </c>
      <c r="AA393" s="11">
        <f t="shared" si="43"/>
        <v>0.77457627118644068</v>
      </c>
      <c r="AB393" s="11">
        <f t="shared" si="44"/>
        <v>0.13389830508474576</v>
      </c>
      <c r="AC393" s="66">
        <f t="shared" si="45"/>
        <v>0.77457627118644068</v>
      </c>
      <c r="AD393" s="67">
        <f t="shared" si="46"/>
        <v>0.66186440677966096</v>
      </c>
      <c r="AF393" s="36"/>
    </row>
    <row r="394" spans="1:32" ht="14.5" customHeight="1" x14ac:dyDescent="0.2">
      <c r="A394" t="s">
        <v>2159</v>
      </c>
      <c r="B394" s="17">
        <v>1</v>
      </c>
      <c r="C394" s="17">
        <v>0</v>
      </c>
      <c r="D394" s="22" t="s">
        <v>2359</v>
      </c>
      <c r="E394" s="22" t="s">
        <v>2234</v>
      </c>
      <c r="F394" s="17">
        <f t="shared" si="41"/>
        <v>2015</v>
      </c>
      <c r="G394" s="18">
        <v>42061</v>
      </c>
      <c r="H394" s="22" t="s">
        <v>2983</v>
      </c>
      <c r="I394" s="17">
        <v>0</v>
      </c>
      <c r="J394" s="22" t="s">
        <v>2398</v>
      </c>
      <c r="K394" s="17">
        <v>0</v>
      </c>
      <c r="L394" s="59">
        <v>1</v>
      </c>
      <c r="M394" s="22" t="s">
        <v>2542</v>
      </c>
      <c r="N394" s="48" t="s">
        <v>2629</v>
      </c>
      <c r="P394" s="22" t="s">
        <v>2399</v>
      </c>
      <c r="R394" s="17">
        <v>1</v>
      </c>
      <c r="S394" s="17">
        <v>0</v>
      </c>
      <c r="T394" s="17">
        <v>0</v>
      </c>
      <c r="U394" s="17">
        <v>1</v>
      </c>
      <c r="V394" s="17">
        <v>1</v>
      </c>
      <c r="W394" s="17">
        <v>516</v>
      </c>
      <c r="X394" s="17">
        <v>61</v>
      </c>
      <c r="Y394" s="17">
        <v>3</v>
      </c>
      <c r="Z394" s="17">
        <f t="shared" ref="Z394:Z425" si="47">W394+X394+Y394</f>
        <v>580</v>
      </c>
      <c r="AA394" s="11">
        <f t="shared" si="43"/>
        <v>0.8896551724137931</v>
      </c>
      <c r="AB394" s="11">
        <f t="shared" si="44"/>
        <v>0.10517241379310345</v>
      </c>
      <c r="AC394" s="66">
        <f t="shared" si="45"/>
        <v>0.8896551724137931</v>
      </c>
      <c r="AD394" s="67">
        <f t="shared" si="46"/>
        <v>0.83448275862068966</v>
      </c>
    </row>
    <row r="395" spans="1:32" ht="14.5" customHeight="1" x14ac:dyDescent="0.2">
      <c r="A395" t="s">
        <v>2159</v>
      </c>
      <c r="B395" s="17">
        <v>1</v>
      </c>
      <c r="C395" s="17">
        <v>0</v>
      </c>
      <c r="D395" s="22" t="s">
        <v>2359</v>
      </c>
      <c r="E395" s="22" t="s">
        <v>2234</v>
      </c>
      <c r="F395" s="17">
        <f t="shared" si="41"/>
        <v>2015</v>
      </c>
      <c r="G395" s="18">
        <v>42089</v>
      </c>
      <c r="H395" s="22" t="s">
        <v>2983</v>
      </c>
      <c r="I395" s="17">
        <v>0</v>
      </c>
      <c r="J395" s="22" t="s">
        <v>2400</v>
      </c>
      <c r="K395" s="17">
        <v>0</v>
      </c>
      <c r="L395" s="59">
        <v>1</v>
      </c>
      <c r="M395" s="22" t="s">
        <v>2561</v>
      </c>
      <c r="N395" s="48" t="s">
        <v>2629</v>
      </c>
      <c r="P395" s="22" t="s">
        <v>2401</v>
      </c>
      <c r="R395" s="17">
        <v>1</v>
      </c>
      <c r="S395" s="17">
        <v>0</v>
      </c>
      <c r="T395" s="17">
        <v>0</v>
      </c>
      <c r="U395" s="17">
        <v>1</v>
      </c>
      <c r="V395" s="17">
        <v>1</v>
      </c>
      <c r="W395" s="17">
        <v>453</v>
      </c>
      <c r="X395" s="17">
        <v>115</v>
      </c>
      <c r="Y395" s="17">
        <v>9</v>
      </c>
      <c r="Z395" s="17">
        <f t="shared" si="47"/>
        <v>577</v>
      </c>
      <c r="AA395" s="11">
        <f t="shared" si="43"/>
        <v>0.78509532062391685</v>
      </c>
      <c r="AB395" s="11">
        <f t="shared" si="44"/>
        <v>0.19930675909878684</v>
      </c>
      <c r="AC395" s="66">
        <f t="shared" si="45"/>
        <v>0.78509532062391685</v>
      </c>
      <c r="AD395" s="67">
        <f t="shared" si="46"/>
        <v>0.67764298093587527</v>
      </c>
    </row>
    <row r="396" spans="1:32" ht="14.5" customHeight="1" x14ac:dyDescent="0.2">
      <c r="A396" t="s">
        <v>2159</v>
      </c>
      <c r="B396" s="17">
        <v>1</v>
      </c>
      <c r="C396" s="17">
        <v>0</v>
      </c>
      <c r="D396" s="22" t="s">
        <v>2359</v>
      </c>
      <c r="E396" s="22" t="s">
        <v>2234</v>
      </c>
      <c r="F396" s="17">
        <f t="shared" si="41"/>
        <v>2015</v>
      </c>
      <c r="G396" s="18">
        <v>42145</v>
      </c>
      <c r="H396" s="22" t="s">
        <v>2983</v>
      </c>
      <c r="I396" s="17">
        <v>0</v>
      </c>
      <c r="J396" s="22" t="s">
        <v>2402</v>
      </c>
      <c r="K396" s="17">
        <v>0</v>
      </c>
      <c r="L396" s="59">
        <v>1</v>
      </c>
      <c r="M396" s="22" t="s">
        <v>2860</v>
      </c>
      <c r="N396" s="54" t="s">
        <v>2631</v>
      </c>
      <c r="P396" s="22" t="s">
        <v>2403</v>
      </c>
      <c r="R396" s="17">
        <v>1</v>
      </c>
      <c r="S396" s="17">
        <v>0</v>
      </c>
      <c r="T396" s="17">
        <v>0</v>
      </c>
      <c r="U396" s="17">
        <v>1</v>
      </c>
      <c r="V396" s="17">
        <v>1</v>
      </c>
      <c r="W396" s="17">
        <v>461</v>
      </c>
      <c r="X396" s="17">
        <v>72</v>
      </c>
      <c r="Y396" s="17">
        <v>49</v>
      </c>
      <c r="Z396" s="17">
        <f t="shared" si="47"/>
        <v>582</v>
      </c>
      <c r="AA396" s="11">
        <f t="shared" si="43"/>
        <v>0.79209621993127144</v>
      </c>
      <c r="AB396" s="11">
        <f t="shared" si="44"/>
        <v>0.12371134020618557</v>
      </c>
      <c r="AC396" s="66">
        <f t="shared" si="45"/>
        <v>0.79209621993127144</v>
      </c>
      <c r="AD396" s="67">
        <f t="shared" si="46"/>
        <v>0.68814432989690721</v>
      </c>
    </row>
    <row r="397" spans="1:32" ht="14.5" customHeight="1" x14ac:dyDescent="0.2">
      <c r="A397" t="s">
        <v>2159</v>
      </c>
      <c r="B397" s="17">
        <v>1</v>
      </c>
      <c r="C397" s="17">
        <v>0</v>
      </c>
      <c r="D397" s="22" t="s">
        <v>2359</v>
      </c>
      <c r="E397" s="22" t="s">
        <v>2234</v>
      </c>
      <c r="F397" s="17">
        <f t="shared" si="41"/>
        <v>2015</v>
      </c>
      <c r="G397" s="18">
        <v>42145</v>
      </c>
      <c r="H397" s="22" t="s">
        <v>2983</v>
      </c>
      <c r="I397" s="17">
        <v>0</v>
      </c>
      <c r="J397" s="22" t="s">
        <v>2404</v>
      </c>
      <c r="K397" s="17">
        <v>0</v>
      </c>
      <c r="L397" s="59">
        <v>1</v>
      </c>
      <c r="M397" s="22" t="s">
        <v>2549</v>
      </c>
      <c r="N397" s="22" t="s">
        <v>2629</v>
      </c>
      <c r="P397" s="22" t="s">
        <v>2405</v>
      </c>
      <c r="R397" s="17">
        <v>1</v>
      </c>
      <c r="S397" s="17">
        <v>0</v>
      </c>
      <c r="T397" s="17">
        <v>0</v>
      </c>
      <c r="U397" s="17">
        <v>1</v>
      </c>
      <c r="V397" s="17">
        <v>0</v>
      </c>
      <c r="W397" s="17">
        <v>522</v>
      </c>
      <c r="X397" s="17">
        <v>59</v>
      </c>
      <c r="Y397" s="17">
        <v>3</v>
      </c>
      <c r="Z397" s="17">
        <f t="shared" si="47"/>
        <v>584</v>
      </c>
      <c r="AA397" s="11">
        <f t="shared" si="43"/>
        <v>0.89383561643835618</v>
      </c>
      <c r="AB397" s="11">
        <f t="shared" si="44"/>
        <v>0.10102739726027397</v>
      </c>
      <c r="AC397" s="66">
        <f t="shared" si="45"/>
        <v>0.89383561643835618</v>
      </c>
      <c r="AD397" s="67">
        <f t="shared" si="46"/>
        <v>0.84075342465753422</v>
      </c>
    </row>
    <row r="398" spans="1:32" ht="14.5" customHeight="1" x14ac:dyDescent="0.2">
      <c r="A398" t="s">
        <v>2159</v>
      </c>
      <c r="B398" s="17">
        <v>1</v>
      </c>
      <c r="C398" s="17">
        <v>0</v>
      </c>
      <c r="D398" s="22" t="s">
        <v>2359</v>
      </c>
      <c r="E398" s="22" t="s">
        <v>2234</v>
      </c>
      <c r="F398" s="17">
        <f t="shared" si="41"/>
        <v>2015</v>
      </c>
      <c r="G398" s="18">
        <v>42174</v>
      </c>
      <c r="H398" s="22" t="s">
        <v>2983</v>
      </c>
      <c r="I398" s="17">
        <v>0</v>
      </c>
      <c r="J398" s="22" t="s">
        <v>2406</v>
      </c>
      <c r="K398" s="17">
        <v>0</v>
      </c>
      <c r="L398" s="59">
        <v>1</v>
      </c>
      <c r="M398" s="22" t="s">
        <v>165</v>
      </c>
      <c r="N398" s="24" t="s">
        <v>2630</v>
      </c>
      <c r="P398" s="22" t="s">
        <v>2407</v>
      </c>
      <c r="R398" s="17">
        <v>1</v>
      </c>
      <c r="S398" s="17">
        <v>0</v>
      </c>
      <c r="T398" s="17">
        <v>0</v>
      </c>
      <c r="U398" s="17">
        <v>1</v>
      </c>
      <c r="V398" s="17">
        <v>1</v>
      </c>
      <c r="W398" s="17">
        <v>532</v>
      </c>
      <c r="X398" s="17">
        <v>60</v>
      </c>
      <c r="Y398" s="17">
        <v>7</v>
      </c>
      <c r="Z398" s="17">
        <f t="shared" si="47"/>
        <v>599</v>
      </c>
      <c r="AA398" s="11">
        <f t="shared" si="43"/>
        <v>0.88814691151919867</v>
      </c>
      <c r="AB398" s="11">
        <f t="shared" si="44"/>
        <v>0.1001669449081803</v>
      </c>
      <c r="AC398" s="66">
        <f t="shared" si="45"/>
        <v>0.88814691151919867</v>
      </c>
      <c r="AD398" s="67">
        <f t="shared" si="46"/>
        <v>0.832220367278798</v>
      </c>
    </row>
    <row r="399" spans="1:32" ht="14.5" customHeight="1" x14ac:dyDescent="0.2">
      <c r="A399" t="s">
        <v>2159</v>
      </c>
      <c r="B399" s="17">
        <v>1</v>
      </c>
      <c r="C399" s="17">
        <v>0</v>
      </c>
      <c r="D399" s="22" t="s">
        <v>2359</v>
      </c>
      <c r="E399" s="22" t="s">
        <v>2234</v>
      </c>
      <c r="F399" s="17">
        <f t="shared" si="41"/>
        <v>2015</v>
      </c>
      <c r="G399" s="18">
        <v>42174</v>
      </c>
      <c r="H399" s="22" t="s">
        <v>2983</v>
      </c>
      <c r="I399" s="17">
        <v>0</v>
      </c>
      <c r="J399" s="22" t="s">
        <v>2408</v>
      </c>
      <c r="K399" s="17">
        <v>0</v>
      </c>
      <c r="L399" s="59">
        <v>1</v>
      </c>
      <c r="M399" s="22" t="s">
        <v>247</v>
      </c>
      <c r="N399" s="5" t="s">
        <v>2629</v>
      </c>
      <c r="P399" s="22" t="s">
        <v>2409</v>
      </c>
      <c r="R399" s="17">
        <v>1</v>
      </c>
      <c r="S399" s="17">
        <v>0</v>
      </c>
      <c r="T399" s="17">
        <v>0</v>
      </c>
      <c r="U399" s="17">
        <v>1</v>
      </c>
      <c r="V399" s="17">
        <v>1</v>
      </c>
      <c r="W399" s="17">
        <v>528</v>
      </c>
      <c r="X399" s="17">
        <v>65</v>
      </c>
      <c r="Y399" s="17">
        <v>4</v>
      </c>
      <c r="Z399" s="17">
        <f t="shared" si="47"/>
        <v>597</v>
      </c>
      <c r="AA399" s="11">
        <f t="shared" si="43"/>
        <v>0.88442211055276387</v>
      </c>
      <c r="AB399" s="11">
        <f t="shared" si="44"/>
        <v>0.10887772194304858</v>
      </c>
      <c r="AC399" s="66">
        <f t="shared" si="45"/>
        <v>0.88442211055276387</v>
      </c>
      <c r="AD399" s="67">
        <f t="shared" si="46"/>
        <v>0.8266331658291457</v>
      </c>
    </row>
    <row r="400" spans="1:32" ht="14.5" customHeight="1" x14ac:dyDescent="0.2">
      <c r="A400" t="s">
        <v>2159</v>
      </c>
      <c r="B400" s="17">
        <v>1</v>
      </c>
      <c r="C400" s="17">
        <v>0</v>
      </c>
      <c r="D400" s="22" t="s">
        <v>2359</v>
      </c>
      <c r="E400" s="22" t="s">
        <v>2234</v>
      </c>
      <c r="F400" s="17">
        <f t="shared" si="41"/>
        <v>2015</v>
      </c>
      <c r="G400" s="18">
        <v>42174</v>
      </c>
      <c r="H400" s="22" t="s">
        <v>2983</v>
      </c>
      <c r="I400" s="17">
        <v>0</v>
      </c>
      <c r="J400" s="22" t="s">
        <v>2410</v>
      </c>
      <c r="K400" s="17">
        <v>0</v>
      </c>
      <c r="L400" s="59">
        <v>1</v>
      </c>
      <c r="M400" t="s">
        <v>202</v>
      </c>
      <c r="N400" s="50" t="s">
        <v>2121</v>
      </c>
      <c r="P400" s="22" t="s">
        <v>2411</v>
      </c>
      <c r="R400" s="17">
        <v>1</v>
      </c>
      <c r="S400" s="17">
        <v>0</v>
      </c>
      <c r="T400" s="17">
        <v>0</v>
      </c>
      <c r="U400" s="17">
        <v>1</v>
      </c>
      <c r="V400" s="17">
        <v>1</v>
      </c>
      <c r="W400" s="17">
        <v>527</v>
      </c>
      <c r="X400" s="17">
        <v>65</v>
      </c>
      <c r="Y400" s="17">
        <v>7</v>
      </c>
      <c r="Z400" s="17">
        <f t="shared" si="47"/>
        <v>599</v>
      </c>
      <c r="AA400" s="11">
        <f t="shared" si="43"/>
        <v>0.87979966611018368</v>
      </c>
      <c r="AB400" s="11">
        <f t="shared" si="44"/>
        <v>0.10851419031719532</v>
      </c>
      <c r="AC400" s="66">
        <f t="shared" si="45"/>
        <v>0.87979966611018368</v>
      </c>
      <c r="AD400" s="67">
        <f t="shared" si="46"/>
        <v>0.81969949916527551</v>
      </c>
    </row>
    <row r="401" spans="1:30" ht="14.5" customHeight="1" x14ac:dyDescent="0.2">
      <c r="A401" t="s">
        <v>2159</v>
      </c>
      <c r="B401" s="17">
        <v>1</v>
      </c>
      <c r="C401" s="17">
        <v>0</v>
      </c>
      <c r="D401" s="22" t="s">
        <v>2359</v>
      </c>
      <c r="E401" s="22" t="s">
        <v>2234</v>
      </c>
      <c r="F401" s="17">
        <f t="shared" si="41"/>
        <v>2015</v>
      </c>
      <c r="G401" s="18">
        <v>42278</v>
      </c>
      <c r="H401" s="22" t="s">
        <v>2983</v>
      </c>
      <c r="I401" s="17">
        <v>0</v>
      </c>
      <c r="J401" s="22" t="s">
        <v>2412</v>
      </c>
      <c r="K401" s="17">
        <v>0</v>
      </c>
      <c r="L401" s="59">
        <v>1</v>
      </c>
      <c r="M401" s="5" t="s">
        <v>3033</v>
      </c>
      <c r="N401" s="22" t="s">
        <v>2627</v>
      </c>
      <c r="P401" s="22" t="s">
        <v>2413</v>
      </c>
      <c r="R401" s="17">
        <v>1</v>
      </c>
      <c r="S401" s="17">
        <v>0</v>
      </c>
      <c r="T401" s="17">
        <v>0</v>
      </c>
      <c r="U401" s="17">
        <v>1</v>
      </c>
      <c r="V401" s="17">
        <v>0</v>
      </c>
      <c r="W401" s="17">
        <v>449</v>
      </c>
      <c r="X401" s="17">
        <v>116</v>
      </c>
      <c r="Y401" s="17">
        <v>2</v>
      </c>
      <c r="Z401" s="17">
        <f t="shared" si="47"/>
        <v>567</v>
      </c>
      <c r="AA401" s="11">
        <f t="shared" si="43"/>
        <v>0.79188712522045857</v>
      </c>
      <c r="AB401" s="11">
        <f t="shared" si="44"/>
        <v>0.20458553791887124</v>
      </c>
      <c r="AC401" s="66">
        <f t="shared" si="45"/>
        <v>0.79188712522045857</v>
      </c>
      <c r="AD401" s="67">
        <f t="shared" si="46"/>
        <v>0.68783068783068779</v>
      </c>
    </row>
    <row r="402" spans="1:30" ht="14.5" customHeight="1" x14ac:dyDescent="0.2">
      <c r="A402" t="s">
        <v>2159</v>
      </c>
      <c r="B402" s="17">
        <v>1</v>
      </c>
      <c r="C402" s="17">
        <v>0</v>
      </c>
      <c r="D402" s="22" t="s">
        <v>2359</v>
      </c>
      <c r="E402" s="22" t="s">
        <v>2234</v>
      </c>
      <c r="F402" s="17">
        <f t="shared" si="41"/>
        <v>2015</v>
      </c>
      <c r="G402" s="18">
        <v>42320</v>
      </c>
      <c r="H402" s="22" t="s">
        <v>2983</v>
      </c>
      <c r="I402" s="17">
        <v>0</v>
      </c>
      <c r="J402" s="22" t="s">
        <v>2414</v>
      </c>
      <c r="K402" s="17">
        <v>0</v>
      </c>
      <c r="L402" s="59">
        <v>1</v>
      </c>
      <c r="M402" s="22" t="s">
        <v>2575</v>
      </c>
      <c r="N402" s="22" t="s">
        <v>2629</v>
      </c>
      <c r="P402" s="22" t="s">
        <v>2415</v>
      </c>
      <c r="R402" s="17">
        <v>1</v>
      </c>
      <c r="S402" s="17">
        <v>0</v>
      </c>
      <c r="T402" s="17">
        <v>0</v>
      </c>
      <c r="U402" s="17">
        <v>1</v>
      </c>
      <c r="V402" s="17">
        <v>1</v>
      </c>
      <c r="W402" s="17">
        <v>516</v>
      </c>
      <c r="X402" s="17">
        <v>57</v>
      </c>
      <c r="Y402" s="17">
        <v>2</v>
      </c>
      <c r="Z402" s="17">
        <f t="shared" si="47"/>
        <v>575</v>
      </c>
      <c r="AA402" s="11">
        <f t="shared" si="43"/>
        <v>0.8973913043478261</v>
      </c>
      <c r="AB402" s="11">
        <f t="shared" si="44"/>
        <v>9.913043478260869E-2</v>
      </c>
      <c r="AC402" s="66">
        <f t="shared" si="45"/>
        <v>0.8973913043478261</v>
      </c>
      <c r="AD402" s="67">
        <f t="shared" si="46"/>
        <v>0.84608695652173915</v>
      </c>
    </row>
    <row r="403" spans="1:30" ht="15" customHeight="1" x14ac:dyDescent="0.2">
      <c r="A403" t="s">
        <v>2159</v>
      </c>
      <c r="B403" s="17">
        <v>1</v>
      </c>
      <c r="C403" s="17">
        <v>0</v>
      </c>
      <c r="D403" s="22" t="s">
        <v>2359</v>
      </c>
      <c r="E403" s="22" t="s">
        <v>2234</v>
      </c>
      <c r="F403" s="17">
        <f t="shared" si="41"/>
        <v>2015</v>
      </c>
      <c r="G403" s="18">
        <v>42320</v>
      </c>
      <c r="H403" s="22" t="s">
        <v>2983</v>
      </c>
      <c r="I403" s="17">
        <v>0</v>
      </c>
      <c r="J403" s="22" t="s">
        <v>2416</v>
      </c>
      <c r="K403" s="17">
        <v>0</v>
      </c>
      <c r="L403" s="59">
        <v>1</v>
      </c>
      <c r="M403" s="22" t="s">
        <v>2577</v>
      </c>
      <c r="N403" s="22" t="s">
        <v>2629</v>
      </c>
      <c r="P403" s="22" t="s">
        <v>2417</v>
      </c>
      <c r="R403" s="17">
        <v>1</v>
      </c>
      <c r="S403" s="17">
        <v>0</v>
      </c>
      <c r="T403" s="17">
        <v>0</v>
      </c>
      <c r="U403" s="17">
        <v>1</v>
      </c>
      <c r="V403" s="17">
        <v>1</v>
      </c>
      <c r="W403" s="17">
        <v>518</v>
      </c>
      <c r="X403" s="17">
        <v>58</v>
      </c>
      <c r="Y403" s="17">
        <v>2</v>
      </c>
      <c r="Z403" s="17">
        <f t="shared" si="47"/>
        <v>578</v>
      </c>
      <c r="AA403" s="11">
        <f t="shared" si="43"/>
        <v>0.89619377162629754</v>
      </c>
      <c r="AB403" s="11">
        <f t="shared" si="44"/>
        <v>0.10034602076124567</v>
      </c>
      <c r="AC403" s="66">
        <f t="shared" si="45"/>
        <v>0.89619377162629754</v>
      </c>
      <c r="AD403" s="67">
        <f t="shared" si="46"/>
        <v>0.84429065743944631</v>
      </c>
    </row>
    <row r="404" spans="1:30" ht="14.5" customHeight="1" x14ac:dyDescent="0.2">
      <c r="A404" t="s">
        <v>2159</v>
      </c>
      <c r="B404" s="38">
        <v>1</v>
      </c>
      <c r="C404" s="38">
        <v>0</v>
      </c>
      <c r="D404" s="39" t="s">
        <v>2359</v>
      </c>
      <c r="E404" s="39" t="s">
        <v>2234</v>
      </c>
      <c r="F404" s="38">
        <f t="shared" ref="F404:F456" si="48">YEAR(G404)</f>
        <v>2015</v>
      </c>
      <c r="G404" s="46">
        <v>42342</v>
      </c>
      <c r="H404" s="22" t="s">
        <v>2983</v>
      </c>
      <c r="I404" s="38">
        <v>0</v>
      </c>
      <c r="J404" s="39" t="s">
        <v>2418</v>
      </c>
      <c r="K404" s="38">
        <v>0</v>
      </c>
      <c r="L404" s="60">
        <v>1</v>
      </c>
      <c r="M404" s="22" t="s">
        <v>2543</v>
      </c>
      <c r="N404" s="22" t="s">
        <v>2121</v>
      </c>
      <c r="O404" s="39"/>
      <c r="P404" s="39" t="s">
        <v>2419</v>
      </c>
      <c r="Q404" s="39"/>
      <c r="R404" s="38">
        <v>1</v>
      </c>
      <c r="S404" s="38">
        <v>0</v>
      </c>
      <c r="T404" s="38">
        <v>0</v>
      </c>
      <c r="U404" s="38">
        <v>1</v>
      </c>
      <c r="V404" s="38">
        <v>0</v>
      </c>
      <c r="W404" s="38">
        <v>445</v>
      </c>
      <c r="X404" s="38">
        <v>145</v>
      </c>
      <c r="Y404" s="38">
        <v>7</v>
      </c>
      <c r="Z404" s="38">
        <f t="shared" si="47"/>
        <v>597</v>
      </c>
      <c r="AA404" s="40">
        <f t="shared" si="43"/>
        <v>0.74539363484087107</v>
      </c>
      <c r="AB404" s="40">
        <f t="shared" si="44"/>
        <v>0.24288107202680068</v>
      </c>
      <c r="AC404" s="91">
        <f t="shared" si="45"/>
        <v>0.74539363484087107</v>
      </c>
      <c r="AD404" s="67">
        <f t="shared" si="46"/>
        <v>0.61809045226130654</v>
      </c>
    </row>
    <row r="405" spans="1:30" ht="14.5" customHeight="1" x14ac:dyDescent="0.2">
      <c r="A405" t="s">
        <v>2159</v>
      </c>
      <c r="B405" s="17">
        <v>1</v>
      </c>
      <c r="C405" s="17">
        <v>0</v>
      </c>
      <c r="D405" s="22" t="s">
        <v>2359</v>
      </c>
      <c r="E405" s="22" t="s">
        <v>2234</v>
      </c>
      <c r="F405" s="17">
        <f t="shared" si="48"/>
        <v>2015</v>
      </c>
      <c r="G405" s="18">
        <v>42355</v>
      </c>
      <c r="H405" s="22" t="s">
        <v>2983</v>
      </c>
      <c r="I405" s="17">
        <v>0</v>
      </c>
      <c r="J405" s="22" t="s">
        <v>2390</v>
      </c>
      <c r="K405" s="17">
        <v>0</v>
      </c>
      <c r="L405" s="59">
        <v>1</v>
      </c>
      <c r="M405" s="22" t="s">
        <v>2551</v>
      </c>
      <c r="N405" s="22" t="s">
        <v>2627</v>
      </c>
      <c r="P405" s="22" t="s">
        <v>2420</v>
      </c>
      <c r="R405" s="17">
        <v>1</v>
      </c>
      <c r="S405" s="17">
        <v>0</v>
      </c>
      <c r="T405" s="17">
        <v>0</v>
      </c>
      <c r="U405" s="17">
        <v>1</v>
      </c>
      <c r="V405" s="17">
        <v>1</v>
      </c>
      <c r="W405" s="17">
        <v>467</v>
      </c>
      <c r="X405" s="17">
        <v>133</v>
      </c>
      <c r="Y405" s="17">
        <v>1</v>
      </c>
      <c r="Z405" s="17">
        <f t="shared" si="47"/>
        <v>601</v>
      </c>
      <c r="AA405" s="11">
        <f t="shared" si="43"/>
        <v>0.77703826955074873</v>
      </c>
      <c r="AB405" s="11">
        <f t="shared" si="44"/>
        <v>0.22129783693843594</v>
      </c>
      <c r="AC405" s="66">
        <f t="shared" si="45"/>
        <v>0.77703826955074873</v>
      </c>
      <c r="AD405" s="67">
        <f t="shared" si="46"/>
        <v>0.66555740432612309</v>
      </c>
    </row>
    <row r="406" spans="1:30" ht="14.5" customHeight="1" x14ac:dyDescent="0.2">
      <c r="A406" t="s">
        <v>2159</v>
      </c>
      <c r="B406" s="17">
        <v>1</v>
      </c>
      <c r="C406" s="17">
        <v>0</v>
      </c>
      <c r="D406" s="22" t="s">
        <v>2359</v>
      </c>
      <c r="E406" s="22" t="s">
        <v>2234</v>
      </c>
      <c r="F406" s="17">
        <f t="shared" si="48"/>
        <v>2015</v>
      </c>
      <c r="G406" s="18">
        <v>42355</v>
      </c>
      <c r="H406" s="22" t="s">
        <v>2983</v>
      </c>
      <c r="I406" s="17">
        <v>0</v>
      </c>
      <c r="J406" s="22" t="s">
        <v>2421</v>
      </c>
      <c r="K406" s="17">
        <v>0</v>
      </c>
      <c r="L406" s="59">
        <v>1</v>
      </c>
      <c r="M406" s="22" t="s">
        <v>2555</v>
      </c>
      <c r="N406" s="22" t="s">
        <v>422</v>
      </c>
      <c r="P406" s="22" t="s">
        <v>2422</v>
      </c>
      <c r="R406" s="17">
        <v>1</v>
      </c>
      <c r="S406" s="17">
        <v>0</v>
      </c>
      <c r="T406" s="17">
        <v>0</v>
      </c>
      <c r="U406" s="17">
        <v>1</v>
      </c>
      <c r="V406" s="17">
        <v>1</v>
      </c>
      <c r="W406" s="17">
        <v>480</v>
      </c>
      <c r="X406" s="17">
        <v>112</v>
      </c>
      <c r="Y406" s="17">
        <v>10</v>
      </c>
      <c r="Z406" s="17">
        <f t="shared" si="47"/>
        <v>602</v>
      </c>
      <c r="AA406" s="11">
        <f t="shared" si="43"/>
        <v>0.79734219269102991</v>
      </c>
      <c r="AB406" s="11">
        <f t="shared" si="44"/>
        <v>0.18604651162790697</v>
      </c>
      <c r="AC406" s="66">
        <f t="shared" si="45"/>
        <v>0.79734219269102991</v>
      </c>
      <c r="AD406" s="67">
        <f t="shared" si="46"/>
        <v>0.6960132890365448</v>
      </c>
    </row>
    <row r="407" spans="1:30" ht="14.5" customHeight="1" x14ac:dyDescent="0.2">
      <c r="A407" t="s">
        <v>2159</v>
      </c>
      <c r="B407" s="17">
        <v>1</v>
      </c>
      <c r="C407" s="17">
        <v>0</v>
      </c>
      <c r="D407" s="22" t="s">
        <v>2359</v>
      </c>
      <c r="E407" s="22" t="s">
        <v>2234</v>
      </c>
      <c r="F407" s="17">
        <f t="shared" si="48"/>
        <v>2016</v>
      </c>
      <c r="G407" s="18">
        <v>42397</v>
      </c>
      <c r="H407" s="22" t="s">
        <v>2983</v>
      </c>
      <c r="I407" s="17">
        <v>0</v>
      </c>
      <c r="J407" s="22" t="s">
        <v>2425</v>
      </c>
      <c r="K407" s="17">
        <v>0</v>
      </c>
      <c r="L407" s="59">
        <v>1</v>
      </c>
      <c r="M407" t="s">
        <v>2571</v>
      </c>
      <c r="N407" t="s">
        <v>2121</v>
      </c>
      <c r="P407" s="22" t="s">
        <v>2426</v>
      </c>
      <c r="R407" s="17">
        <v>1</v>
      </c>
      <c r="S407" s="17">
        <v>0</v>
      </c>
      <c r="T407" s="17">
        <v>0</v>
      </c>
      <c r="U407" s="17">
        <v>1</v>
      </c>
      <c r="V407" s="17">
        <v>1</v>
      </c>
      <c r="W407" s="17">
        <v>442</v>
      </c>
      <c r="X407" s="17">
        <v>82</v>
      </c>
      <c r="Y407" s="17">
        <v>48</v>
      </c>
      <c r="Z407" s="17">
        <f t="shared" si="47"/>
        <v>572</v>
      </c>
      <c r="AA407" s="11">
        <f t="shared" si="43"/>
        <v>0.77272727272727271</v>
      </c>
      <c r="AB407" s="11">
        <f t="shared" si="44"/>
        <v>0.14335664335664336</v>
      </c>
      <c r="AC407" s="66">
        <f t="shared" si="45"/>
        <v>0.77272727272727271</v>
      </c>
      <c r="AD407" s="67">
        <f t="shared" si="46"/>
        <v>0.65909090909090906</v>
      </c>
    </row>
    <row r="408" spans="1:30" ht="14.5" customHeight="1" x14ac:dyDescent="0.2">
      <c r="A408" t="s">
        <v>2159</v>
      </c>
      <c r="B408" s="17">
        <v>1</v>
      </c>
      <c r="C408" s="17">
        <v>0</v>
      </c>
      <c r="D408" s="22" t="s">
        <v>2359</v>
      </c>
      <c r="E408" s="22" t="s">
        <v>2234</v>
      </c>
      <c r="F408" s="17">
        <f t="shared" si="48"/>
        <v>2016</v>
      </c>
      <c r="G408" s="18">
        <v>42397</v>
      </c>
      <c r="H408" s="22" t="s">
        <v>2983</v>
      </c>
      <c r="I408" s="17">
        <v>0</v>
      </c>
      <c r="J408" s="22" t="s">
        <v>2423</v>
      </c>
      <c r="K408" s="17">
        <v>0</v>
      </c>
      <c r="L408" s="59">
        <v>1</v>
      </c>
      <c r="M408" s="22" t="s">
        <v>247</v>
      </c>
      <c r="N408" s="5" t="s">
        <v>2629</v>
      </c>
      <c r="P408" s="22" t="s">
        <v>2424</v>
      </c>
      <c r="R408" s="17">
        <v>1</v>
      </c>
      <c r="S408" s="17">
        <v>0</v>
      </c>
      <c r="T408" s="17">
        <v>0</v>
      </c>
      <c r="U408" s="17">
        <v>1</v>
      </c>
      <c r="V408" s="17">
        <v>1</v>
      </c>
      <c r="W408" s="17">
        <v>503</v>
      </c>
      <c r="X408" s="17">
        <v>66</v>
      </c>
      <c r="Y408" s="17">
        <v>6</v>
      </c>
      <c r="Z408" s="17">
        <f t="shared" si="47"/>
        <v>575</v>
      </c>
      <c r="AA408" s="11">
        <f t="shared" si="43"/>
        <v>0.87478260869565216</v>
      </c>
      <c r="AB408" s="11">
        <f t="shared" si="44"/>
        <v>0.11478260869565217</v>
      </c>
      <c r="AC408" s="66">
        <f t="shared" si="45"/>
        <v>0.87478260869565216</v>
      </c>
      <c r="AD408" s="67">
        <f t="shared" si="46"/>
        <v>0.8121739130434783</v>
      </c>
    </row>
    <row r="409" spans="1:30" ht="14.5" customHeight="1" x14ac:dyDescent="0.2">
      <c r="A409" t="s">
        <v>2159</v>
      </c>
      <c r="B409" s="17">
        <v>1</v>
      </c>
      <c r="C409" s="17">
        <v>0</v>
      </c>
      <c r="D409" s="22" t="s">
        <v>2359</v>
      </c>
      <c r="E409" s="22" t="s">
        <v>2234</v>
      </c>
      <c r="F409" s="17">
        <f t="shared" si="48"/>
        <v>2016</v>
      </c>
      <c r="G409" s="18">
        <v>42446</v>
      </c>
      <c r="H409" s="22" t="s">
        <v>2983</v>
      </c>
      <c r="I409" s="17">
        <v>0</v>
      </c>
      <c r="J409" s="22" t="s">
        <v>2427</v>
      </c>
      <c r="K409" s="17">
        <v>0</v>
      </c>
      <c r="L409" s="59">
        <v>1</v>
      </c>
      <c r="M409" s="22" t="s">
        <v>2561</v>
      </c>
      <c r="N409" s="48" t="s">
        <v>2629</v>
      </c>
      <c r="P409" s="22" t="s">
        <v>2428</v>
      </c>
      <c r="R409" s="17">
        <v>1</v>
      </c>
      <c r="S409" s="17">
        <v>0</v>
      </c>
      <c r="T409" s="17">
        <v>0</v>
      </c>
      <c r="U409" s="17">
        <v>1</v>
      </c>
      <c r="V409" s="17">
        <v>1</v>
      </c>
      <c r="W409" s="17">
        <v>456</v>
      </c>
      <c r="X409" s="17">
        <v>123</v>
      </c>
      <c r="Y409" s="17">
        <v>1</v>
      </c>
      <c r="Z409" s="17">
        <f t="shared" si="47"/>
        <v>580</v>
      </c>
      <c r="AA409" s="11">
        <f t="shared" si="43"/>
        <v>0.78620689655172415</v>
      </c>
      <c r="AB409" s="11">
        <f t="shared" si="44"/>
        <v>0.21206896551724139</v>
      </c>
      <c r="AC409" s="66">
        <f t="shared" si="45"/>
        <v>0.78620689655172415</v>
      </c>
      <c r="AD409" s="67">
        <f t="shared" si="46"/>
        <v>0.67931034482758623</v>
      </c>
    </row>
    <row r="410" spans="1:30" ht="14.5" customHeight="1" x14ac:dyDescent="0.2">
      <c r="A410" t="s">
        <v>2159</v>
      </c>
      <c r="B410" s="17">
        <v>1</v>
      </c>
      <c r="C410" s="17">
        <v>0</v>
      </c>
      <c r="D410" s="22" t="s">
        <v>2359</v>
      </c>
      <c r="E410" s="22" t="s">
        <v>2234</v>
      </c>
      <c r="F410" s="17">
        <f t="shared" si="48"/>
        <v>2016</v>
      </c>
      <c r="G410" s="18">
        <v>42502</v>
      </c>
      <c r="H410" s="22" t="s">
        <v>2983</v>
      </c>
      <c r="I410" s="17">
        <v>0</v>
      </c>
      <c r="J410" s="22" t="s">
        <v>2429</v>
      </c>
      <c r="K410" s="17">
        <v>0</v>
      </c>
      <c r="L410" s="59">
        <v>1</v>
      </c>
      <c r="M410" s="22" t="s">
        <v>2860</v>
      </c>
      <c r="N410" s="54" t="s">
        <v>2631</v>
      </c>
      <c r="P410" s="22" t="s">
        <v>2430</v>
      </c>
      <c r="R410" s="17">
        <v>1</v>
      </c>
      <c r="S410" s="17">
        <v>0</v>
      </c>
      <c r="T410" s="17">
        <v>0</v>
      </c>
      <c r="U410" s="17">
        <v>1</v>
      </c>
      <c r="V410" s="17">
        <v>1</v>
      </c>
      <c r="W410" s="17">
        <v>456</v>
      </c>
      <c r="X410" s="17">
        <v>72</v>
      </c>
      <c r="Y410" s="17">
        <v>35</v>
      </c>
      <c r="Z410" s="17">
        <f t="shared" si="47"/>
        <v>563</v>
      </c>
      <c r="AA410" s="11">
        <f t="shared" si="43"/>
        <v>0.8099467140319716</v>
      </c>
      <c r="AB410" s="11">
        <f t="shared" si="44"/>
        <v>0.12788632326820604</v>
      </c>
      <c r="AC410" s="66">
        <f t="shared" si="45"/>
        <v>0.8099467140319716</v>
      </c>
      <c r="AD410" s="67">
        <f t="shared" si="46"/>
        <v>0.71492007104795741</v>
      </c>
    </row>
    <row r="411" spans="1:30" ht="14.5" customHeight="1" x14ac:dyDescent="0.2">
      <c r="A411" t="s">
        <v>2159</v>
      </c>
      <c r="B411" s="17">
        <v>1</v>
      </c>
      <c r="C411" s="17">
        <v>0</v>
      </c>
      <c r="D411" s="22" t="s">
        <v>2359</v>
      </c>
      <c r="E411" s="22" t="s">
        <v>2234</v>
      </c>
      <c r="F411" s="17">
        <f t="shared" si="48"/>
        <v>2016</v>
      </c>
      <c r="G411" s="18">
        <v>42502</v>
      </c>
      <c r="H411" s="22" t="s">
        <v>2983</v>
      </c>
      <c r="I411" s="17">
        <v>0</v>
      </c>
      <c r="J411" s="22" t="s">
        <v>2431</v>
      </c>
      <c r="K411" s="17">
        <v>0</v>
      </c>
      <c r="L411" s="59">
        <v>1</v>
      </c>
      <c r="M411" s="22" t="s">
        <v>2542</v>
      </c>
      <c r="N411" s="48" t="s">
        <v>2629</v>
      </c>
      <c r="P411" s="22" t="s">
        <v>2432</v>
      </c>
      <c r="R411" s="17">
        <v>1</v>
      </c>
      <c r="S411" s="17">
        <v>0</v>
      </c>
      <c r="T411" s="17">
        <v>0</v>
      </c>
      <c r="U411" s="17">
        <v>1</v>
      </c>
      <c r="V411" s="17">
        <v>1</v>
      </c>
      <c r="W411" s="17">
        <v>496</v>
      </c>
      <c r="X411" s="17">
        <v>67</v>
      </c>
      <c r="Y411" s="17">
        <v>2</v>
      </c>
      <c r="Z411" s="17">
        <f t="shared" si="47"/>
        <v>565</v>
      </c>
      <c r="AA411" s="11">
        <f t="shared" si="43"/>
        <v>0.87787610619469025</v>
      </c>
      <c r="AB411" s="11">
        <f t="shared" si="44"/>
        <v>0.11858407079646018</v>
      </c>
      <c r="AC411" s="66">
        <f t="shared" si="45"/>
        <v>0.87787610619469025</v>
      </c>
      <c r="AD411" s="67">
        <f t="shared" si="46"/>
        <v>0.81681415929203538</v>
      </c>
    </row>
    <row r="412" spans="1:30" ht="14.5" customHeight="1" x14ac:dyDescent="0.2">
      <c r="A412" t="s">
        <v>2159</v>
      </c>
      <c r="B412" s="17">
        <v>1</v>
      </c>
      <c r="C412" s="17">
        <v>0</v>
      </c>
      <c r="D412" s="22" t="s">
        <v>2359</v>
      </c>
      <c r="E412" s="22" t="s">
        <v>2234</v>
      </c>
      <c r="F412" s="17">
        <f t="shared" si="48"/>
        <v>2016</v>
      </c>
      <c r="G412" s="18">
        <v>42544</v>
      </c>
      <c r="H412" s="22" t="s">
        <v>2983</v>
      </c>
      <c r="I412" s="17">
        <v>0</v>
      </c>
      <c r="J412" s="22" t="s">
        <v>2380</v>
      </c>
      <c r="K412" s="17">
        <v>0</v>
      </c>
      <c r="L412" s="59">
        <v>1</v>
      </c>
      <c r="M412" s="22" t="s">
        <v>165</v>
      </c>
      <c r="N412" s="24" t="s">
        <v>2630</v>
      </c>
      <c r="P412" s="22" t="s">
        <v>2435</v>
      </c>
      <c r="R412" s="17">
        <v>1</v>
      </c>
      <c r="S412" s="17">
        <v>0</v>
      </c>
      <c r="T412" s="17">
        <v>0</v>
      </c>
      <c r="U412" s="17">
        <v>1</v>
      </c>
      <c r="V412" s="17">
        <v>1</v>
      </c>
      <c r="W412" s="17">
        <v>502</v>
      </c>
      <c r="X412" s="17">
        <v>64</v>
      </c>
      <c r="Y412" s="17">
        <v>6</v>
      </c>
      <c r="Z412" s="17">
        <f t="shared" si="47"/>
        <v>572</v>
      </c>
      <c r="AA412" s="11">
        <f t="shared" si="43"/>
        <v>0.8776223776223776</v>
      </c>
      <c r="AB412" s="11">
        <f t="shared" si="44"/>
        <v>0.11188811188811189</v>
      </c>
      <c r="AC412" s="66">
        <f t="shared" si="45"/>
        <v>0.8776223776223776</v>
      </c>
      <c r="AD412" s="67">
        <f t="shared" si="46"/>
        <v>0.81643356643356646</v>
      </c>
    </row>
    <row r="413" spans="1:30" ht="14.5" customHeight="1" x14ac:dyDescent="0.2">
      <c r="A413" t="s">
        <v>2159</v>
      </c>
      <c r="B413" s="17">
        <v>1</v>
      </c>
      <c r="C413" s="17">
        <v>0</v>
      </c>
      <c r="D413" s="22" t="s">
        <v>2359</v>
      </c>
      <c r="E413" s="22" t="s">
        <v>2234</v>
      </c>
      <c r="F413" s="17">
        <f t="shared" si="48"/>
        <v>2016</v>
      </c>
      <c r="G413" s="18">
        <v>42544</v>
      </c>
      <c r="H413" s="22" t="s">
        <v>2983</v>
      </c>
      <c r="I413" s="17">
        <v>0</v>
      </c>
      <c r="J413" s="22" t="s">
        <v>2433</v>
      </c>
      <c r="K413" s="17">
        <v>0</v>
      </c>
      <c r="L413" s="59">
        <v>1</v>
      </c>
      <c r="M413" t="s">
        <v>202</v>
      </c>
      <c r="N413" s="50" t="s">
        <v>2121</v>
      </c>
      <c r="P413" s="22" t="s">
        <v>2434</v>
      </c>
      <c r="R413" s="17">
        <v>1</v>
      </c>
      <c r="S413" s="17">
        <v>0</v>
      </c>
      <c r="T413" s="17">
        <v>0</v>
      </c>
      <c r="U413" s="17">
        <v>1</v>
      </c>
      <c r="V413" s="17">
        <v>1</v>
      </c>
      <c r="W413" s="17">
        <v>496</v>
      </c>
      <c r="X413" s="17">
        <v>66</v>
      </c>
      <c r="Y413" s="17">
        <v>5</v>
      </c>
      <c r="Z413" s="17">
        <f t="shared" si="47"/>
        <v>567</v>
      </c>
      <c r="AA413" s="11">
        <f t="shared" si="43"/>
        <v>0.87477954144620806</v>
      </c>
      <c r="AB413" s="11">
        <f t="shared" si="44"/>
        <v>0.1164021164021164</v>
      </c>
      <c r="AC413" s="66">
        <f t="shared" si="45"/>
        <v>0.87477954144620806</v>
      </c>
      <c r="AD413" s="67">
        <f t="shared" si="46"/>
        <v>0.81216931216931221</v>
      </c>
    </row>
    <row r="414" spans="1:30" ht="14.5" customHeight="1" x14ac:dyDescent="0.2">
      <c r="A414" t="s">
        <v>2159</v>
      </c>
      <c r="B414" s="17">
        <v>1</v>
      </c>
      <c r="C414" s="17">
        <v>0</v>
      </c>
      <c r="D414" s="22" t="s">
        <v>2359</v>
      </c>
      <c r="E414" s="22" t="s">
        <v>2234</v>
      </c>
      <c r="F414" s="17">
        <f t="shared" si="48"/>
        <v>2016</v>
      </c>
      <c r="G414" s="18">
        <v>42558</v>
      </c>
      <c r="H414" s="22" t="s">
        <v>2983</v>
      </c>
      <c r="I414" s="17">
        <v>0</v>
      </c>
      <c r="J414" s="22" t="s">
        <v>2436</v>
      </c>
      <c r="K414" s="17">
        <v>0</v>
      </c>
      <c r="L414" s="59">
        <v>1</v>
      </c>
      <c r="M414" s="5" t="s">
        <v>3033</v>
      </c>
      <c r="N414" s="22" t="s">
        <v>2627</v>
      </c>
      <c r="P414" s="22" t="s">
        <v>2437</v>
      </c>
      <c r="R414" s="17">
        <v>1</v>
      </c>
      <c r="S414" s="17">
        <v>0</v>
      </c>
      <c r="T414" s="17">
        <v>0</v>
      </c>
      <c r="U414" s="17">
        <v>1</v>
      </c>
      <c r="V414" s="17">
        <v>1</v>
      </c>
      <c r="W414" s="17">
        <v>457</v>
      </c>
      <c r="X414" s="17">
        <v>111</v>
      </c>
      <c r="Y414" s="17">
        <v>1</v>
      </c>
      <c r="Z414" s="17">
        <f t="shared" si="47"/>
        <v>569</v>
      </c>
      <c r="AA414" s="11">
        <f t="shared" si="43"/>
        <v>0.80316344463971878</v>
      </c>
      <c r="AB414" s="11">
        <f t="shared" si="44"/>
        <v>0.19507908611599298</v>
      </c>
      <c r="AC414" s="66">
        <f t="shared" si="45"/>
        <v>0.80316344463971878</v>
      </c>
      <c r="AD414" s="67">
        <f t="shared" si="46"/>
        <v>0.70474516695957823</v>
      </c>
    </row>
    <row r="415" spans="1:30" ht="14.5" customHeight="1" x14ac:dyDescent="0.2">
      <c r="A415" t="s">
        <v>2159</v>
      </c>
      <c r="B415" s="17">
        <v>1</v>
      </c>
      <c r="C415" s="17">
        <v>0</v>
      </c>
      <c r="D415" s="22" t="s">
        <v>2359</v>
      </c>
      <c r="E415" s="22" t="s">
        <v>2234</v>
      </c>
      <c r="F415" s="17">
        <f t="shared" si="48"/>
        <v>2016</v>
      </c>
      <c r="G415" s="18">
        <v>42642</v>
      </c>
      <c r="H415" s="22" t="s">
        <v>2983</v>
      </c>
      <c r="I415" s="17">
        <v>0</v>
      </c>
      <c r="J415" s="22" t="s">
        <v>2438</v>
      </c>
      <c r="K415" s="17">
        <v>0</v>
      </c>
      <c r="L415" s="59">
        <v>1</v>
      </c>
      <c r="M415" s="22" t="s">
        <v>2557</v>
      </c>
      <c r="N415" s="22" t="s">
        <v>2627</v>
      </c>
      <c r="P415" s="22" t="s">
        <v>2439</v>
      </c>
      <c r="R415" s="17">
        <v>1</v>
      </c>
      <c r="S415" s="17">
        <v>0</v>
      </c>
      <c r="T415" s="17">
        <v>0</v>
      </c>
      <c r="U415" s="17">
        <v>1</v>
      </c>
      <c r="V415" s="17">
        <v>0</v>
      </c>
      <c r="W415" s="17">
        <v>441</v>
      </c>
      <c r="X415" s="17">
        <v>117</v>
      </c>
      <c r="Y415" s="17">
        <v>1</v>
      </c>
      <c r="Z415" s="17">
        <f t="shared" si="47"/>
        <v>559</v>
      </c>
      <c r="AA415" s="11">
        <f t="shared" si="43"/>
        <v>0.78890876565295165</v>
      </c>
      <c r="AB415" s="11">
        <f t="shared" si="44"/>
        <v>0.20930232558139536</v>
      </c>
      <c r="AC415" s="66">
        <f t="shared" si="45"/>
        <v>0.78890876565295165</v>
      </c>
      <c r="AD415" s="67">
        <f t="shared" si="46"/>
        <v>0.68336314847942758</v>
      </c>
    </row>
    <row r="416" spans="1:30" ht="14.5" customHeight="1" x14ac:dyDescent="0.2">
      <c r="A416" t="s">
        <v>2159</v>
      </c>
      <c r="B416" s="38">
        <v>1</v>
      </c>
      <c r="C416" s="38">
        <v>0</v>
      </c>
      <c r="D416" s="39" t="s">
        <v>2359</v>
      </c>
      <c r="E416" s="39" t="s">
        <v>2234</v>
      </c>
      <c r="F416" s="38">
        <f t="shared" si="48"/>
        <v>2016</v>
      </c>
      <c r="G416" s="46">
        <v>42684</v>
      </c>
      <c r="H416" s="22" t="s">
        <v>2983</v>
      </c>
      <c r="I416" s="38">
        <v>0</v>
      </c>
      <c r="J416" s="39" t="s">
        <v>2440</v>
      </c>
      <c r="K416" s="38">
        <v>0</v>
      </c>
      <c r="L416" s="60">
        <v>1</v>
      </c>
      <c r="M416" s="22" t="s">
        <v>2543</v>
      </c>
      <c r="N416" s="22" t="s">
        <v>2121</v>
      </c>
      <c r="O416" s="39"/>
      <c r="P416" s="39" t="s">
        <v>2441</v>
      </c>
      <c r="Q416" s="39"/>
      <c r="R416" s="38">
        <v>1</v>
      </c>
      <c r="S416" s="38">
        <v>0</v>
      </c>
      <c r="T416" s="38">
        <v>0</v>
      </c>
      <c r="U416" s="38">
        <v>1</v>
      </c>
      <c r="V416" s="38">
        <v>1</v>
      </c>
      <c r="W416" s="38">
        <v>445</v>
      </c>
      <c r="X416" s="38">
        <v>139</v>
      </c>
      <c r="Y416" s="38">
        <v>2</v>
      </c>
      <c r="Z416" s="38">
        <f t="shared" si="47"/>
        <v>586</v>
      </c>
      <c r="AA416" s="40">
        <f t="shared" si="43"/>
        <v>0.75938566552901021</v>
      </c>
      <c r="AB416" s="40">
        <f t="shared" si="44"/>
        <v>0.23720136518771331</v>
      </c>
      <c r="AC416" s="91">
        <f t="shared" si="45"/>
        <v>0.75938566552901021</v>
      </c>
      <c r="AD416" s="67">
        <f t="shared" si="46"/>
        <v>0.63907849829351537</v>
      </c>
    </row>
    <row r="417" spans="1:30" ht="14.5" customHeight="1" x14ac:dyDescent="0.2">
      <c r="A417" t="s">
        <v>2159</v>
      </c>
      <c r="B417" s="17">
        <v>1</v>
      </c>
      <c r="C417" s="17">
        <v>0</v>
      </c>
      <c r="D417" s="22" t="s">
        <v>2359</v>
      </c>
      <c r="E417" s="22" t="s">
        <v>2234</v>
      </c>
      <c r="F417" s="17">
        <f t="shared" si="48"/>
        <v>2016</v>
      </c>
      <c r="G417" s="18">
        <v>42719</v>
      </c>
      <c r="H417" s="22" t="s">
        <v>2983</v>
      </c>
      <c r="I417" s="17">
        <v>0</v>
      </c>
      <c r="J417" s="22" t="s">
        <v>2421</v>
      </c>
      <c r="K417" s="17">
        <v>0</v>
      </c>
      <c r="L417" s="59">
        <v>1</v>
      </c>
      <c r="M417" s="22" t="s">
        <v>2555</v>
      </c>
      <c r="N417" s="22" t="s">
        <v>422</v>
      </c>
      <c r="P417" s="22" t="s">
        <v>2446</v>
      </c>
      <c r="R417" s="17">
        <v>1</v>
      </c>
      <c r="S417" s="17">
        <v>0</v>
      </c>
      <c r="T417" s="17">
        <v>0</v>
      </c>
      <c r="U417" s="17">
        <v>1</v>
      </c>
      <c r="V417" s="17">
        <v>1</v>
      </c>
      <c r="W417" s="17">
        <v>467</v>
      </c>
      <c r="X417" s="17">
        <v>101</v>
      </c>
      <c r="Y417" s="17">
        <v>9</v>
      </c>
      <c r="Z417" s="17">
        <f t="shared" si="47"/>
        <v>577</v>
      </c>
      <c r="AA417" s="11">
        <f t="shared" si="43"/>
        <v>0.80935875216637787</v>
      </c>
      <c r="AB417" s="11">
        <f t="shared" si="44"/>
        <v>0.17504332755632582</v>
      </c>
      <c r="AC417" s="66">
        <f t="shared" si="45"/>
        <v>0.80935875216637787</v>
      </c>
      <c r="AD417" s="67">
        <f t="shared" si="46"/>
        <v>0.71403812824956669</v>
      </c>
    </row>
    <row r="418" spans="1:30" ht="14.5" customHeight="1" x14ac:dyDescent="0.2">
      <c r="A418" t="s">
        <v>2159</v>
      </c>
      <c r="B418" s="17">
        <v>1</v>
      </c>
      <c r="C418" s="17">
        <v>0</v>
      </c>
      <c r="D418" s="22" t="s">
        <v>2359</v>
      </c>
      <c r="E418" s="22" t="s">
        <v>2234</v>
      </c>
      <c r="F418" s="17">
        <f t="shared" si="48"/>
        <v>2016</v>
      </c>
      <c r="G418" s="18">
        <v>42719</v>
      </c>
      <c r="H418" s="22" t="s">
        <v>2983</v>
      </c>
      <c r="I418" s="17">
        <v>0</v>
      </c>
      <c r="J418" s="22" t="s">
        <v>2444</v>
      </c>
      <c r="K418" s="17">
        <v>0</v>
      </c>
      <c r="L418" s="59">
        <v>1</v>
      </c>
      <c r="M418" s="22" t="s">
        <v>2575</v>
      </c>
      <c r="N418" s="22" t="s">
        <v>2629</v>
      </c>
      <c r="P418" s="22" t="s">
        <v>2445</v>
      </c>
      <c r="R418" s="17">
        <v>1</v>
      </c>
      <c r="S418" s="17">
        <v>0</v>
      </c>
      <c r="T418" s="17">
        <v>0</v>
      </c>
      <c r="U418" s="17">
        <v>1</v>
      </c>
      <c r="V418" s="17">
        <v>1</v>
      </c>
      <c r="W418" s="17">
        <v>526</v>
      </c>
      <c r="X418" s="17">
        <v>60</v>
      </c>
      <c r="Y418" s="17">
        <v>1</v>
      </c>
      <c r="Z418" s="17">
        <f t="shared" si="47"/>
        <v>587</v>
      </c>
      <c r="AA418" s="11">
        <f t="shared" si="43"/>
        <v>0.89608177172061332</v>
      </c>
      <c r="AB418" s="11">
        <f t="shared" si="44"/>
        <v>0.10221465076660988</v>
      </c>
      <c r="AC418" s="66">
        <f t="shared" si="45"/>
        <v>0.89608177172061332</v>
      </c>
      <c r="AD418" s="67">
        <f t="shared" si="46"/>
        <v>0.84412265758091998</v>
      </c>
    </row>
    <row r="419" spans="1:30" ht="14.5" customHeight="1" x14ac:dyDescent="0.2">
      <c r="A419" t="s">
        <v>2159</v>
      </c>
      <c r="B419" s="17">
        <v>1</v>
      </c>
      <c r="C419" s="17">
        <v>0</v>
      </c>
      <c r="D419" s="22" t="s">
        <v>2359</v>
      </c>
      <c r="E419" s="22" t="s">
        <v>2234</v>
      </c>
      <c r="F419" s="17">
        <f t="shared" si="48"/>
        <v>2016</v>
      </c>
      <c r="G419" s="18">
        <v>42719</v>
      </c>
      <c r="H419" s="22" t="s">
        <v>2983</v>
      </c>
      <c r="I419" s="17">
        <v>0</v>
      </c>
      <c r="J419" s="22" t="s">
        <v>2442</v>
      </c>
      <c r="K419" s="17">
        <v>0</v>
      </c>
      <c r="L419" s="59">
        <v>1</v>
      </c>
      <c r="M419" s="22" t="s">
        <v>2577</v>
      </c>
      <c r="N419" s="22" t="s">
        <v>2629</v>
      </c>
      <c r="P419" s="22" t="s">
        <v>2443</v>
      </c>
      <c r="R419" s="17">
        <v>1</v>
      </c>
      <c r="S419" s="17">
        <v>0</v>
      </c>
      <c r="T419" s="17">
        <v>0</v>
      </c>
      <c r="U419" s="17">
        <v>1</v>
      </c>
      <c r="V419" s="17">
        <v>1</v>
      </c>
      <c r="W419" s="17">
        <v>530</v>
      </c>
      <c r="X419" s="17">
        <v>59</v>
      </c>
      <c r="Y419" s="17">
        <v>1</v>
      </c>
      <c r="Z419" s="17">
        <f t="shared" si="47"/>
        <v>590</v>
      </c>
      <c r="AA419" s="11">
        <f t="shared" si="43"/>
        <v>0.89830508474576276</v>
      </c>
      <c r="AB419" s="11">
        <f t="shared" si="44"/>
        <v>0.1</v>
      </c>
      <c r="AC419" s="66">
        <f t="shared" si="45"/>
        <v>0.89830508474576276</v>
      </c>
      <c r="AD419" s="67">
        <f t="shared" si="46"/>
        <v>0.84745762711864403</v>
      </c>
    </row>
    <row r="420" spans="1:30" ht="14.5" customHeight="1" x14ac:dyDescent="0.2">
      <c r="A420" t="s">
        <v>2159</v>
      </c>
      <c r="B420" s="17">
        <v>1</v>
      </c>
      <c r="C420" s="17">
        <v>0</v>
      </c>
      <c r="D420" s="22" t="s">
        <v>2359</v>
      </c>
      <c r="E420" s="22" t="s">
        <v>2234</v>
      </c>
      <c r="F420" s="17">
        <f t="shared" si="48"/>
        <v>2017</v>
      </c>
      <c r="G420" s="18">
        <v>42761</v>
      </c>
      <c r="H420" s="22" t="s">
        <v>2983</v>
      </c>
      <c r="I420" s="17">
        <v>0</v>
      </c>
      <c r="J420" s="22" t="s">
        <v>2449</v>
      </c>
      <c r="K420" s="17">
        <v>0</v>
      </c>
      <c r="L420" s="59">
        <v>1</v>
      </c>
      <c r="M420" t="s">
        <v>2571</v>
      </c>
      <c r="N420" t="s">
        <v>2121</v>
      </c>
      <c r="P420" s="22" t="s">
        <v>2450</v>
      </c>
      <c r="R420" s="17">
        <v>1</v>
      </c>
      <c r="S420" s="17">
        <v>0</v>
      </c>
      <c r="T420" s="17">
        <v>0</v>
      </c>
      <c r="U420" s="17">
        <v>1</v>
      </c>
      <c r="V420" s="17">
        <v>1</v>
      </c>
      <c r="W420" s="17">
        <v>444</v>
      </c>
      <c r="X420" s="17">
        <v>67</v>
      </c>
      <c r="Y420" s="17">
        <v>46</v>
      </c>
      <c r="Z420" s="17">
        <f t="shared" si="47"/>
        <v>557</v>
      </c>
      <c r="AA420" s="11">
        <f t="shared" si="43"/>
        <v>0.79712746858168759</v>
      </c>
      <c r="AB420" s="11">
        <f t="shared" si="44"/>
        <v>0.12028725314183124</v>
      </c>
      <c r="AC420" s="66">
        <f t="shared" si="45"/>
        <v>0.79712746858168759</v>
      </c>
      <c r="AD420" s="67">
        <f t="shared" si="46"/>
        <v>0.69569120287253139</v>
      </c>
    </row>
    <row r="421" spans="1:30" ht="14.5" customHeight="1" x14ac:dyDescent="0.2">
      <c r="A421" t="s">
        <v>2159</v>
      </c>
      <c r="B421" s="17">
        <v>1</v>
      </c>
      <c r="C421" s="17">
        <v>0</v>
      </c>
      <c r="D421" s="22" t="s">
        <v>2359</v>
      </c>
      <c r="E421" s="22" t="s">
        <v>2234</v>
      </c>
      <c r="F421" s="17">
        <f t="shared" si="48"/>
        <v>2017</v>
      </c>
      <c r="G421" s="18">
        <v>42761</v>
      </c>
      <c r="H421" s="22" t="s">
        <v>2983</v>
      </c>
      <c r="I421" s="17">
        <v>0</v>
      </c>
      <c r="J421" s="22" t="s">
        <v>2447</v>
      </c>
      <c r="K421" s="17">
        <v>0</v>
      </c>
      <c r="L421" s="59">
        <v>1</v>
      </c>
      <c r="M421" s="22" t="s">
        <v>247</v>
      </c>
      <c r="N421" s="5" t="s">
        <v>2629</v>
      </c>
      <c r="P421" s="22" t="s">
        <v>2448</v>
      </c>
      <c r="R421" s="17">
        <v>1</v>
      </c>
      <c r="S421" s="17">
        <v>0</v>
      </c>
      <c r="T421" s="17">
        <v>0</v>
      </c>
      <c r="U421" s="17">
        <v>1</v>
      </c>
      <c r="V421" s="17">
        <v>1</v>
      </c>
      <c r="W421" s="17">
        <v>498</v>
      </c>
      <c r="X421" s="17">
        <v>55</v>
      </c>
      <c r="Y421" s="17">
        <v>3</v>
      </c>
      <c r="Z421" s="17">
        <f t="shared" si="47"/>
        <v>556</v>
      </c>
      <c r="AA421" s="11">
        <f t="shared" si="43"/>
        <v>0.89568345323741005</v>
      </c>
      <c r="AB421" s="11">
        <f t="shared" si="44"/>
        <v>9.8920863309352514E-2</v>
      </c>
      <c r="AC421" s="66">
        <f t="shared" si="45"/>
        <v>0.89568345323741005</v>
      </c>
      <c r="AD421" s="67">
        <f t="shared" si="46"/>
        <v>0.84352517985611508</v>
      </c>
    </row>
    <row r="422" spans="1:30" ht="14.5" customHeight="1" x14ac:dyDescent="0.2">
      <c r="A422" t="s">
        <v>2159</v>
      </c>
      <c r="B422" s="17">
        <v>1</v>
      </c>
      <c r="C422" s="17">
        <v>0</v>
      </c>
      <c r="D422" s="22" t="s">
        <v>2359</v>
      </c>
      <c r="E422" s="22" t="s">
        <v>2234</v>
      </c>
      <c r="F422" s="17">
        <f t="shared" si="48"/>
        <v>2017</v>
      </c>
      <c r="G422" s="18">
        <v>42824</v>
      </c>
      <c r="H422" s="22" t="s">
        <v>2983</v>
      </c>
      <c r="I422" s="17">
        <v>0</v>
      </c>
      <c r="J422" s="22" t="s">
        <v>2451</v>
      </c>
      <c r="K422" s="17">
        <v>0</v>
      </c>
      <c r="L422" s="59">
        <v>1</v>
      </c>
      <c r="M422" s="22" t="s">
        <v>2561</v>
      </c>
      <c r="N422" s="48" t="s">
        <v>2629</v>
      </c>
      <c r="P422" s="22" t="s">
        <v>2452</v>
      </c>
      <c r="R422" s="17">
        <v>1</v>
      </c>
      <c r="S422" s="17">
        <v>0</v>
      </c>
      <c r="T422" s="17">
        <v>0</v>
      </c>
      <c r="U422" s="17">
        <v>1</v>
      </c>
      <c r="V422" s="17">
        <v>1</v>
      </c>
      <c r="W422" s="17">
        <v>435</v>
      </c>
      <c r="X422" s="17">
        <v>102</v>
      </c>
      <c r="Y422" s="17">
        <v>0</v>
      </c>
      <c r="Z422" s="17">
        <f t="shared" si="47"/>
        <v>537</v>
      </c>
      <c r="AA422" s="11">
        <f t="shared" si="43"/>
        <v>0.81005586592178769</v>
      </c>
      <c r="AB422" s="11">
        <f t="shared" si="44"/>
        <v>0.18994413407821228</v>
      </c>
      <c r="AC422" s="66">
        <f t="shared" si="45"/>
        <v>0.81005586592178769</v>
      </c>
      <c r="AD422" s="67">
        <f t="shared" si="46"/>
        <v>0.71508379888268159</v>
      </c>
    </row>
    <row r="423" spans="1:30" ht="14.5" customHeight="1" x14ac:dyDescent="0.2">
      <c r="A423" t="s">
        <v>2159</v>
      </c>
      <c r="B423" s="17">
        <v>1</v>
      </c>
      <c r="C423" s="17">
        <v>0</v>
      </c>
      <c r="D423" s="22" t="s">
        <v>2359</v>
      </c>
      <c r="E423" s="22" t="s">
        <v>2234</v>
      </c>
      <c r="F423" s="17">
        <f t="shared" si="48"/>
        <v>2017</v>
      </c>
      <c r="G423" s="18">
        <v>42873</v>
      </c>
      <c r="H423" s="22" t="s">
        <v>2983</v>
      </c>
      <c r="I423" s="17">
        <v>0</v>
      </c>
      <c r="J423" s="22" t="s">
        <v>2453</v>
      </c>
      <c r="K423" s="17">
        <v>0</v>
      </c>
      <c r="L423" s="59">
        <v>1</v>
      </c>
      <c r="M423" s="22" t="s">
        <v>2860</v>
      </c>
      <c r="N423" s="54" t="s">
        <v>2631</v>
      </c>
      <c r="P423" s="22" t="s">
        <v>2454</v>
      </c>
      <c r="R423" s="17">
        <v>1</v>
      </c>
      <c r="S423" s="17">
        <v>0</v>
      </c>
      <c r="T423" s="17">
        <v>0</v>
      </c>
      <c r="U423" s="17">
        <v>1</v>
      </c>
      <c r="V423" s="17">
        <v>1</v>
      </c>
      <c r="W423" s="17">
        <v>461</v>
      </c>
      <c r="X423" s="17">
        <v>71</v>
      </c>
      <c r="Y423" s="17">
        <v>32</v>
      </c>
      <c r="Z423" s="17">
        <f t="shared" si="47"/>
        <v>564</v>
      </c>
      <c r="AA423" s="11">
        <f t="shared" si="43"/>
        <v>0.81737588652482274</v>
      </c>
      <c r="AB423" s="11">
        <f t="shared" si="44"/>
        <v>0.12588652482269502</v>
      </c>
      <c r="AC423" s="66">
        <f t="shared" si="45"/>
        <v>0.81737588652482274</v>
      </c>
      <c r="AD423" s="67">
        <f t="shared" si="46"/>
        <v>0.72606382978723405</v>
      </c>
    </row>
    <row r="424" spans="1:30" ht="14.5" customHeight="1" x14ac:dyDescent="0.2">
      <c r="A424" t="s">
        <v>2159</v>
      </c>
      <c r="B424" s="17">
        <v>1</v>
      </c>
      <c r="C424" s="17">
        <v>0</v>
      </c>
      <c r="D424" s="22" t="s">
        <v>2359</v>
      </c>
      <c r="E424" s="22" t="s">
        <v>2234</v>
      </c>
      <c r="F424" s="17">
        <f t="shared" si="48"/>
        <v>2017</v>
      </c>
      <c r="G424" s="18">
        <v>42873</v>
      </c>
      <c r="H424" s="22" t="s">
        <v>2983</v>
      </c>
      <c r="I424" s="17">
        <v>0</v>
      </c>
      <c r="J424" s="22" t="s">
        <v>2455</v>
      </c>
      <c r="K424" s="17">
        <v>0</v>
      </c>
      <c r="L424" s="59">
        <v>1</v>
      </c>
      <c r="M424" s="22" t="s">
        <v>2542</v>
      </c>
      <c r="N424" s="48" t="s">
        <v>2629</v>
      </c>
      <c r="P424" s="22" t="s">
        <v>2456</v>
      </c>
      <c r="R424" s="17">
        <v>1</v>
      </c>
      <c r="S424" s="17">
        <v>0</v>
      </c>
      <c r="T424" s="17">
        <v>0</v>
      </c>
      <c r="U424" s="17">
        <v>1</v>
      </c>
      <c r="V424" s="17">
        <v>1</v>
      </c>
      <c r="W424" s="17">
        <v>500</v>
      </c>
      <c r="X424" s="17">
        <v>64</v>
      </c>
      <c r="Y424" s="17">
        <v>1</v>
      </c>
      <c r="Z424" s="17">
        <f t="shared" si="47"/>
        <v>565</v>
      </c>
      <c r="AA424" s="11">
        <f t="shared" si="43"/>
        <v>0.88495575221238942</v>
      </c>
      <c r="AB424" s="11">
        <f t="shared" si="44"/>
        <v>0.11327433628318584</v>
      </c>
      <c r="AC424" s="66">
        <f t="shared" si="45"/>
        <v>0.88495575221238942</v>
      </c>
      <c r="AD424" s="67">
        <f t="shared" si="46"/>
        <v>0.82743362831858402</v>
      </c>
    </row>
    <row r="425" spans="1:30" ht="14.5" customHeight="1" x14ac:dyDescent="0.2">
      <c r="A425" t="s">
        <v>2159</v>
      </c>
      <c r="B425" s="17">
        <v>1</v>
      </c>
      <c r="C425" s="17">
        <v>0</v>
      </c>
      <c r="D425" s="22" t="s">
        <v>2359</v>
      </c>
      <c r="E425" s="22" t="s">
        <v>2234</v>
      </c>
      <c r="F425" s="17">
        <f t="shared" si="48"/>
        <v>2017</v>
      </c>
      <c r="G425" s="18">
        <v>42908</v>
      </c>
      <c r="H425" s="22" t="s">
        <v>2983</v>
      </c>
      <c r="I425" s="17">
        <v>0</v>
      </c>
      <c r="J425" s="22" t="s">
        <v>2457</v>
      </c>
      <c r="K425" s="17">
        <v>0</v>
      </c>
      <c r="L425" s="59">
        <v>1</v>
      </c>
      <c r="M425" s="22" t="s">
        <v>165</v>
      </c>
      <c r="N425" s="24" t="s">
        <v>2630</v>
      </c>
      <c r="P425" s="22" t="s">
        <v>2458</v>
      </c>
      <c r="R425" s="17">
        <v>1</v>
      </c>
      <c r="S425" s="17">
        <v>0</v>
      </c>
      <c r="T425" s="17">
        <v>0</v>
      </c>
      <c r="U425" s="17">
        <v>1</v>
      </c>
      <c r="V425" s="17">
        <v>1</v>
      </c>
      <c r="W425" s="17">
        <v>513</v>
      </c>
      <c r="X425" s="17">
        <v>55</v>
      </c>
      <c r="Y425" s="17">
        <v>5</v>
      </c>
      <c r="Z425" s="17">
        <f t="shared" si="47"/>
        <v>573</v>
      </c>
      <c r="AA425" s="11">
        <f t="shared" si="43"/>
        <v>0.89528795811518325</v>
      </c>
      <c r="AB425" s="11">
        <f t="shared" si="44"/>
        <v>9.5986038394415357E-2</v>
      </c>
      <c r="AC425" s="66">
        <f t="shared" si="45"/>
        <v>0.89528795811518325</v>
      </c>
      <c r="AD425" s="67">
        <f t="shared" si="46"/>
        <v>0.84293193717277481</v>
      </c>
    </row>
    <row r="426" spans="1:30" ht="14.5" customHeight="1" x14ac:dyDescent="0.2">
      <c r="A426" t="s">
        <v>2159</v>
      </c>
      <c r="B426" s="17">
        <v>1</v>
      </c>
      <c r="C426" s="17">
        <v>0</v>
      </c>
      <c r="D426" s="22" t="s">
        <v>2359</v>
      </c>
      <c r="E426" s="22" t="s">
        <v>2234</v>
      </c>
      <c r="F426" s="17">
        <f t="shared" si="48"/>
        <v>2017</v>
      </c>
      <c r="G426" s="18">
        <v>42915</v>
      </c>
      <c r="H426" s="22" t="s">
        <v>2983</v>
      </c>
      <c r="I426" s="17">
        <v>0</v>
      </c>
      <c r="J426" s="22" t="s">
        <v>2459</v>
      </c>
      <c r="K426" s="17">
        <v>0</v>
      </c>
      <c r="L426" s="59">
        <v>1</v>
      </c>
      <c r="M426" s="5" t="s">
        <v>3033</v>
      </c>
      <c r="N426" s="22" t="s">
        <v>2627</v>
      </c>
      <c r="P426" s="22" t="s">
        <v>2460</v>
      </c>
      <c r="R426" s="17">
        <v>1</v>
      </c>
      <c r="S426" s="17">
        <v>0</v>
      </c>
      <c r="T426" s="17">
        <v>0</v>
      </c>
      <c r="U426" s="17">
        <v>1</v>
      </c>
      <c r="V426" s="17">
        <v>1</v>
      </c>
      <c r="W426" s="17">
        <v>467</v>
      </c>
      <c r="X426" s="17">
        <v>116</v>
      </c>
      <c r="Y426" s="17">
        <v>3</v>
      </c>
      <c r="Z426" s="17">
        <f t="shared" ref="Z426:Z456" si="49">W426+X426+Y426</f>
        <v>586</v>
      </c>
      <c r="AA426" s="11">
        <f t="shared" si="43"/>
        <v>0.79692832764505117</v>
      </c>
      <c r="AB426" s="11">
        <f t="shared" si="44"/>
        <v>0.19795221843003413</v>
      </c>
      <c r="AC426" s="66">
        <f t="shared" si="45"/>
        <v>0.79692832764505117</v>
      </c>
      <c r="AD426" s="67">
        <f t="shared" si="46"/>
        <v>0.69539249146757676</v>
      </c>
    </row>
    <row r="427" spans="1:30" ht="14.5" customHeight="1" x14ac:dyDescent="0.2">
      <c r="A427" t="s">
        <v>2159</v>
      </c>
      <c r="B427" s="17">
        <v>1</v>
      </c>
      <c r="C427" s="17">
        <v>0</v>
      </c>
      <c r="D427" s="22" t="s">
        <v>2359</v>
      </c>
      <c r="E427" s="22" t="s">
        <v>2234</v>
      </c>
      <c r="F427" s="17">
        <f t="shared" si="48"/>
        <v>2017</v>
      </c>
      <c r="G427" s="18">
        <v>42915</v>
      </c>
      <c r="H427" s="22" t="s">
        <v>2983</v>
      </c>
      <c r="I427" s="17">
        <v>0</v>
      </c>
      <c r="J427" s="22" t="s">
        <v>2461</v>
      </c>
      <c r="K427" s="17">
        <v>0</v>
      </c>
      <c r="L427" s="59">
        <v>1</v>
      </c>
      <c r="M427" t="s">
        <v>202</v>
      </c>
      <c r="N427" s="50" t="s">
        <v>2121</v>
      </c>
      <c r="P427" s="22" t="s">
        <v>2462</v>
      </c>
      <c r="R427" s="17">
        <v>1</v>
      </c>
      <c r="S427" s="17">
        <v>0</v>
      </c>
      <c r="T427" s="17">
        <v>0</v>
      </c>
      <c r="U427" s="17">
        <v>1</v>
      </c>
      <c r="V427" s="17">
        <v>1</v>
      </c>
      <c r="W427" s="17">
        <v>505</v>
      </c>
      <c r="X427" s="17">
        <v>59</v>
      </c>
      <c r="Y427" s="17">
        <v>7</v>
      </c>
      <c r="Z427" s="17">
        <f t="shared" si="49"/>
        <v>571</v>
      </c>
      <c r="AA427" s="11">
        <f t="shared" si="43"/>
        <v>0.88441330998248691</v>
      </c>
      <c r="AB427" s="11">
        <f t="shared" si="44"/>
        <v>0.10332749562171628</v>
      </c>
      <c r="AC427" s="66">
        <f t="shared" si="45"/>
        <v>0.88441330998248691</v>
      </c>
      <c r="AD427" s="67">
        <f t="shared" si="46"/>
        <v>0.82661996497373025</v>
      </c>
    </row>
    <row r="428" spans="1:30" ht="14.5" customHeight="1" x14ac:dyDescent="0.2">
      <c r="A428" t="s">
        <v>2159</v>
      </c>
      <c r="B428" s="38">
        <v>1</v>
      </c>
      <c r="C428" s="38">
        <v>0</v>
      </c>
      <c r="D428" s="39" t="s">
        <v>2463</v>
      </c>
      <c r="E428" s="39" t="s">
        <v>2234</v>
      </c>
      <c r="F428" s="38">
        <f t="shared" si="48"/>
        <v>2017</v>
      </c>
      <c r="G428" s="46">
        <v>43081</v>
      </c>
      <c r="H428" s="22" t="s">
        <v>2983</v>
      </c>
      <c r="I428" s="38">
        <v>0</v>
      </c>
      <c r="J428" s="39" t="s">
        <v>2471</v>
      </c>
      <c r="K428" s="38">
        <v>0</v>
      </c>
      <c r="L428" s="60">
        <v>1</v>
      </c>
      <c r="M428" s="22" t="s">
        <v>2543</v>
      </c>
      <c r="N428" s="22" t="s">
        <v>2121</v>
      </c>
      <c r="O428" s="39"/>
      <c r="P428" s="39" t="s">
        <v>2472</v>
      </c>
      <c r="Q428" s="39"/>
      <c r="R428" s="38">
        <v>1</v>
      </c>
      <c r="S428" s="38">
        <v>0</v>
      </c>
      <c r="T428" s="38">
        <v>0</v>
      </c>
      <c r="U428" s="38">
        <v>1</v>
      </c>
      <c r="V428" s="38">
        <v>1</v>
      </c>
      <c r="W428" s="38">
        <v>436</v>
      </c>
      <c r="X428" s="38">
        <v>226</v>
      </c>
      <c r="Y428" s="38">
        <v>10</v>
      </c>
      <c r="Z428" s="38">
        <f t="shared" si="49"/>
        <v>672</v>
      </c>
      <c r="AA428" s="40">
        <f t="shared" si="43"/>
        <v>0.64880952380952384</v>
      </c>
      <c r="AB428" s="40">
        <f t="shared" si="44"/>
        <v>0.33630952380952384</v>
      </c>
      <c r="AC428" s="91">
        <f t="shared" si="45"/>
        <v>0.64880952380952384</v>
      </c>
      <c r="AD428" s="67">
        <f t="shared" si="46"/>
        <v>0.4732142857142857</v>
      </c>
    </row>
    <row r="429" spans="1:30" ht="14.5" customHeight="1" x14ac:dyDescent="0.2">
      <c r="A429" t="s">
        <v>2159</v>
      </c>
      <c r="B429" s="17">
        <v>1</v>
      </c>
      <c r="C429" s="17">
        <v>0</v>
      </c>
      <c r="D429" s="22" t="s">
        <v>2463</v>
      </c>
      <c r="E429" s="22" t="s">
        <v>2234</v>
      </c>
      <c r="F429" s="17">
        <f t="shared" si="48"/>
        <v>2017</v>
      </c>
      <c r="G429" s="18">
        <v>43081</v>
      </c>
      <c r="H429" s="22" t="s">
        <v>2983</v>
      </c>
      <c r="I429" s="17">
        <v>0</v>
      </c>
      <c r="J429" s="22" t="s">
        <v>2475</v>
      </c>
      <c r="K429" s="17">
        <v>0</v>
      </c>
      <c r="L429" s="59">
        <v>1</v>
      </c>
      <c r="M429" t="s">
        <v>2571</v>
      </c>
      <c r="N429" t="s">
        <v>2121</v>
      </c>
      <c r="P429" s="22" t="s">
        <v>2476</v>
      </c>
      <c r="R429" s="17">
        <v>1</v>
      </c>
      <c r="S429" s="17">
        <v>0</v>
      </c>
      <c r="T429" s="17">
        <v>0</v>
      </c>
      <c r="U429" s="17">
        <v>1</v>
      </c>
      <c r="V429" s="17">
        <v>1</v>
      </c>
      <c r="W429" s="17">
        <v>435</v>
      </c>
      <c r="X429" s="17">
        <v>196</v>
      </c>
      <c r="Y429" s="17">
        <v>37</v>
      </c>
      <c r="Z429" s="17">
        <f t="shared" si="49"/>
        <v>668</v>
      </c>
      <c r="AA429" s="11">
        <f t="shared" si="43"/>
        <v>0.65119760479041922</v>
      </c>
      <c r="AB429" s="11">
        <f t="shared" si="44"/>
        <v>0.29341317365269459</v>
      </c>
      <c r="AC429" s="66">
        <f t="shared" si="45"/>
        <v>0.65119760479041922</v>
      </c>
      <c r="AD429" s="67">
        <f t="shared" si="46"/>
        <v>0.47679640718562877</v>
      </c>
    </row>
    <row r="430" spans="1:30" ht="14.5" customHeight="1" x14ac:dyDescent="0.2">
      <c r="A430" t="s">
        <v>2159</v>
      </c>
      <c r="B430" s="17">
        <v>1</v>
      </c>
      <c r="C430" s="17">
        <v>0</v>
      </c>
      <c r="D430" s="22" t="s">
        <v>2463</v>
      </c>
      <c r="E430" s="22" t="s">
        <v>2234</v>
      </c>
      <c r="F430" s="17">
        <f t="shared" si="48"/>
        <v>2017</v>
      </c>
      <c r="G430" s="18">
        <v>43081</v>
      </c>
      <c r="H430" s="22" t="s">
        <v>2983</v>
      </c>
      <c r="I430" s="17">
        <v>0</v>
      </c>
      <c r="J430" s="22" t="s">
        <v>2473</v>
      </c>
      <c r="K430" s="17">
        <v>0</v>
      </c>
      <c r="L430" s="59">
        <v>1</v>
      </c>
      <c r="M430" s="22" t="s">
        <v>247</v>
      </c>
      <c r="N430" s="5" t="s">
        <v>2629</v>
      </c>
      <c r="P430" s="22" t="s">
        <v>2474</v>
      </c>
      <c r="R430" s="17">
        <v>1</v>
      </c>
      <c r="S430" s="17">
        <v>0</v>
      </c>
      <c r="T430" s="17">
        <v>0</v>
      </c>
      <c r="U430" s="17">
        <v>1</v>
      </c>
      <c r="V430" s="17">
        <v>1</v>
      </c>
      <c r="W430" s="17">
        <v>504</v>
      </c>
      <c r="X430" s="17">
        <v>158</v>
      </c>
      <c r="Y430" s="17">
        <v>4</v>
      </c>
      <c r="Z430" s="17">
        <f t="shared" si="49"/>
        <v>666</v>
      </c>
      <c r="AA430" s="11">
        <f t="shared" si="43"/>
        <v>0.7567567567567568</v>
      </c>
      <c r="AB430" s="11">
        <f t="shared" si="44"/>
        <v>0.23723723723723725</v>
      </c>
      <c r="AC430" s="66">
        <f t="shared" si="45"/>
        <v>0.7567567567567568</v>
      </c>
      <c r="AD430" s="67">
        <f t="shared" si="46"/>
        <v>0.63513513513513509</v>
      </c>
    </row>
    <row r="431" spans="1:30" ht="14.5" customHeight="1" x14ac:dyDescent="0.2">
      <c r="A431" t="s">
        <v>2159</v>
      </c>
      <c r="B431" s="17">
        <v>1</v>
      </c>
      <c r="C431" s="17">
        <v>0</v>
      </c>
      <c r="D431" s="22" t="s">
        <v>2463</v>
      </c>
      <c r="E431" s="22" t="s">
        <v>2234</v>
      </c>
      <c r="F431" s="17">
        <f t="shared" si="48"/>
        <v>2017</v>
      </c>
      <c r="G431" s="18">
        <v>43081</v>
      </c>
      <c r="H431" s="22" t="s">
        <v>2983</v>
      </c>
      <c r="I431" s="17">
        <v>0</v>
      </c>
      <c r="J431" s="22" t="s">
        <v>2421</v>
      </c>
      <c r="K431" s="17">
        <v>0</v>
      </c>
      <c r="L431" s="59">
        <v>1</v>
      </c>
      <c r="M431" s="22" t="s">
        <v>2555</v>
      </c>
      <c r="N431" s="22" t="s">
        <v>422</v>
      </c>
      <c r="P431" s="22" t="s">
        <v>2468</v>
      </c>
      <c r="R431" s="17">
        <v>1</v>
      </c>
      <c r="S431" s="17">
        <v>0</v>
      </c>
      <c r="T431" s="17">
        <v>0</v>
      </c>
      <c r="U431" s="17">
        <v>1</v>
      </c>
      <c r="V431" s="17">
        <v>1</v>
      </c>
      <c r="W431" s="17">
        <v>458</v>
      </c>
      <c r="X431" s="17">
        <v>198</v>
      </c>
      <c r="Y431" s="17">
        <v>12</v>
      </c>
      <c r="Z431" s="17">
        <f t="shared" si="49"/>
        <v>668</v>
      </c>
      <c r="AA431" s="11">
        <f t="shared" si="43"/>
        <v>0.68562874251497008</v>
      </c>
      <c r="AB431" s="11">
        <f t="shared" si="44"/>
        <v>0.29640718562874252</v>
      </c>
      <c r="AC431" s="66">
        <f t="shared" si="45"/>
        <v>0.68562874251497008</v>
      </c>
      <c r="AD431" s="67">
        <f t="shared" si="46"/>
        <v>0.52844311377245512</v>
      </c>
    </row>
    <row r="432" spans="1:30" ht="14.5" customHeight="1" x14ac:dyDescent="0.2">
      <c r="A432" t="s">
        <v>2159</v>
      </c>
      <c r="B432" s="17">
        <v>1</v>
      </c>
      <c r="C432" s="17">
        <v>0</v>
      </c>
      <c r="D432" s="22" t="s">
        <v>2463</v>
      </c>
      <c r="E432" s="22" t="s">
        <v>2234</v>
      </c>
      <c r="F432" s="17">
        <f t="shared" si="48"/>
        <v>2017</v>
      </c>
      <c r="G432" s="18">
        <v>43081</v>
      </c>
      <c r="H432" s="22" t="s">
        <v>2983</v>
      </c>
      <c r="I432" s="17">
        <v>0</v>
      </c>
      <c r="J432" s="22" t="s">
        <v>2469</v>
      </c>
      <c r="K432" s="17">
        <v>0</v>
      </c>
      <c r="L432" s="59">
        <v>1</v>
      </c>
      <c r="M432" s="22" t="s">
        <v>2557</v>
      </c>
      <c r="N432" s="22" t="s">
        <v>2627</v>
      </c>
      <c r="P432" s="22" t="s">
        <v>2470</v>
      </c>
      <c r="R432" s="17">
        <v>1</v>
      </c>
      <c r="S432" s="17">
        <v>0</v>
      </c>
      <c r="T432" s="17">
        <v>0</v>
      </c>
      <c r="U432" s="17">
        <v>1</v>
      </c>
      <c r="V432" s="17">
        <v>1</v>
      </c>
      <c r="W432" s="17">
        <v>530</v>
      </c>
      <c r="X432" s="17">
        <v>137</v>
      </c>
      <c r="Y432" s="17">
        <v>4</v>
      </c>
      <c r="Z432" s="17">
        <f t="shared" si="49"/>
        <v>671</v>
      </c>
      <c r="AA432" s="11">
        <f t="shared" si="43"/>
        <v>0.78986587183308499</v>
      </c>
      <c r="AB432" s="11">
        <f t="shared" si="44"/>
        <v>0.20417287630402384</v>
      </c>
      <c r="AC432" s="66">
        <f t="shared" si="45"/>
        <v>0.78986587183308499</v>
      </c>
      <c r="AD432" s="67">
        <f t="shared" si="46"/>
        <v>0.68479880774962743</v>
      </c>
    </row>
    <row r="433" spans="1:32" ht="14.5" customHeight="1" x14ac:dyDescent="0.2">
      <c r="A433" t="s">
        <v>2159</v>
      </c>
      <c r="B433" s="17">
        <v>1</v>
      </c>
      <c r="C433" s="17">
        <v>0</v>
      </c>
      <c r="D433" s="22" t="s">
        <v>2463</v>
      </c>
      <c r="E433" s="22" t="s">
        <v>2234</v>
      </c>
      <c r="F433" s="17">
        <f t="shared" si="48"/>
        <v>2017</v>
      </c>
      <c r="G433" s="18">
        <v>43082</v>
      </c>
      <c r="H433" s="22" t="s">
        <v>2983</v>
      </c>
      <c r="I433" s="17">
        <v>0</v>
      </c>
      <c r="J433" s="22" t="s">
        <v>2464</v>
      </c>
      <c r="K433" s="17">
        <v>0</v>
      </c>
      <c r="L433" s="59">
        <v>1</v>
      </c>
      <c r="M433" s="22" t="s">
        <v>2575</v>
      </c>
      <c r="N433" s="22" t="s">
        <v>2629</v>
      </c>
      <c r="P433" s="22" t="s">
        <v>2465</v>
      </c>
      <c r="R433" s="17">
        <v>1</v>
      </c>
      <c r="S433" s="17">
        <v>0</v>
      </c>
      <c r="T433" s="17">
        <v>0</v>
      </c>
      <c r="U433" s="17">
        <v>1</v>
      </c>
      <c r="V433" s="17">
        <v>1</v>
      </c>
      <c r="W433" s="17">
        <v>606</v>
      </c>
      <c r="X433" s="17">
        <v>72</v>
      </c>
      <c r="Y433" s="17">
        <v>0</v>
      </c>
      <c r="Z433" s="17">
        <f t="shared" si="49"/>
        <v>678</v>
      </c>
      <c r="AA433" s="11">
        <f t="shared" si="43"/>
        <v>0.89380530973451322</v>
      </c>
      <c r="AB433" s="11">
        <f t="shared" si="44"/>
        <v>0.10619469026548672</v>
      </c>
      <c r="AC433" s="66">
        <f t="shared" si="45"/>
        <v>0.89380530973451322</v>
      </c>
      <c r="AD433" s="67">
        <f t="shared" si="46"/>
        <v>0.84070796460176989</v>
      </c>
    </row>
    <row r="434" spans="1:32" ht="14.5" customHeight="1" x14ac:dyDescent="0.2">
      <c r="A434" t="s">
        <v>2159</v>
      </c>
      <c r="B434" s="17">
        <v>1</v>
      </c>
      <c r="C434" s="17">
        <v>0</v>
      </c>
      <c r="D434" s="22" t="s">
        <v>2463</v>
      </c>
      <c r="E434" s="22" t="s">
        <v>2234</v>
      </c>
      <c r="F434" s="17">
        <f t="shared" si="48"/>
        <v>2017</v>
      </c>
      <c r="G434" s="18">
        <v>43082</v>
      </c>
      <c r="H434" s="22" t="s">
        <v>2983</v>
      </c>
      <c r="I434" s="17">
        <v>0</v>
      </c>
      <c r="J434" s="22" t="s">
        <v>2466</v>
      </c>
      <c r="K434" s="17">
        <v>0</v>
      </c>
      <c r="L434" s="59">
        <v>1</v>
      </c>
      <c r="M434" s="22" t="s">
        <v>2577</v>
      </c>
      <c r="N434" s="22" t="s">
        <v>2629</v>
      </c>
      <c r="P434" s="22" t="s">
        <v>2467</v>
      </c>
      <c r="R434" s="17">
        <v>1</v>
      </c>
      <c r="S434" s="17">
        <v>0</v>
      </c>
      <c r="T434" s="17">
        <v>0</v>
      </c>
      <c r="U434" s="17">
        <v>1</v>
      </c>
      <c r="V434" s="17">
        <v>1</v>
      </c>
      <c r="W434" s="17">
        <v>601</v>
      </c>
      <c r="X434" s="17">
        <v>68</v>
      </c>
      <c r="Y434" s="17">
        <v>0</v>
      </c>
      <c r="Z434" s="17">
        <f t="shared" si="49"/>
        <v>669</v>
      </c>
      <c r="AA434" s="11">
        <f t="shared" si="43"/>
        <v>0.89835575485799701</v>
      </c>
      <c r="AB434" s="11">
        <f t="shared" si="44"/>
        <v>0.10164424514200299</v>
      </c>
      <c r="AC434" s="66">
        <f t="shared" si="45"/>
        <v>0.89835575485799701</v>
      </c>
      <c r="AD434" s="67">
        <f t="shared" si="46"/>
        <v>0.84753363228699552</v>
      </c>
    </row>
    <row r="435" spans="1:32" ht="14.5" customHeight="1" x14ac:dyDescent="0.2">
      <c r="A435" t="s">
        <v>2159</v>
      </c>
      <c r="B435" s="17">
        <v>1</v>
      </c>
      <c r="C435" s="17">
        <v>0</v>
      </c>
      <c r="D435" s="22" t="s">
        <v>2477</v>
      </c>
      <c r="E435" s="22" t="s">
        <v>2234</v>
      </c>
      <c r="F435" s="17">
        <f t="shared" si="48"/>
        <v>2018</v>
      </c>
      <c r="G435" s="18">
        <v>43181</v>
      </c>
      <c r="H435" s="22" t="s">
        <v>2983</v>
      </c>
      <c r="I435" s="17">
        <v>0</v>
      </c>
      <c r="J435" s="22" t="s">
        <v>2478</v>
      </c>
      <c r="K435" s="17">
        <v>0</v>
      </c>
      <c r="L435" s="59">
        <v>1</v>
      </c>
      <c r="M435" t="s">
        <v>2572</v>
      </c>
      <c r="N435" s="24" t="s">
        <v>2121</v>
      </c>
      <c r="P435" s="22" t="s">
        <v>2479</v>
      </c>
      <c r="R435" s="17">
        <v>1</v>
      </c>
      <c r="S435" s="17">
        <v>0</v>
      </c>
      <c r="T435" s="17">
        <v>0</v>
      </c>
      <c r="U435" s="17">
        <v>1</v>
      </c>
      <c r="V435" s="17">
        <v>0</v>
      </c>
      <c r="W435" s="17">
        <v>359</v>
      </c>
      <c r="X435" s="17">
        <v>218</v>
      </c>
      <c r="Y435" s="17">
        <v>79</v>
      </c>
      <c r="Z435" s="17">
        <f t="shared" si="49"/>
        <v>656</v>
      </c>
      <c r="AA435" s="11">
        <f t="shared" si="43"/>
        <v>0.5472560975609756</v>
      </c>
      <c r="AB435" s="11">
        <f t="shared" si="44"/>
        <v>0.33231707317073172</v>
      </c>
      <c r="AC435" s="66">
        <f t="shared" si="45"/>
        <v>0.5472560975609756</v>
      </c>
      <c r="AD435" s="67">
        <f t="shared" si="46"/>
        <v>0.32088414634146339</v>
      </c>
    </row>
    <row r="436" spans="1:32" ht="14" customHeight="1" x14ac:dyDescent="0.2">
      <c r="A436" t="s">
        <v>2159</v>
      </c>
      <c r="B436" s="17">
        <v>1</v>
      </c>
      <c r="C436" s="17">
        <v>0</v>
      </c>
      <c r="D436" s="22" t="s">
        <v>2477</v>
      </c>
      <c r="E436" s="22" t="s">
        <v>2234</v>
      </c>
      <c r="F436" s="17">
        <f t="shared" si="48"/>
        <v>2018</v>
      </c>
      <c r="G436" s="18">
        <v>43181</v>
      </c>
      <c r="H436" s="22" t="s">
        <v>2983</v>
      </c>
      <c r="I436" s="17">
        <v>0</v>
      </c>
      <c r="J436" s="22" t="s">
        <v>2480</v>
      </c>
      <c r="K436" s="17">
        <v>0</v>
      </c>
      <c r="L436" s="59">
        <v>1</v>
      </c>
      <c r="M436" s="22" t="s">
        <v>2555</v>
      </c>
      <c r="N436" s="22" t="s">
        <v>422</v>
      </c>
      <c r="P436" s="22" t="s">
        <v>2481</v>
      </c>
      <c r="R436" s="17">
        <v>1</v>
      </c>
      <c r="S436" s="17">
        <v>0</v>
      </c>
      <c r="T436" s="17">
        <v>0</v>
      </c>
      <c r="U436" s="17">
        <v>1</v>
      </c>
      <c r="V436" s="17">
        <v>1</v>
      </c>
      <c r="W436" s="17">
        <v>447</v>
      </c>
      <c r="X436" s="17">
        <v>180</v>
      </c>
      <c r="Y436" s="17">
        <v>16</v>
      </c>
      <c r="Z436" s="17">
        <f t="shared" si="49"/>
        <v>643</v>
      </c>
      <c r="AA436" s="11">
        <f t="shared" si="43"/>
        <v>0.69517884914463457</v>
      </c>
      <c r="AB436" s="11">
        <f t="shared" si="44"/>
        <v>0.27993779160186627</v>
      </c>
      <c r="AC436" s="66">
        <f t="shared" si="45"/>
        <v>0.69517884914463457</v>
      </c>
      <c r="AD436" s="67">
        <f t="shared" si="46"/>
        <v>0.5427682737169518</v>
      </c>
    </row>
    <row r="437" spans="1:32" ht="14" customHeight="1" x14ac:dyDescent="0.2">
      <c r="A437" t="s">
        <v>2159</v>
      </c>
      <c r="B437" s="17">
        <v>1</v>
      </c>
      <c r="C437" s="17">
        <v>0</v>
      </c>
      <c r="D437" s="22" t="s">
        <v>2477</v>
      </c>
      <c r="E437" s="22" t="s">
        <v>2234</v>
      </c>
      <c r="F437" s="17">
        <f t="shared" si="48"/>
        <v>2018</v>
      </c>
      <c r="G437" s="18">
        <v>43181</v>
      </c>
      <c r="H437" s="22" t="s">
        <v>2983</v>
      </c>
      <c r="I437" s="17">
        <v>0</v>
      </c>
      <c r="J437" s="22" t="s">
        <v>2486</v>
      </c>
      <c r="K437" s="17">
        <v>0</v>
      </c>
      <c r="L437" s="59">
        <v>1</v>
      </c>
      <c r="M437" s="22" t="s">
        <v>2557</v>
      </c>
      <c r="N437" s="22" t="s">
        <v>2627</v>
      </c>
      <c r="P437" s="22" t="s">
        <v>2487</v>
      </c>
      <c r="R437" s="17">
        <v>1</v>
      </c>
      <c r="S437" s="17">
        <v>0</v>
      </c>
      <c r="T437" s="17">
        <v>0</v>
      </c>
      <c r="U437" s="17">
        <v>1</v>
      </c>
      <c r="V437" s="17">
        <v>1</v>
      </c>
      <c r="W437" s="17">
        <v>436</v>
      </c>
      <c r="X437" s="17">
        <v>197</v>
      </c>
      <c r="Y437" s="17">
        <v>6</v>
      </c>
      <c r="Z437" s="17">
        <f t="shared" si="49"/>
        <v>639</v>
      </c>
      <c r="AA437" s="11">
        <f t="shared" si="43"/>
        <v>0.68231611893583721</v>
      </c>
      <c r="AB437" s="11">
        <f t="shared" si="44"/>
        <v>0.30829420970266042</v>
      </c>
      <c r="AC437" s="66">
        <f t="shared" si="45"/>
        <v>0.68231611893583721</v>
      </c>
      <c r="AD437" s="67">
        <f t="shared" si="46"/>
        <v>0.52347417840375587</v>
      </c>
    </row>
    <row r="438" spans="1:32" ht="14" customHeight="1" x14ac:dyDescent="0.2">
      <c r="A438" t="s">
        <v>2159</v>
      </c>
      <c r="B438" s="17">
        <v>1</v>
      </c>
      <c r="C438" s="17">
        <v>0</v>
      </c>
      <c r="D438" s="22" t="s">
        <v>2477</v>
      </c>
      <c r="E438" s="22" t="s">
        <v>2234</v>
      </c>
      <c r="F438" s="17">
        <f t="shared" si="48"/>
        <v>2018</v>
      </c>
      <c r="G438" s="18">
        <v>43181</v>
      </c>
      <c r="H438" s="22" t="s">
        <v>2983</v>
      </c>
      <c r="I438" s="17">
        <v>0</v>
      </c>
      <c r="J438" s="22" t="s">
        <v>2484</v>
      </c>
      <c r="K438" s="17">
        <v>0</v>
      </c>
      <c r="L438" s="59">
        <v>1</v>
      </c>
      <c r="M438" s="22" t="s">
        <v>2575</v>
      </c>
      <c r="N438" s="22" t="s">
        <v>2629</v>
      </c>
      <c r="P438" s="22" t="s">
        <v>2485</v>
      </c>
      <c r="R438" s="17">
        <v>1</v>
      </c>
      <c r="S438" s="17">
        <v>0</v>
      </c>
      <c r="T438" s="17">
        <v>0</v>
      </c>
      <c r="U438" s="17">
        <v>1</v>
      </c>
      <c r="V438" s="17">
        <v>1</v>
      </c>
      <c r="W438" s="17">
        <v>580</v>
      </c>
      <c r="X438" s="17">
        <v>57</v>
      </c>
      <c r="Y438" s="17">
        <v>4</v>
      </c>
      <c r="Z438" s="17">
        <f t="shared" si="49"/>
        <v>641</v>
      </c>
      <c r="AA438" s="11">
        <f t="shared" si="43"/>
        <v>0.90483619344773791</v>
      </c>
      <c r="AB438" s="11">
        <f t="shared" si="44"/>
        <v>8.8923556942277687E-2</v>
      </c>
      <c r="AC438" s="66">
        <f t="shared" si="45"/>
        <v>0.90483619344773791</v>
      </c>
      <c r="AD438" s="67">
        <f t="shared" si="46"/>
        <v>0.85725429017160681</v>
      </c>
    </row>
    <row r="439" spans="1:32" ht="14" customHeight="1" x14ac:dyDescent="0.2">
      <c r="A439" t="s">
        <v>2159</v>
      </c>
      <c r="B439" s="17">
        <v>1</v>
      </c>
      <c r="C439" s="17">
        <v>0</v>
      </c>
      <c r="D439" s="22" t="s">
        <v>2477</v>
      </c>
      <c r="E439" s="22" t="s">
        <v>2234</v>
      </c>
      <c r="F439" s="17">
        <f t="shared" si="48"/>
        <v>2018</v>
      </c>
      <c r="G439" s="18">
        <v>43181</v>
      </c>
      <c r="H439" s="22" t="s">
        <v>2983</v>
      </c>
      <c r="I439" s="17">
        <v>0</v>
      </c>
      <c r="J439" s="22" t="s">
        <v>2482</v>
      </c>
      <c r="K439" s="17">
        <v>0</v>
      </c>
      <c r="L439" s="59">
        <v>1</v>
      </c>
      <c r="M439" s="22" t="s">
        <v>2577</v>
      </c>
      <c r="N439" s="22" t="s">
        <v>2629</v>
      </c>
      <c r="P439" s="22" t="s">
        <v>2483</v>
      </c>
      <c r="R439" s="17">
        <v>1</v>
      </c>
      <c r="S439" s="17">
        <v>0</v>
      </c>
      <c r="T439" s="17">
        <v>0</v>
      </c>
      <c r="U439" s="17">
        <v>1</v>
      </c>
      <c r="V439" s="17">
        <v>1</v>
      </c>
      <c r="W439" s="17">
        <v>578</v>
      </c>
      <c r="X439" s="17">
        <v>59</v>
      </c>
      <c r="Y439" s="17">
        <v>4</v>
      </c>
      <c r="Z439" s="17">
        <f t="shared" si="49"/>
        <v>641</v>
      </c>
      <c r="AA439" s="11">
        <f t="shared" si="43"/>
        <v>0.90171606864274567</v>
      </c>
      <c r="AB439" s="11">
        <f t="shared" si="44"/>
        <v>9.2043681747269887E-2</v>
      </c>
      <c r="AC439" s="66">
        <f t="shared" si="45"/>
        <v>0.90171606864274567</v>
      </c>
      <c r="AD439" s="67">
        <f t="shared" si="46"/>
        <v>0.85257410296411862</v>
      </c>
    </row>
    <row r="440" spans="1:32" ht="14" customHeight="1" x14ac:dyDescent="0.2">
      <c r="A440" t="s">
        <v>2159</v>
      </c>
      <c r="B440" s="17">
        <v>1</v>
      </c>
      <c r="C440" s="17">
        <v>0</v>
      </c>
      <c r="D440" s="22" t="s">
        <v>2477</v>
      </c>
      <c r="E440" s="22" t="s">
        <v>2234</v>
      </c>
      <c r="F440" s="17">
        <f t="shared" si="48"/>
        <v>2018</v>
      </c>
      <c r="G440" s="18">
        <v>43216</v>
      </c>
      <c r="H440" s="22" t="s">
        <v>2983</v>
      </c>
      <c r="I440" s="17">
        <v>0</v>
      </c>
      <c r="J440" s="22" t="s">
        <v>2453</v>
      </c>
      <c r="K440" s="17">
        <v>0</v>
      </c>
      <c r="L440" s="59">
        <v>1</v>
      </c>
      <c r="M440" s="22" t="s">
        <v>2860</v>
      </c>
      <c r="N440" s="54" t="s">
        <v>2631</v>
      </c>
      <c r="P440" s="22" t="s">
        <v>2490</v>
      </c>
      <c r="R440" s="17">
        <v>1</v>
      </c>
      <c r="S440" s="17">
        <v>0</v>
      </c>
      <c r="T440" s="17">
        <v>0</v>
      </c>
      <c r="U440" s="17">
        <v>1</v>
      </c>
      <c r="V440" s="17">
        <v>1</v>
      </c>
      <c r="W440" s="17">
        <v>531</v>
      </c>
      <c r="X440" s="17">
        <v>78</v>
      </c>
      <c r="Y440" s="17">
        <v>35</v>
      </c>
      <c r="Z440" s="17">
        <f t="shared" si="49"/>
        <v>644</v>
      </c>
      <c r="AA440" s="11">
        <f t="shared" si="43"/>
        <v>0.82453416149068326</v>
      </c>
      <c r="AB440" s="11">
        <f t="shared" si="44"/>
        <v>0.12111801242236025</v>
      </c>
      <c r="AC440" s="66">
        <f t="shared" si="45"/>
        <v>0.82453416149068326</v>
      </c>
      <c r="AD440" s="67">
        <f t="shared" si="46"/>
        <v>0.73680124223602483</v>
      </c>
    </row>
    <row r="441" spans="1:32" ht="14" customHeight="1" x14ac:dyDescent="0.2">
      <c r="A441" t="s">
        <v>2159</v>
      </c>
      <c r="B441" s="17">
        <v>1</v>
      </c>
      <c r="C441" s="17">
        <v>0</v>
      </c>
      <c r="D441" s="22" t="s">
        <v>2477</v>
      </c>
      <c r="E441" s="22" t="s">
        <v>2234</v>
      </c>
      <c r="F441" s="17">
        <f t="shared" si="48"/>
        <v>2018</v>
      </c>
      <c r="G441" s="18">
        <v>43216</v>
      </c>
      <c r="H441" s="22" t="s">
        <v>2983</v>
      </c>
      <c r="I441" s="17">
        <v>0</v>
      </c>
      <c r="J441" s="22" t="s">
        <v>2455</v>
      </c>
      <c r="K441" s="17">
        <v>0</v>
      </c>
      <c r="L441" s="59">
        <v>1</v>
      </c>
      <c r="M441" s="22" t="s">
        <v>2542</v>
      </c>
      <c r="N441" s="48" t="s">
        <v>2629</v>
      </c>
      <c r="P441" s="22" t="s">
        <v>2491</v>
      </c>
      <c r="R441" s="17">
        <v>1</v>
      </c>
      <c r="S441" s="17">
        <v>0</v>
      </c>
      <c r="T441" s="17">
        <v>0</v>
      </c>
      <c r="U441" s="17">
        <v>1</v>
      </c>
      <c r="V441" s="17">
        <v>1</v>
      </c>
      <c r="W441" s="17">
        <v>486</v>
      </c>
      <c r="X441" s="17">
        <v>144</v>
      </c>
      <c r="Y441" s="17">
        <v>2</v>
      </c>
      <c r="Z441" s="17">
        <f t="shared" si="49"/>
        <v>632</v>
      </c>
      <c r="AA441" s="11">
        <f t="shared" si="43"/>
        <v>0.76898734177215189</v>
      </c>
      <c r="AB441" s="11">
        <f t="shared" si="44"/>
        <v>0.22784810126582278</v>
      </c>
      <c r="AC441" s="66">
        <f t="shared" si="45"/>
        <v>0.76898734177215189</v>
      </c>
      <c r="AD441" s="67">
        <f t="shared" si="46"/>
        <v>0.65348101265822789</v>
      </c>
    </row>
    <row r="442" spans="1:32" ht="14" customHeight="1" x14ac:dyDescent="0.2">
      <c r="A442" t="s">
        <v>2159</v>
      </c>
      <c r="B442" s="17">
        <v>1</v>
      </c>
      <c r="C442" s="17">
        <v>0</v>
      </c>
      <c r="D442" s="22" t="s">
        <v>2477</v>
      </c>
      <c r="E442" s="22" t="s">
        <v>2234</v>
      </c>
      <c r="F442" s="17">
        <f t="shared" si="48"/>
        <v>2018</v>
      </c>
      <c r="G442" s="18">
        <v>43216</v>
      </c>
      <c r="H442" s="22" t="s">
        <v>2983</v>
      </c>
      <c r="I442" s="17">
        <v>0</v>
      </c>
      <c r="J442" s="22" t="s">
        <v>2488</v>
      </c>
      <c r="K442" s="17">
        <v>0</v>
      </c>
      <c r="L442" s="59">
        <v>1</v>
      </c>
      <c r="M442" s="22" t="s">
        <v>247</v>
      </c>
      <c r="N442" s="5" t="s">
        <v>2629</v>
      </c>
      <c r="P442" s="22" t="s">
        <v>2489</v>
      </c>
      <c r="R442" s="17">
        <v>1</v>
      </c>
      <c r="S442" s="17">
        <v>0</v>
      </c>
      <c r="T442" s="17">
        <v>0</v>
      </c>
      <c r="U442" s="17">
        <v>1</v>
      </c>
      <c r="V442" s="17">
        <v>1</v>
      </c>
      <c r="W442" s="17">
        <v>496</v>
      </c>
      <c r="X442" s="17">
        <v>156</v>
      </c>
      <c r="Y442" s="17">
        <v>4</v>
      </c>
      <c r="Z442" s="17">
        <f t="shared" si="49"/>
        <v>656</v>
      </c>
      <c r="AA442" s="11">
        <f t="shared" si="43"/>
        <v>0.75609756097560976</v>
      </c>
      <c r="AB442" s="11">
        <f t="shared" si="44"/>
        <v>0.23780487804878048</v>
      </c>
      <c r="AC442" s="66">
        <f t="shared" si="45"/>
        <v>0.75609756097560976</v>
      </c>
      <c r="AD442" s="67">
        <f t="shared" si="46"/>
        <v>0.63414634146341464</v>
      </c>
    </row>
    <row r="443" spans="1:32" ht="14" customHeight="1" x14ac:dyDescent="0.2">
      <c r="A443" t="s">
        <v>2159</v>
      </c>
      <c r="B443" s="17">
        <v>1</v>
      </c>
      <c r="C443" s="17">
        <v>0</v>
      </c>
      <c r="D443" s="22" t="s">
        <v>2477</v>
      </c>
      <c r="E443" s="22" t="s">
        <v>2234</v>
      </c>
      <c r="F443" s="17">
        <f t="shared" si="48"/>
        <v>2018</v>
      </c>
      <c r="G443" s="18">
        <v>43265</v>
      </c>
      <c r="H443" s="22" t="s">
        <v>2983</v>
      </c>
      <c r="I443" s="17">
        <v>0</v>
      </c>
      <c r="J443" s="22" t="s">
        <v>2459</v>
      </c>
      <c r="K443" s="17">
        <v>0</v>
      </c>
      <c r="L443" s="59">
        <v>1</v>
      </c>
      <c r="M443" s="5" t="s">
        <v>3033</v>
      </c>
      <c r="N443" s="22" t="s">
        <v>2627</v>
      </c>
      <c r="P443" s="22" t="s">
        <v>2492</v>
      </c>
      <c r="R443" s="17">
        <v>1</v>
      </c>
      <c r="S443" s="17">
        <v>0</v>
      </c>
      <c r="T443" s="17">
        <v>0</v>
      </c>
      <c r="U443" s="17">
        <v>1</v>
      </c>
      <c r="V443" s="17">
        <v>1</v>
      </c>
      <c r="W443" s="17">
        <v>445</v>
      </c>
      <c r="X443" s="17">
        <v>210</v>
      </c>
      <c r="Y443" s="17">
        <v>2</v>
      </c>
      <c r="Z443" s="17">
        <f t="shared" si="49"/>
        <v>657</v>
      </c>
      <c r="AA443" s="11">
        <f t="shared" ref="AA443:AA456" si="50">W443/Z443</f>
        <v>0.67732115677321159</v>
      </c>
      <c r="AB443" s="11">
        <f t="shared" ref="AB443:AB456" si="51">X443/Z443</f>
        <v>0.31963470319634701</v>
      </c>
      <c r="AC443" s="66">
        <f t="shared" ref="AC443:AC456" si="52">IF(K443=1,AB443,AA443)</f>
        <v>0.67732115677321159</v>
      </c>
      <c r="AD443" s="67">
        <f t="shared" ref="AD443:AD456" si="53">SUM((MAX(W443,X443,Y443)-0.5*(SUM(W443+X443+Y443)-MAX(W443,X443,Y443)))/SUM(W443+X443+Y443))</f>
        <v>0.51598173515981738</v>
      </c>
    </row>
    <row r="444" spans="1:32" ht="14" customHeight="1" x14ac:dyDescent="0.2">
      <c r="A444" t="s">
        <v>2159</v>
      </c>
      <c r="B444" s="17">
        <v>1</v>
      </c>
      <c r="C444" s="17">
        <v>0</v>
      </c>
      <c r="D444" s="22" t="s">
        <v>2477</v>
      </c>
      <c r="E444" s="22" t="s">
        <v>2234</v>
      </c>
      <c r="F444" s="17">
        <f t="shared" si="48"/>
        <v>2018</v>
      </c>
      <c r="G444" s="18">
        <v>43265</v>
      </c>
      <c r="H444" s="22" t="s">
        <v>2983</v>
      </c>
      <c r="I444" s="17">
        <v>0</v>
      </c>
      <c r="J444" s="22" t="s">
        <v>2495</v>
      </c>
      <c r="K444" s="17">
        <v>0</v>
      </c>
      <c r="L444" s="59">
        <v>1</v>
      </c>
      <c r="M444" s="22" t="s">
        <v>165</v>
      </c>
      <c r="N444" s="24" t="s">
        <v>2630</v>
      </c>
      <c r="P444" s="22" t="s">
        <v>2496</v>
      </c>
      <c r="R444" s="17">
        <v>1</v>
      </c>
      <c r="S444" s="17">
        <v>0</v>
      </c>
      <c r="T444" s="17">
        <v>0</v>
      </c>
      <c r="U444" s="17">
        <v>1</v>
      </c>
      <c r="V444" s="17">
        <v>1</v>
      </c>
      <c r="W444" s="17">
        <v>508</v>
      </c>
      <c r="X444" s="17">
        <v>136</v>
      </c>
      <c r="Y444" s="17">
        <v>4</v>
      </c>
      <c r="Z444" s="17">
        <f t="shared" si="49"/>
        <v>648</v>
      </c>
      <c r="AA444" s="11">
        <f t="shared" si="50"/>
        <v>0.78395061728395066</v>
      </c>
      <c r="AB444" s="11">
        <f t="shared" si="51"/>
        <v>0.20987654320987653</v>
      </c>
      <c r="AC444" s="66">
        <f t="shared" si="52"/>
        <v>0.78395061728395066</v>
      </c>
      <c r="AD444" s="67">
        <f t="shared" si="53"/>
        <v>0.67592592592592593</v>
      </c>
    </row>
    <row r="445" spans="1:32" ht="14" customHeight="1" x14ac:dyDescent="0.2">
      <c r="A445" t="s">
        <v>2159</v>
      </c>
      <c r="B445" s="17">
        <v>1</v>
      </c>
      <c r="C445" s="17">
        <v>0</v>
      </c>
      <c r="D445" s="22" t="s">
        <v>2477</v>
      </c>
      <c r="E445" s="22" t="s">
        <v>2234</v>
      </c>
      <c r="F445" s="17">
        <f t="shared" si="48"/>
        <v>2018</v>
      </c>
      <c r="G445" s="18">
        <v>43265</v>
      </c>
      <c r="H445" s="22" t="s">
        <v>2983</v>
      </c>
      <c r="I445" s="17">
        <v>0</v>
      </c>
      <c r="J445" s="22" t="s">
        <v>2493</v>
      </c>
      <c r="K445" s="17">
        <v>0</v>
      </c>
      <c r="L445" s="59">
        <v>1</v>
      </c>
      <c r="M445" t="s">
        <v>202</v>
      </c>
      <c r="N445" s="50" t="s">
        <v>2121</v>
      </c>
      <c r="P445" s="22" t="s">
        <v>2494</v>
      </c>
      <c r="R445" s="17">
        <v>1</v>
      </c>
      <c r="S445" s="17">
        <v>0</v>
      </c>
      <c r="T445" s="17">
        <v>0</v>
      </c>
      <c r="U445" s="17">
        <v>1</v>
      </c>
      <c r="V445" s="17">
        <v>1</v>
      </c>
      <c r="W445" s="17">
        <v>512</v>
      </c>
      <c r="X445" s="17">
        <v>143</v>
      </c>
      <c r="Y445" s="17">
        <v>3</v>
      </c>
      <c r="Z445" s="17">
        <f t="shared" si="49"/>
        <v>658</v>
      </c>
      <c r="AA445" s="11">
        <f t="shared" si="50"/>
        <v>0.77811550151975684</v>
      </c>
      <c r="AB445" s="11">
        <f t="shared" si="51"/>
        <v>0.21732522796352582</v>
      </c>
      <c r="AC445" s="66">
        <f t="shared" si="52"/>
        <v>0.77811550151975684</v>
      </c>
      <c r="AD445" s="67">
        <f t="shared" si="53"/>
        <v>0.66717325227963531</v>
      </c>
    </row>
    <row r="446" spans="1:32" ht="14" customHeight="1" x14ac:dyDescent="0.2">
      <c r="A446" t="s">
        <v>2159</v>
      </c>
      <c r="B446" s="17">
        <v>1</v>
      </c>
      <c r="C446" s="17">
        <v>0</v>
      </c>
      <c r="D446" s="22" t="s">
        <v>2477</v>
      </c>
      <c r="E446" s="22" t="s">
        <v>2234</v>
      </c>
      <c r="F446" s="17">
        <f t="shared" si="48"/>
        <v>2018</v>
      </c>
      <c r="G446" s="18">
        <v>43391</v>
      </c>
      <c r="H446" s="22" t="s">
        <v>2983</v>
      </c>
      <c r="I446" s="17">
        <v>0</v>
      </c>
      <c r="J446" s="22" t="s">
        <v>2497</v>
      </c>
      <c r="K446" s="17">
        <v>0</v>
      </c>
      <c r="L446" s="59">
        <v>1</v>
      </c>
      <c r="M446" s="22" t="s">
        <v>129</v>
      </c>
      <c r="N446" s="22" t="s">
        <v>422</v>
      </c>
      <c r="P446" s="22" t="s">
        <v>2498</v>
      </c>
      <c r="R446" s="17">
        <v>1</v>
      </c>
      <c r="S446" s="17">
        <v>0</v>
      </c>
      <c r="T446" s="17">
        <v>0</v>
      </c>
      <c r="U446" s="17">
        <v>1</v>
      </c>
      <c r="V446" s="17">
        <v>1</v>
      </c>
      <c r="W446" s="17">
        <v>361</v>
      </c>
      <c r="X446" s="17">
        <v>294</v>
      </c>
      <c r="Y446" s="17">
        <v>4</v>
      </c>
      <c r="Z446" s="17">
        <f t="shared" si="49"/>
        <v>659</v>
      </c>
      <c r="AA446" s="11">
        <f t="shared" si="50"/>
        <v>0.54779969650986338</v>
      </c>
      <c r="AB446" s="11">
        <f t="shared" si="51"/>
        <v>0.44613050075872535</v>
      </c>
      <c r="AC446" s="66">
        <f t="shared" si="52"/>
        <v>0.54779969650986338</v>
      </c>
      <c r="AD446" s="67">
        <f t="shared" si="53"/>
        <v>0.32169954476479512</v>
      </c>
    </row>
    <row r="447" spans="1:32" ht="14" customHeight="1" x14ac:dyDescent="0.2">
      <c r="A447" t="s">
        <v>2159</v>
      </c>
      <c r="B447" s="17">
        <v>1</v>
      </c>
      <c r="C447" s="17">
        <v>1</v>
      </c>
      <c r="D447" s="22" t="s">
        <v>2477</v>
      </c>
      <c r="E447" s="22" t="s">
        <v>2234</v>
      </c>
      <c r="F447" s="17">
        <f t="shared" si="48"/>
        <v>2019</v>
      </c>
      <c r="G447" s="18">
        <v>43545</v>
      </c>
      <c r="H447" s="22" t="s">
        <v>2983</v>
      </c>
      <c r="I447" s="17">
        <v>0</v>
      </c>
      <c r="J447" s="22" t="s">
        <v>2421</v>
      </c>
      <c r="K447" s="17">
        <v>0</v>
      </c>
      <c r="L447" s="59">
        <v>1</v>
      </c>
      <c r="M447" s="22" t="s">
        <v>2555</v>
      </c>
      <c r="N447" s="22" t="s">
        <v>422</v>
      </c>
      <c r="P447" s="22" t="s">
        <v>2501</v>
      </c>
      <c r="R447" s="17">
        <v>1</v>
      </c>
      <c r="S447" s="17">
        <v>0</v>
      </c>
      <c r="T447" s="17">
        <v>0</v>
      </c>
      <c r="U447" s="17">
        <v>1</v>
      </c>
      <c r="V447" s="17">
        <v>1</v>
      </c>
      <c r="W447" s="17">
        <v>438</v>
      </c>
      <c r="X447" s="17">
        <v>202</v>
      </c>
      <c r="Y447" s="17">
        <v>28</v>
      </c>
      <c r="Z447" s="17">
        <f t="shared" si="49"/>
        <v>668</v>
      </c>
      <c r="AA447" s="11">
        <f t="shared" si="50"/>
        <v>0.65568862275449102</v>
      </c>
      <c r="AB447" s="11">
        <f t="shared" si="51"/>
        <v>0.30239520958083832</v>
      </c>
      <c r="AC447" s="66">
        <f t="shared" si="52"/>
        <v>0.65568862275449102</v>
      </c>
      <c r="AD447" s="67">
        <f t="shared" si="53"/>
        <v>0.48353293413173654</v>
      </c>
    </row>
    <row r="448" spans="1:32" ht="14" customHeight="1" x14ac:dyDescent="0.2">
      <c r="A448" t="s">
        <v>2159</v>
      </c>
      <c r="B448" s="17">
        <v>1</v>
      </c>
      <c r="C448" s="17">
        <v>1</v>
      </c>
      <c r="D448" s="22" t="s">
        <v>2477</v>
      </c>
      <c r="E448" s="22" t="s">
        <v>2234</v>
      </c>
      <c r="F448" s="17">
        <f t="shared" si="48"/>
        <v>2019</v>
      </c>
      <c r="G448" s="18">
        <v>43545</v>
      </c>
      <c r="H448" s="22" t="s">
        <v>2983</v>
      </c>
      <c r="I448" s="17">
        <v>0</v>
      </c>
      <c r="J448" s="22" t="s">
        <v>2469</v>
      </c>
      <c r="K448" s="17">
        <v>0</v>
      </c>
      <c r="L448" s="59">
        <v>1</v>
      </c>
      <c r="M448" s="22" t="s">
        <v>2557</v>
      </c>
      <c r="N448" s="22" t="s">
        <v>2627</v>
      </c>
      <c r="P448" s="22" t="s">
        <v>2502</v>
      </c>
      <c r="R448" s="17">
        <v>1</v>
      </c>
      <c r="S448" s="17">
        <v>0</v>
      </c>
      <c r="T448" s="17">
        <v>0</v>
      </c>
      <c r="U448" s="17">
        <v>1</v>
      </c>
      <c r="V448" s="17">
        <v>1</v>
      </c>
      <c r="W448" s="17">
        <v>446</v>
      </c>
      <c r="X448" s="17">
        <v>218</v>
      </c>
      <c r="Y448" s="17">
        <v>1</v>
      </c>
      <c r="Z448" s="17">
        <f t="shared" si="49"/>
        <v>665</v>
      </c>
      <c r="AA448" s="11">
        <f t="shared" si="50"/>
        <v>0.67067669172932332</v>
      </c>
      <c r="AB448" s="11">
        <f t="shared" si="51"/>
        <v>0.32781954887218046</v>
      </c>
      <c r="AC448" s="66">
        <f t="shared" si="52"/>
        <v>0.67067669172932332</v>
      </c>
      <c r="AD448" s="67">
        <f t="shared" si="53"/>
        <v>0.50601503759398492</v>
      </c>
      <c r="AF448" s="36"/>
    </row>
    <row r="449" spans="1:30" ht="14" customHeight="1" x14ac:dyDescent="0.2">
      <c r="A449" t="s">
        <v>2159</v>
      </c>
      <c r="B449" s="17">
        <v>1</v>
      </c>
      <c r="C449" s="17">
        <v>1</v>
      </c>
      <c r="D449" s="22" t="s">
        <v>2477</v>
      </c>
      <c r="E449" s="22" t="s">
        <v>2234</v>
      </c>
      <c r="F449" s="17">
        <f t="shared" si="48"/>
        <v>2019</v>
      </c>
      <c r="G449" s="18">
        <v>43545</v>
      </c>
      <c r="H449" s="22" t="s">
        <v>2983</v>
      </c>
      <c r="I449" s="17">
        <v>0</v>
      </c>
      <c r="J449" s="22" t="s">
        <v>2499</v>
      </c>
      <c r="K449" s="17">
        <v>0</v>
      </c>
      <c r="L449" s="59">
        <v>1</v>
      </c>
      <c r="M449" s="22" t="s">
        <v>2575</v>
      </c>
      <c r="N449" s="22" t="s">
        <v>2629</v>
      </c>
      <c r="P449" s="22" t="s">
        <v>2500</v>
      </c>
      <c r="R449" s="17">
        <v>1</v>
      </c>
      <c r="S449" s="17">
        <v>0</v>
      </c>
      <c r="T449" s="17">
        <v>0</v>
      </c>
      <c r="U449" s="17">
        <v>1</v>
      </c>
      <c r="V449" s="17">
        <v>1</v>
      </c>
      <c r="W449" s="17">
        <v>582</v>
      </c>
      <c r="X449" s="17">
        <v>82</v>
      </c>
      <c r="Y449" s="17">
        <v>0</v>
      </c>
      <c r="Z449" s="17">
        <f t="shared" si="49"/>
        <v>664</v>
      </c>
      <c r="AA449" s="11">
        <f t="shared" si="50"/>
        <v>0.87650602409638556</v>
      </c>
      <c r="AB449" s="11">
        <f t="shared" si="51"/>
        <v>0.12349397590361445</v>
      </c>
      <c r="AC449" s="66">
        <f t="shared" si="52"/>
        <v>0.87650602409638556</v>
      </c>
      <c r="AD449" s="67">
        <f t="shared" si="53"/>
        <v>0.81475903614457834</v>
      </c>
    </row>
    <row r="450" spans="1:30" ht="14" customHeight="1" x14ac:dyDescent="0.2">
      <c r="A450" t="s">
        <v>2159</v>
      </c>
      <c r="B450" s="17">
        <v>1</v>
      </c>
      <c r="C450" s="17">
        <v>1</v>
      </c>
      <c r="D450" s="22" t="s">
        <v>2477</v>
      </c>
      <c r="E450" s="22" t="s">
        <v>2234</v>
      </c>
      <c r="F450" s="17">
        <f t="shared" si="48"/>
        <v>2019</v>
      </c>
      <c r="G450" s="18">
        <v>43545</v>
      </c>
      <c r="H450" s="22" t="s">
        <v>2983</v>
      </c>
      <c r="I450" s="17">
        <v>0</v>
      </c>
      <c r="J450" s="22" t="s">
        <v>2503</v>
      </c>
      <c r="K450" s="17">
        <v>0</v>
      </c>
      <c r="L450" s="59">
        <v>1</v>
      </c>
      <c r="M450" s="22" t="s">
        <v>2577</v>
      </c>
      <c r="N450" s="22" t="s">
        <v>2629</v>
      </c>
      <c r="P450" s="22" t="s">
        <v>2504</v>
      </c>
      <c r="R450" s="17">
        <v>1</v>
      </c>
      <c r="S450" s="17">
        <v>0</v>
      </c>
      <c r="T450" s="17">
        <v>0</v>
      </c>
      <c r="U450" s="17">
        <v>1</v>
      </c>
      <c r="V450" s="17">
        <v>1</v>
      </c>
      <c r="W450" s="17">
        <v>578</v>
      </c>
      <c r="X450" s="17">
        <v>79</v>
      </c>
      <c r="Y450" s="17">
        <v>1</v>
      </c>
      <c r="Z450" s="17">
        <f t="shared" si="49"/>
        <v>658</v>
      </c>
      <c r="AA450" s="11">
        <f t="shared" si="50"/>
        <v>0.87841945288753798</v>
      </c>
      <c r="AB450" s="11">
        <f t="shared" si="51"/>
        <v>0.12006079027355623</v>
      </c>
      <c r="AC450" s="66">
        <f t="shared" si="52"/>
        <v>0.87841945288753798</v>
      </c>
      <c r="AD450" s="67">
        <f t="shared" si="53"/>
        <v>0.81762917933130697</v>
      </c>
    </row>
    <row r="451" spans="1:30" ht="14" customHeight="1" x14ac:dyDescent="0.2">
      <c r="A451" t="s">
        <v>2159</v>
      </c>
      <c r="B451" s="17">
        <v>1</v>
      </c>
      <c r="C451" s="17">
        <v>1</v>
      </c>
      <c r="D451" s="22" t="s">
        <v>2477</v>
      </c>
      <c r="E451" s="22" t="s">
        <v>2234</v>
      </c>
      <c r="F451" s="17">
        <f t="shared" si="48"/>
        <v>2019</v>
      </c>
      <c r="G451" s="18">
        <v>43594</v>
      </c>
      <c r="H451" s="22" t="s">
        <v>2983</v>
      </c>
      <c r="I451" s="17">
        <v>0</v>
      </c>
      <c r="J451" s="22" t="s">
        <v>2453</v>
      </c>
      <c r="K451" s="17">
        <v>0</v>
      </c>
      <c r="L451" s="59">
        <v>1</v>
      </c>
      <c r="M451" s="22" t="s">
        <v>2860</v>
      </c>
      <c r="N451" s="54" t="s">
        <v>2631</v>
      </c>
      <c r="P451" s="22" t="s">
        <v>2508</v>
      </c>
      <c r="R451" s="17">
        <v>1</v>
      </c>
      <c r="S451" s="17">
        <v>0</v>
      </c>
      <c r="T451" s="17">
        <v>0</v>
      </c>
      <c r="U451" s="17">
        <v>1</v>
      </c>
      <c r="V451" s="17">
        <v>1</v>
      </c>
      <c r="W451" s="17">
        <v>527</v>
      </c>
      <c r="X451" s="17">
        <v>82</v>
      </c>
      <c r="Y451" s="17">
        <v>35</v>
      </c>
      <c r="Z451" s="17">
        <f t="shared" si="49"/>
        <v>644</v>
      </c>
      <c r="AA451" s="11">
        <f t="shared" si="50"/>
        <v>0.81832298136645965</v>
      </c>
      <c r="AB451" s="11">
        <f t="shared" si="51"/>
        <v>0.12732919254658384</v>
      </c>
      <c r="AC451" s="66">
        <f t="shared" si="52"/>
        <v>0.81832298136645965</v>
      </c>
      <c r="AD451" s="67">
        <f t="shared" si="53"/>
        <v>0.72748447204968947</v>
      </c>
    </row>
    <row r="452" spans="1:30" ht="14" customHeight="1" x14ac:dyDescent="0.2">
      <c r="A452" t="s">
        <v>2159</v>
      </c>
      <c r="B452" s="17">
        <v>1</v>
      </c>
      <c r="C452" s="17">
        <v>1</v>
      </c>
      <c r="D452" s="22" t="s">
        <v>2477</v>
      </c>
      <c r="E452" s="22" t="s">
        <v>2234</v>
      </c>
      <c r="F452" s="17">
        <f t="shared" si="48"/>
        <v>2019</v>
      </c>
      <c r="G452" s="18">
        <v>43594</v>
      </c>
      <c r="H452" s="22" t="s">
        <v>2983</v>
      </c>
      <c r="I452" s="17">
        <v>0</v>
      </c>
      <c r="J452" s="22" t="s">
        <v>2455</v>
      </c>
      <c r="K452" s="17">
        <v>0</v>
      </c>
      <c r="L452" s="59">
        <v>1</v>
      </c>
      <c r="M452" s="22" t="s">
        <v>2542</v>
      </c>
      <c r="N452" s="48" t="s">
        <v>2629</v>
      </c>
      <c r="P452" s="22" t="s">
        <v>2505</v>
      </c>
      <c r="R452" s="17">
        <v>1</v>
      </c>
      <c r="S452" s="17">
        <v>0</v>
      </c>
      <c r="T452" s="17">
        <v>0</v>
      </c>
      <c r="U452" s="17">
        <v>1</v>
      </c>
      <c r="V452" s="17">
        <v>1</v>
      </c>
      <c r="W452" s="17">
        <v>489</v>
      </c>
      <c r="X452" s="17">
        <v>153</v>
      </c>
      <c r="Y452" s="17">
        <v>2</v>
      </c>
      <c r="Z452" s="17">
        <f t="shared" si="49"/>
        <v>644</v>
      </c>
      <c r="AA452" s="11">
        <f t="shared" si="50"/>
        <v>0.75931677018633537</v>
      </c>
      <c r="AB452" s="11">
        <f t="shared" si="51"/>
        <v>0.2375776397515528</v>
      </c>
      <c r="AC452" s="66">
        <f t="shared" si="52"/>
        <v>0.75931677018633537</v>
      </c>
      <c r="AD452" s="67">
        <f t="shared" si="53"/>
        <v>0.6389751552795031</v>
      </c>
    </row>
    <row r="453" spans="1:30" ht="14" customHeight="1" x14ac:dyDescent="0.2">
      <c r="A453" t="s">
        <v>2159</v>
      </c>
      <c r="B453" s="17">
        <v>1</v>
      </c>
      <c r="C453" s="17">
        <v>1</v>
      </c>
      <c r="D453" s="22" t="s">
        <v>2477</v>
      </c>
      <c r="E453" s="22" t="s">
        <v>2234</v>
      </c>
      <c r="F453" s="17">
        <f t="shared" si="48"/>
        <v>2019</v>
      </c>
      <c r="G453" s="18">
        <v>43594</v>
      </c>
      <c r="H453" s="22" t="s">
        <v>2983</v>
      </c>
      <c r="I453" s="17">
        <v>0</v>
      </c>
      <c r="J453" s="22" t="s">
        <v>2506</v>
      </c>
      <c r="K453" s="17">
        <v>0</v>
      </c>
      <c r="L453" s="59">
        <v>1</v>
      </c>
      <c r="M453" s="22" t="s">
        <v>247</v>
      </c>
      <c r="N453" s="5" t="s">
        <v>2629</v>
      </c>
      <c r="P453" s="22" t="s">
        <v>2507</v>
      </c>
      <c r="R453" s="17">
        <v>1</v>
      </c>
      <c r="S453" s="17">
        <v>0</v>
      </c>
      <c r="T453" s="17">
        <v>0</v>
      </c>
      <c r="U453" s="17">
        <v>1</v>
      </c>
      <c r="V453" s="17">
        <v>1</v>
      </c>
      <c r="W453" s="17">
        <v>485</v>
      </c>
      <c r="X453" s="17">
        <v>153</v>
      </c>
      <c r="Y453" s="17">
        <v>2</v>
      </c>
      <c r="Z453" s="17">
        <f t="shared" si="49"/>
        <v>640</v>
      </c>
      <c r="AA453" s="11">
        <f t="shared" si="50"/>
        <v>0.7578125</v>
      </c>
      <c r="AB453" s="11">
        <f t="shared" si="51"/>
        <v>0.23906250000000001</v>
      </c>
      <c r="AC453" s="66">
        <f t="shared" si="52"/>
        <v>0.7578125</v>
      </c>
      <c r="AD453" s="67">
        <f t="shared" si="53"/>
        <v>0.63671875</v>
      </c>
    </row>
    <row r="454" spans="1:30" ht="14" customHeight="1" x14ac:dyDescent="0.2">
      <c r="A454" t="s">
        <v>2159</v>
      </c>
      <c r="B454" s="17">
        <v>1</v>
      </c>
      <c r="C454" s="17">
        <v>1</v>
      </c>
      <c r="D454" s="22" t="s">
        <v>2477</v>
      </c>
      <c r="E454" s="22" t="s">
        <v>2234</v>
      </c>
      <c r="F454" s="17">
        <f t="shared" si="48"/>
        <v>2019</v>
      </c>
      <c r="G454" s="18">
        <v>43644</v>
      </c>
      <c r="H454" s="22" t="s">
        <v>2983</v>
      </c>
      <c r="I454" s="17">
        <v>0</v>
      </c>
      <c r="J454" s="22" t="s">
        <v>2510</v>
      </c>
      <c r="K454" s="17">
        <v>0</v>
      </c>
      <c r="L454" s="59">
        <v>1</v>
      </c>
      <c r="M454" s="22" t="s">
        <v>165</v>
      </c>
      <c r="N454" s="24" t="s">
        <v>2630</v>
      </c>
      <c r="P454" s="22" t="s">
        <v>2511</v>
      </c>
      <c r="R454" s="17">
        <v>1</v>
      </c>
      <c r="S454" s="17">
        <v>0</v>
      </c>
      <c r="T454" s="17">
        <v>0</v>
      </c>
      <c r="U454" s="17">
        <v>1</v>
      </c>
      <c r="V454" s="17">
        <v>1</v>
      </c>
      <c r="W454" s="17">
        <v>493</v>
      </c>
      <c r="X454" s="17">
        <v>146</v>
      </c>
      <c r="Y454" s="17">
        <v>6</v>
      </c>
      <c r="Z454" s="17">
        <f t="shared" si="49"/>
        <v>645</v>
      </c>
      <c r="AA454" s="11">
        <f t="shared" si="50"/>
        <v>0.76434108527131783</v>
      </c>
      <c r="AB454" s="11">
        <f t="shared" si="51"/>
        <v>0.22635658914728682</v>
      </c>
      <c r="AC454" s="66">
        <f t="shared" si="52"/>
        <v>0.76434108527131783</v>
      </c>
      <c r="AD454" s="67">
        <f t="shared" si="53"/>
        <v>0.64651162790697669</v>
      </c>
    </row>
    <row r="455" spans="1:30" ht="14" customHeight="1" x14ac:dyDescent="0.2">
      <c r="A455" t="s">
        <v>2159</v>
      </c>
      <c r="B455" s="17">
        <v>1</v>
      </c>
      <c r="C455" s="17">
        <v>1</v>
      </c>
      <c r="D455" s="22" t="s">
        <v>2477</v>
      </c>
      <c r="E455" s="22" t="s">
        <v>2234</v>
      </c>
      <c r="F455" s="17">
        <f t="shared" si="48"/>
        <v>2019</v>
      </c>
      <c r="G455" s="18">
        <v>43644</v>
      </c>
      <c r="H455" s="22" t="s">
        <v>2983</v>
      </c>
      <c r="I455" s="17">
        <v>0</v>
      </c>
      <c r="J455" s="22" t="s">
        <v>2461</v>
      </c>
      <c r="K455" s="17">
        <v>0</v>
      </c>
      <c r="L455" s="59">
        <v>1</v>
      </c>
      <c r="M455" t="s">
        <v>202</v>
      </c>
      <c r="N455" s="50" t="s">
        <v>2121</v>
      </c>
      <c r="P455" s="22" t="s">
        <v>2509</v>
      </c>
      <c r="R455" s="17">
        <v>1</v>
      </c>
      <c r="S455" s="17">
        <v>0</v>
      </c>
      <c r="T455" s="17">
        <v>0</v>
      </c>
      <c r="U455" s="17">
        <v>1</v>
      </c>
      <c r="V455" s="17">
        <v>1</v>
      </c>
      <c r="W455" s="17">
        <v>490</v>
      </c>
      <c r="X455" s="17">
        <v>149</v>
      </c>
      <c r="Y455" s="17">
        <v>4</v>
      </c>
      <c r="Z455" s="17">
        <f t="shared" si="49"/>
        <v>643</v>
      </c>
      <c r="AA455" s="11">
        <f t="shared" si="50"/>
        <v>0.76205287713841363</v>
      </c>
      <c r="AB455" s="11">
        <f t="shared" si="51"/>
        <v>0.2317262830482115</v>
      </c>
      <c r="AC455" s="66">
        <f t="shared" si="52"/>
        <v>0.76205287713841363</v>
      </c>
      <c r="AD455" s="67">
        <f t="shared" si="53"/>
        <v>0.64307931570762056</v>
      </c>
    </row>
    <row r="456" spans="1:30" ht="14" customHeight="1" x14ac:dyDescent="0.2">
      <c r="A456" t="s">
        <v>2159</v>
      </c>
      <c r="B456" s="17">
        <v>1</v>
      </c>
      <c r="C456" s="17">
        <v>1</v>
      </c>
      <c r="D456" s="22" t="s">
        <v>2477</v>
      </c>
      <c r="E456" s="22" t="s">
        <v>2234</v>
      </c>
      <c r="F456" s="17">
        <f t="shared" si="48"/>
        <v>2019</v>
      </c>
      <c r="G456" s="18">
        <v>43762</v>
      </c>
      <c r="H456" s="22" t="s">
        <v>2983</v>
      </c>
      <c r="I456" s="17">
        <v>0</v>
      </c>
      <c r="J456" s="22" t="s">
        <v>2512</v>
      </c>
      <c r="K456" s="17">
        <v>0</v>
      </c>
      <c r="L456" s="59">
        <v>1</v>
      </c>
      <c r="M456" s="22" t="s">
        <v>2828</v>
      </c>
      <c r="N456" s="22" t="s">
        <v>2121</v>
      </c>
      <c r="P456" s="22" t="s">
        <v>2513</v>
      </c>
      <c r="R456" s="17">
        <v>1</v>
      </c>
      <c r="S456" s="17">
        <v>0</v>
      </c>
      <c r="T456" s="17">
        <v>0</v>
      </c>
      <c r="U456" s="17">
        <v>1</v>
      </c>
      <c r="V456" s="17">
        <v>0</v>
      </c>
      <c r="W456" s="17">
        <v>343</v>
      </c>
      <c r="X456" s="17">
        <v>275</v>
      </c>
      <c r="Y456" s="17">
        <v>3</v>
      </c>
      <c r="Z456" s="17">
        <f t="shared" si="49"/>
        <v>621</v>
      </c>
      <c r="AA456" s="11">
        <f t="shared" si="50"/>
        <v>0.55233494363929148</v>
      </c>
      <c r="AB456" s="11">
        <f t="shared" si="51"/>
        <v>0.44283413848631242</v>
      </c>
      <c r="AC456" s="66">
        <f t="shared" si="52"/>
        <v>0.55233494363929148</v>
      </c>
      <c r="AD456" s="67">
        <f t="shared" si="53"/>
        <v>0.32850241545893721</v>
      </c>
    </row>
    <row r="457" spans="1:30" ht="14" customHeight="1" x14ac:dyDescent="0.2">
      <c r="A457" t="s">
        <v>2971</v>
      </c>
      <c r="B457" s="17">
        <v>0</v>
      </c>
      <c r="C457" s="17">
        <v>0</v>
      </c>
      <c r="D457" s="22" t="s">
        <v>679</v>
      </c>
      <c r="E457" s="22" t="s">
        <v>3002</v>
      </c>
      <c r="F457" s="17">
        <f t="shared" ref="F457:F470" si="54">+YEAR(G457)</f>
        <v>1993</v>
      </c>
      <c r="G457" s="18">
        <v>34156</v>
      </c>
      <c r="H457" s="22" t="s">
        <v>2982</v>
      </c>
      <c r="I457" s="64">
        <v>0</v>
      </c>
      <c r="J457" s="22" t="s">
        <v>680</v>
      </c>
      <c r="K457" s="7">
        <v>0</v>
      </c>
      <c r="L457" s="59">
        <v>0</v>
      </c>
      <c r="M457" s="22" t="s">
        <v>2578</v>
      </c>
      <c r="N457" s="58" t="s">
        <v>2629</v>
      </c>
      <c r="P457" s="22" t="s">
        <v>681</v>
      </c>
      <c r="Q457" s="29" t="s">
        <v>682</v>
      </c>
      <c r="R457" s="17">
        <v>1</v>
      </c>
      <c r="S457" s="17">
        <v>0</v>
      </c>
      <c r="T457" s="17">
        <v>0</v>
      </c>
      <c r="U457" s="17">
        <v>1</v>
      </c>
      <c r="V457" s="17">
        <v>0</v>
      </c>
      <c r="W457" s="17" t="s">
        <v>26</v>
      </c>
      <c r="X457" s="17" t="s">
        <v>26</v>
      </c>
      <c r="Y457" s="17" t="s">
        <v>26</v>
      </c>
      <c r="AA457" s="11"/>
      <c r="AB457" s="11"/>
      <c r="AC457" s="66"/>
      <c r="AD457" s="67"/>
    </row>
    <row r="458" spans="1:30" ht="14" customHeight="1" x14ac:dyDescent="0.2">
      <c r="A458" t="s">
        <v>2971</v>
      </c>
      <c r="B458" s="17">
        <v>0</v>
      </c>
      <c r="C458" s="17">
        <v>0</v>
      </c>
      <c r="D458" s="22" t="s">
        <v>683</v>
      </c>
      <c r="E458" s="22" t="s">
        <v>3003</v>
      </c>
      <c r="F458" s="17">
        <f t="shared" si="54"/>
        <v>1997</v>
      </c>
      <c r="G458" s="18">
        <v>35564</v>
      </c>
      <c r="H458" s="22" t="s">
        <v>2982</v>
      </c>
      <c r="I458" s="64">
        <v>0</v>
      </c>
      <c r="J458" s="22" t="s">
        <v>684</v>
      </c>
      <c r="K458" s="17">
        <v>0</v>
      </c>
      <c r="L458" s="59">
        <v>0</v>
      </c>
      <c r="M458" s="22" t="s">
        <v>2559</v>
      </c>
      <c r="N458" s="22" t="s">
        <v>2630</v>
      </c>
      <c r="P458" s="22" t="s">
        <v>685</v>
      </c>
      <c r="Q458" s="29" t="s">
        <v>686</v>
      </c>
      <c r="R458" s="17">
        <v>1</v>
      </c>
      <c r="S458" s="17">
        <v>0</v>
      </c>
      <c r="T458" s="17">
        <v>0</v>
      </c>
      <c r="U458" s="17">
        <v>1</v>
      </c>
      <c r="V458" s="17">
        <v>0</v>
      </c>
      <c r="W458" s="17" t="s">
        <v>26</v>
      </c>
      <c r="X458" s="17" t="s">
        <v>26</v>
      </c>
      <c r="Y458" s="17" t="s">
        <v>26</v>
      </c>
      <c r="AA458" s="92"/>
      <c r="AB458" s="92"/>
      <c r="AC458" s="93"/>
      <c r="AD458" s="67"/>
    </row>
    <row r="459" spans="1:30" ht="14" customHeight="1" x14ac:dyDescent="0.2">
      <c r="A459" t="s">
        <v>2971</v>
      </c>
      <c r="B459" s="17">
        <v>0</v>
      </c>
      <c r="C459" s="17">
        <v>0</v>
      </c>
      <c r="D459" s="22" t="s">
        <v>687</v>
      </c>
      <c r="E459" s="22" t="s">
        <v>3004</v>
      </c>
      <c r="F459" s="17">
        <f t="shared" si="54"/>
        <v>1999</v>
      </c>
      <c r="G459" s="18">
        <v>36342</v>
      </c>
      <c r="H459" s="22" t="s">
        <v>2982</v>
      </c>
      <c r="I459" s="64">
        <v>0</v>
      </c>
      <c r="J459" s="22" t="s">
        <v>688</v>
      </c>
      <c r="K459" s="17">
        <v>0</v>
      </c>
      <c r="L459" s="59">
        <v>0</v>
      </c>
      <c r="M459" s="22" t="s">
        <v>165</v>
      </c>
      <c r="N459" s="24" t="s">
        <v>2630</v>
      </c>
      <c r="P459" s="22" t="s">
        <v>689</v>
      </c>
      <c r="Q459" s="29" t="s">
        <v>690</v>
      </c>
      <c r="R459" s="17">
        <v>1</v>
      </c>
      <c r="S459" s="17">
        <v>0</v>
      </c>
      <c r="T459" s="17">
        <v>0</v>
      </c>
      <c r="U459" s="17">
        <v>1</v>
      </c>
      <c r="V459" s="17">
        <v>0</v>
      </c>
      <c r="W459" s="17" t="s">
        <v>26</v>
      </c>
      <c r="X459" s="17" t="s">
        <v>26</v>
      </c>
      <c r="Y459" s="17" t="s">
        <v>26</v>
      </c>
      <c r="AA459" s="11"/>
      <c r="AB459" s="11"/>
      <c r="AC459" s="66"/>
      <c r="AD459" s="67"/>
    </row>
    <row r="460" spans="1:30" ht="14" customHeight="1" x14ac:dyDescent="0.2">
      <c r="A460" t="s">
        <v>2971</v>
      </c>
      <c r="B460" s="17">
        <v>0</v>
      </c>
      <c r="C460" s="17">
        <v>0</v>
      </c>
      <c r="D460" s="22" t="s">
        <v>687</v>
      </c>
      <c r="E460" s="22" t="s">
        <v>3004</v>
      </c>
      <c r="F460" s="17">
        <f t="shared" si="54"/>
        <v>1999</v>
      </c>
      <c r="G460" s="18">
        <v>36445</v>
      </c>
      <c r="H460" s="22" t="s">
        <v>2982</v>
      </c>
      <c r="I460" s="64">
        <v>0</v>
      </c>
      <c r="J460" s="22" t="s">
        <v>691</v>
      </c>
      <c r="K460" s="17">
        <v>0</v>
      </c>
      <c r="L460" s="59">
        <v>0</v>
      </c>
      <c r="M460" s="22" t="s">
        <v>2579</v>
      </c>
      <c r="N460" t="s">
        <v>2634</v>
      </c>
      <c r="P460" s="22" t="s">
        <v>692</v>
      </c>
      <c r="Q460" s="29" t="s">
        <v>693</v>
      </c>
      <c r="R460" s="17">
        <v>1</v>
      </c>
      <c r="S460" s="17">
        <v>0</v>
      </c>
      <c r="T460" s="17">
        <v>0</v>
      </c>
      <c r="U460" s="17">
        <v>1</v>
      </c>
      <c r="V460" s="17">
        <v>0</v>
      </c>
      <c r="W460" s="17" t="s">
        <v>26</v>
      </c>
      <c r="X460" s="17" t="s">
        <v>26</v>
      </c>
      <c r="Y460" s="17" t="s">
        <v>26</v>
      </c>
      <c r="AA460" s="11"/>
      <c r="AB460" s="11"/>
      <c r="AC460" s="66"/>
      <c r="AD460" s="67"/>
    </row>
    <row r="461" spans="1:30" ht="14" customHeight="1" x14ac:dyDescent="0.2">
      <c r="A461" t="s">
        <v>2971</v>
      </c>
      <c r="B461" s="17">
        <v>0</v>
      </c>
      <c r="C461" s="17">
        <v>1</v>
      </c>
      <c r="D461" s="22" t="s">
        <v>687</v>
      </c>
      <c r="E461" s="22" t="s">
        <v>3004</v>
      </c>
      <c r="F461" s="17">
        <f t="shared" si="54"/>
        <v>2001</v>
      </c>
      <c r="G461" s="18">
        <v>37189</v>
      </c>
      <c r="H461" s="22" t="s">
        <v>2982</v>
      </c>
      <c r="I461" s="64">
        <v>0</v>
      </c>
      <c r="J461" s="22" t="s">
        <v>694</v>
      </c>
      <c r="K461" s="17">
        <v>0</v>
      </c>
      <c r="L461" s="59">
        <v>0</v>
      </c>
      <c r="M461" s="22" t="s">
        <v>2549</v>
      </c>
      <c r="N461" s="22" t="s">
        <v>2629</v>
      </c>
      <c r="P461" s="22" t="s">
        <v>695</v>
      </c>
      <c r="Q461" s="29" t="s">
        <v>696</v>
      </c>
      <c r="R461" s="17">
        <v>1</v>
      </c>
      <c r="S461" s="17">
        <v>0</v>
      </c>
      <c r="T461" s="17">
        <v>0</v>
      </c>
      <c r="U461" s="17">
        <v>0</v>
      </c>
      <c r="V461" s="17">
        <v>0</v>
      </c>
      <c r="W461" s="17" t="s">
        <v>26</v>
      </c>
      <c r="X461" s="17" t="s">
        <v>26</v>
      </c>
      <c r="Y461" s="17" t="s">
        <v>26</v>
      </c>
      <c r="AA461" s="11"/>
      <c r="AB461" s="11"/>
      <c r="AC461" s="66"/>
      <c r="AD461" s="67"/>
    </row>
    <row r="462" spans="1:30" ht="14" customHeight="1" x14ac:dyDescent="0.2">
      <c r="A462" t="s">
        <v>2971</v>
      </c>
      <c r="B462" s="17">
        <v>0</v>
      </c>
      <c r="C462" s="17">
        <v>0</v>
      </c>
      <c r="D462" s="22" t="s">
        <v>697</v>
      </c>
      <c r="E462" s="22" t="s">
        <v>3004</v>
      </c>
      <c r="F462" s="17">
        <f t="shared" si="54"/>
        <v>2003</v>
      </c>
      <c r="G462" s="18">
        <v>37937</v>
      </c>
      <c r="H462" s="22" t="s">
        <v>2982</v>
      </c>
      <c r="I462" s="64">
        <v>0</v>
      </c>
      <c r="J462" s="22" t="s">
        <v>698</v>
      </c>
      <c r="K462" s="17">
        <v>0</v>
      </c>
      <c r="L462" s="59">
        <v>0</v>
      </c>
      <c r="M462" s="22" t="s">
        <v>2549</v>
      </c>
      <c r="N462" s="22" t="s">
        <v>2629</v>
      </c>
      <c r="P462" s="22" t="s">
        <v>699</v>
      </c>
      <c r="Q462" s="29" t="s">
        <v>700</v>
      </c>
      <c r="R462" s="17">
        <v>1</v>
      </c>
      <c r="S462" s="17">
        <v>0</v>
      </c>
      <c r="T462" s="17">
        <v>0</v>
      </c>
      <c r="U462" s="17">
        <v>1</v>
      </c>
      <c r="V462" s="17">
        <v>0</v>
      </c>
      <c r="W462" s="17" t="s">
        <v>26</v>
      </c>
      <c r="X462" s="17" t="s">
        <v>26</v>
      </c>
      <c r="Y462" s="17" t="s">
        <v>26</v>
      </c>
      <c r="AA462" s="11"/>
      <c r="AB462" s="11"/>
      <c r="AC462" s="66"/>
      <c r="AD462" s="67"/>
    </row>
    <row r="463" spans="1:30" ht="14" customHeight="1" x14ac:dyDescent="0.2">
      <c r="A463" t="s">
        <v>2971</v>
      </c>
      <c r="B463" s="17">
        <v>0</v>
      </c>
      <c r="C463" s="17">
        <v>0</v>
      </c>
      <c r="D463" s="22" t="s">
        <v>697</v>
      </c>
      <c r="E463" s="22" t="s">
        <v>3004</v>
      </c>
      <c r="F463" s="17">
        <f t="shared" si="54"/>
        <v>2004</v>
      </c>
      <c r="G463" s="18">
        <v>38316</v>
      </c>
      <c r="H463" s="22" t="s">
        <v>2982</v>
      </c>
      <c r="I463" s="64">
        <v>0</v>
      </c>
      <c r="J463" s="22" t="s">
        <v>701</v>
      </c>
      <c r="K463" s="17">
        <v>0</v>
      </c>
      <c r="L463" s="59">
        <v>0</v>
      </c>
      <c r="M463" s="22" t="s">
        <v>2556</v>
      </c>
      <c r="N463" s="24" t="s">
        <v>2630</v>
      </c>
      <c r="P463" s="22" t="s">
        <v>702</v>
      </c>
      <c r="Q463" s="29" t="s">
        <v>703</v>
      </c>
      <c r="R463" s="17">
        <v>1</v>
      </c>
      <c r="S463" s="17">
        <v>0</v>
      </c>
      <c r="T463" s="17">
        <v>0</v>
      </c>
      <c r="U463" s="17">
        <v>1</v>
      </c>
      <c r="V463" s="17">
        <v>0</v>
      </c>
      <c r="W463" s="17" t="s">
        <v>26</v>
      </c>
      <c r="X463" s="17" t="s">
        <v>26</v>
      </c>
      <c r="Y463" s="17" t="s">
        <v>26</v>
      </c>
      <c r="AA463" s="11"/>
      <c r="AB463" s="11"/>
      <c r="AC463" s="66"/>
      <c r="AD463" s="67"/>
    </row>
    <row r="464" spans="1:30" ht="14" customHeight="1" x14ac:dyDescent="0.2">
      <c r="A464" t="s">
        <v>2971</v>
      </c>
      <c r="B464" s="17">
        <v>0</v>
      </c>
      <c r="C464" s="17">
        <v>0</v>
      </c>
      <c r="D464" s="22" t="s">
        <v>704</v>
      </c>
      <c r="E464" s="22" t="s">
        <v>3005</v>
      </c>
      <c r="F464" s="17">
        <f t="shared" si="54"/>
        <v>2007</v>
      </c>
      <c r="G464" s="18">
        <v>39364</v>
      </c>
      <c r="H464" s="22" t="s">
        <v>2982</v>
      </c>
      <c r="I464" s="64">
        <v>0</v>
      </c>
      <c r="J464" s="22" t="s">
        <v>705</v>
      </c>
      <c r="K464" s="17">
        <v>0</v>
      </c>
      <c r="L464" s="59">
        <v>0</v>
      </c>
      <c r="M464" t="s">
        <v>706</v>
      </c>
      <c r="N464" s="21" t="s">
        <v>2629</v>
      </c>
      <c r="P464" s="22" t="s">
        <v>707</v>
      </c>
      <c r="Q464" s="29" t="s">
        <v>708</v>
      </c>
      <c r="R464" s="17">
        <v>1</v>
      </c>
      <c r="S464" s="17">
        <v>0</v>
      </c>
      <c r="T464" s="17">
        <v>0</v>
      </c>
      <c r="U464" s="17">
        <v>0</v>
      </c>
      <c r="V464" s="17">
        <v>0</v>
      </c>
      <c r="W464" s="17" t="s">
        <v>26</v>
      </c>
      <c r="X464" s="17" t="s">
        <v>26</v>
      </c>
      <c r="Y464" s="17" t="s">
        <v>26</v>
      </c>
      <c r="Z464" s="94"/>
      <c r="AA464" s="11"/>
      <c r="AB464" s="11"/>
      <c r="AC464" s="66"/>
      <c r="AD464" s="67"/>
    </row>
    <row r="465" spans="1:32" ht="14" customHeight="1" x14ac:dyDescent="0.2">
      <c r="A465" t="s">
        <v>2971</v>
      </c>
      <c r="B465" s="17">
        <v>0</v>
      </c>
      <c r="C465" s="17">
        <v>0</v>
      </c>
      <c r="D465" s="22" t="s">
        <v>704</v>
      </c>
      <c r="E465" s="22" t="s">
        <v>3005</v>
      </c>
      <c r="F465" s="17">
        <f t="shared" si="54"/>
        <v>2007</v>
      </c>
      <c r="G465" s="18">
        <v>39414</v>
      </c>
      <c r="H465" s="22" t="s">
        <v>2982</v>
      </c>
      <c r="I465" s="64">
        <v>0</v>
      </c>
      <c r="J465" s="22" t="s">
        <v>709</v>
      </c>
      <c r="K465" s="17">
        <v>0</v>
      </c>
      <c r="L465" s="59">
        <v>0</v>
      </c>
      <c r="M465" t="s">
        <v>706</v>
      </c>
      <c r="N465" s="21" t="s">
        <v>2629</v>
      </c>
      <c r="P465" s="22" t="s">
        <v>710</v>
      </c>
      <c r="Q465" s="29" t="s">
        <v>711</v>
      </c>
      <c r="R465" s="17">
        <v>1</v>
      </c>
      <c r="S465" s="17">
        <v>0</v>
      </c>
      <c r="T465" s="17">
        <v>0</v>
      </c>
      <c r="U465" s="17">
        <v>1</v>
      </c>
      <c r="V465" s="17">
        <v>0</v>
      </c>
      <c r="W465" s="17" t="s">
        <v>26</v>
      </c>
      <c r="X465" s="17" t="s">
        <v>26</v>
      </c>
      <c r="Y465" s="17" t="s">
        <v>26</v>
      </c>
      <c r="AA465" s="11"/>
      <c r="AB465" s="11"/>
      <c r="AC465" s="66"/>
      <c r="AD465" s="67"/>
      <c r="AF465" s="36"/>
    </row>
    <row r="466" spans="1:32" ht="14" customHeight="1" x14ac:dyDescent="0.2">
      <c r="A466" t="s">
        <v>2971</v>
      </c>
      <c r="B466" s="17">
        <v>0</v>
      </c>
      <c r="C466" s="17">
        <v>0</v>
      </c>
      <c r="D466" s="22" t="s">
        <v>712</v>
      </c>
      <c r="E466" s="22" t="s">
        <v>3005</v>
      </c>
      <c r="F466" s="17">
        <f t="shared" si="54"/>
        <v>2009</v>
      </c>
      <c r="G466" s="18">
        <v>39877</v>
      </c>
      <c r="H466" s="22" t="s">
        <v>2982</v>
      </c>
      <c r="I466" s="64">
        <v>0</v>
      </c>
      <c r="J466" s="22" t="s">
        <v>713</v>
      </c>
      <c r="K466" s="17">
        <v>0</v>
      </c>
      <c r="L466" s="59">
        <v>0</v>
      </c>
      <c r="M466" s="22" t="s">
        <v>2553</v>
      </c>
      <c r="N466" s="5" t="s">
        <v>2629</v>
      </c>
      <c r="P466" s="22" t="s">
        <v>714</v>
      </c>
      <c r="Q466" s="29" t="s">
        <v>715</v>
      </c>
      <c r="R466" s="17">
        <v>1</v>
      </c>
      <c r="S466" s="17">
        <v>0</v>
      </c>
      <c r="T466" s="17">
        <v>0</v>
      </c>
      <c r="U466" s="4">
        <v>0</v>
      </c>
      <c r="V466" s="4">
        <v>0</v>
      </c>
      <c r="W466" s="17" t="s">
        <v>26</v>
      </c>
      <c r="X466" s="17" t="s">
        <v>26</v>
      </c>
      <c r="Y466" s="17" t="s">
        <v>26</v>
      </c>
      <c r="AA466" s="11"/>
      <c r="AB466" s="11"/>
      <c r="AC466" s="66"/>
      <c r="AD466" s="67"/>
    </row>
    <row r="467" spans="1:32" ht="14" customHeight="1" x14ac:dyDescent="0.2">
      <c r="A467" t="s">
        <v>2971</v>
      </c>
      <c r="B467" s="17">
        <v>0</v>
      </c>
      <c r="C467" s="17">
        <v>0</v>
      </c>
      <c r="D467" s="22" t="s">
        <v>716</v>
      </c>
      <c r="E467" s="22" t="s">
        <v>3006</v>
      </c>
      <c r="F467" s="17">
        <f t="shared" si="54"/>
        <v>2011</v>
      </c>
      <c r="G467" s="18">
        <v>40654</v>
      </c>
      <c r="H467" s="22" t="s">
        <v>2982</v>
      </c>
      <c r="I467" s="64">
        <v>0</v>
      </c>
      <c r="J467" s="22" t="s">
        <v>717</v>
      </c>
      <c r="K467" s="17">
        <v>0</v>
      </c>
      <c r="L467" s="59">
        <v>0</v>
      </c>
      <c r="M467" t="s">
        <v>202</v>
      </c>
      <c r="N467" s="50" t="s">
        <v>2121</v>
      </c>
      <c r="P467" s="22" t="s">
        <v>718</v>
      </c>
      <c r="Q467" s="29" t="s">
        <v>719</v>
      </c>
      <c r="R467" s="17">
        <v>1</v>
      </c>
      <c r="S467" s="17">
        <v>0</v>
      </c>
      <c r="T467" s="17">
        <v>0</v>
      </c>
      <c r="U467" s="17">
        <v>1</v>
      </c>
      <c r="V467" s="17">
        <v>0</v>
      </c>
      <c r="W467" s="17" t="s">
        <v>26</v>
      </c>
      <c r="X467" s="17" t="s">
        <v>26</v>
      </c>
      <c r="Y467" s="17" t="s">
        <v>26</v>
      </c>
      <c r="AA467" s="11"/>
      <c r="AB467" s="11"/>
      <c r="AC467" s="66"/>
      <c r="AD467" s="67"/>
    </row>
    <row r="468" spans="1:32" ht="14" customHeight="1" x14ac:dyDescent="0.2">
      <c r="A468" t="s">
        <v>2971</v>
      </c>
      <c r="B468" s="17">
        <v>0</v>
      </c>
      <c r="C468" s="17">
        <v>0</v>
      </c>
      <c r="D468" s="22" t="s">
        <v>716</v>
      </c>
      <c r="E468" s="22" t="s">
        <v>3006</v>
      </c>
      <c r="F468" s="17">
        <f t="shared" si="54"/>
        <v>2013</v>
      </c>
      <c r="G468" s="18">
        <v>41468</v>
      </c>
      <c r="H468" s="22" t="s">
        <v>2982</v>
      </c>
      <c r="I468" s="64">
        <v>0</v>
      </c>
      <c r="J468" s="22" t="s">
        <v>720</v>
      </c>
      <c r="K468" s="17">
        <v>0</v>
      </c>
      <c r="L468" s="59">
        <v>1</v>
      </c>
      <c r="M468" s="5" t="s">
        <v>3033</v>
      </c>
      <c r="N468" s="22" t="s">
        <v>2627</v>
      </c>
      <c r="P468" s="22" t="s">
        <v>721</v>
      </c>
      <c r="Q468" s="29" t="s">
        <v>722</v>
      </c>
      <c r="R468" s="17">
        <v>1</v>
      </c>
      <c r="S468" s="17">
        <v>0</v>
      </c>
      <c r="T468" s="17">
        <v>0</v>
      </c>
      <c r="U468" s="17">
        <v>1</v>
      </c>
      <c r="V468" s="17">
        <v>0</v>
      </c>
      <c r="W468" s="17">
        <v>80</v>
      </c>
      <c r="X468" s="17">
        <v>30</v>
      </c>
      <c r="Y468" s="17">
        <v>0</v>
      </c>
      <c r="Z468" s="17">
        <f t="shared" ref="Z468:Z531" si="55">SUM(W468:Y468)</f>
        <v>110</v>
      </c>
      <c r="AA468" s="11">
        <f t="shared" ref="AA468:AA531" si="56">W468/Z468</f>
        <v>0.72727272727272729</v>
      </c>
      <c r="AB468" s="11">
        <f t="shared" ref="AB468:AB531" si="57">X468/Z468</f>
        <v>0.27272727272727271</v>
      </c>
      <c r="AC468" s="66">
        <f t="shared" ref="AC468:AC531" si="58">IF(K468=1,AB468,AA468)</f>
        <v>0.72727272727272729</v>
      </c>
      <c r="AD468" s="67">
        <f t="shared" ref="AD468:AD531" si="59">SUM((MAX(W468,X468,Y468)-0.5*(SUM(W468+X468+Y468)-MAX(W468,X468,Y468)))/SUM(W468+X468+Y468))</f>
        <v>0.59090909090909094</v>
      </c>
    </row>
    <row r="469" spans="1:32" ht="14" customHeight="1" x14ac:dyDescent="0.2">
      <c r="A469" t="s">
        <v>2971</v>
      </c>
      <c r="B469" s="17">
        <v>0</v>
      </c>
      <c r="C469" s="17">
        <v>0</v>
      </c>
      <c r="D469" s="22" t="s">
        <v>716</v>
      </c>
      <c r="E469" s="22" t="s">
        <v>3006</v>
      </c>
      <c r="F469" s="17">
        <f t="shared" si="54"/>
        <v>2013</v>
      </c>
      <c r="G469" s="18">
        <v>41473</v>
      </c>
      <c r="H469" s="22" t="s">
        <v>2982</v>
      </c>
      <c r="I469" s="64">
        <v>0</v>
      </c>
      <c r="J469" s="22" t="s">
        <v>723</v>
      </c>
      <c r="K469" s="17">
        <v>0</v>
      </c>
      <c r="L469" s="59">
        <v>1</v>
      </c>
      <c r="M469" s="22" t="s">
        <v>2552</v>
      </c>
      <c r="N469" s="24" t="s">
        <v>2121</v>
      </c>
      <c r="P469" s="22" t="s">
        <v>724</v>
      </c>
      <c r="Q469" s="29" t="s">
        <v>725</v>
      </c>
      <c r="R469" s="17">
        <v>1</v>
      </c>
      <c r="S469" s="17">
        <v>0</v>
      </c>
      <c r="T469" s="17">
        <v>0</v>
      </c>
      <c r="U469" s="17">
        <v>1</v>
      </c>
      <c r="V469" s="17">
        <v>0</v>
      </c>
      <c r="W469" s="17">
        <v>95</v>
      </c>
      <c r="X469" s="17">
        <v>17</v>
      </c>
      <c r="Y469" s="17">
        <v>0</v>
      </c>
      <c r="Z469" s="17">
        <f t="shared" si="55"/>
        <v>112</v>
      </c>
      <c r="AA469" s="11">
        <f t="shared" si="56"/>
        <v>0.8482142857142857</v>
      </c>
      <c r="AB469" s="11">
        <f t="shared" si="57"/>
        <v>0.15178571428571427</v>
      </c>
      <c r="AC469" s="66">
        <f t="shared" si="58"/>
        <v>0.8482142857142857</v>
      </c>
      <c r="AD469" s="67">
        <f t="shared" si="59"/>
        <v>0.7723214285714286</v>
      </c>
    </row>
    <row r="470" spans="1:32" ht="14" customHeight="1" x14ac:dyDescent="0.2">
      <c r="A470" t="s">
        <v>2971</v>
      </c>
      <c r="B470" s="17">
        <v>0</v>
      </c>
      <c r="C470" s="17">
        <v>0</v>
      </c>
      <c r="D470" s="22" t="s">
        <v>726</v>
      </c>
      <c r="E470" s="22" t="s">
        <v>3007</v>
      </c>
      <c r="F470" s="17">
        <f t="shared" si="54"/>
        <v>2019</v>
      </c>
      <c r="G470" s="18">
        <v>43636</v>
      </c>
      <c r="H470" s="22" t="s">
        <v>2982</v>
      </c>
      <c r="I470" s="64">
        <v>0</v>
      </c>
      <c r="J470" s="22" t="s">
        <v>727</v>
      </c>
      <c r="K470" s="17">
        <v>0</v>
      </c>
      <c r="L470" s="59">
        <v>1</v>
      </c>
      <c r="M470" s="22" t="s">
        <v>247</v>
      </c>
      <c r="N470" s="5" t="s">
        <v>2629</v>
      </c>
      <c r="P470" s="22" t="s">
        <v>728</v>
      </c>
      <c r="Q470" s="29" t="s">
        <v>729</v>
      </c>
      <c r="R470" s="17">
        <v>1</v>
      </c>
      <c r="S470" s="17">
        <v>0</v>
      </c>
      <c r="T470" s="17">
        <v>0</v>
      </c>
      <c r="U470" s="17">
        <v>1</v>
      </c>
      <c r="V470" s="17">
        <v>0</v>
      </c>
      <c r="W470" s="17">
        <v>77</v>
      </c>
      <c r="X470" s="17">
        <v>39</v>
      </c>
      <c r="Y470" s="17">
        <v>0</v>
      </c>
      <c r="Z470" s="17">
        <f t="shared" si="55"/>
        <v>116</v>
      </c>
      <c r="AA470" s="11">
        <f t="shared" si="56"/>
        <v>0.66379310344827591</v>
      </c>
      <c r="AB470" s="11">
        <f t="shared" si="57"/>
        <v>0.33620689655172414</v>
      </c>
      <c r="AC470" s="66">
        <f t="shared" si="58"/>
        <v>0.66379310344827591</v>
      </c>
      <c r="AD470" s="67">
        <f t="shared" si="59"/>
        <v>0.49568965517241381</v>
      </c>
    </row>
    <row r="471" spans="1:32" ht="14" customHeight="1" x14ac:dyDescent="0.2">
      <c r="A471" t="s">
        <v>730</v>
      </c>
      <c r="B471" s="7">
        <v>1</v>
      </c>
      <c r="C471" s="17">
        <v>0</v>
      </c>
      <c r="D471" s="22" t="s">
        <v>731</v>
      </c>
      <c r="E471" s="22" t="s">
        <v>732</v>
      </c>
      <c r="F471" s="17">
        <v>1990</v>
      </c>
      <c r="G471" s="18">
        <v>33108</v>
      </c>
      <c r="H471" s="22" t="s">
        <v>733</v>
      </c>
      <c r="I471" s="7">
        <v>0</v>
      </c>
      <c r="J471" s="12"/>
      <c r="K471" s="17">
        <v>0</v>
      </c>
      <c r="L471" s="59">
        <v>1</v>
      </c>
      <c r="M471" t="s">
        <v>23</v>
      </c>
      <c r="N471" s="48" t="s">
        <v>2121</v>
      </c>
      <c r="O471" s="8"/>
      <c r="P471" s="8" t="s">
        <v>734</v>
      </c>
      <c r="Q471" s="29" t="s">
        <v>735</v>
      </c>
      <c r="R471" s="14">
        <v>1</v>
      </c>
      <c r="S471" s="14">
        <v>0</v>
      </c>
      <c r="T471" s="14">
        <v>0</v>
      </c>
      <c r="U471" s="7"/>
      <c r="V471" s="7">
        <v>0</v>
      </c>
      <c r="W471" s="17">
        <v>283</v>
      </c>
      <c r="X471" s="17">
        <v>22</v>
      </c>
      <c r="Y471" s="17">
        <v>99</v>
      </c>
      <c r="Z471" s="6">
        <f t="shared" si="55"/>
        <v>404</v>
      </c>
      <c r="AA471" s="11">
        <f t="shared" si="56"/>
        <v>0.70049504950495045</v>
      </c>
      <c r="AB471" s="11">
        <f t="shared" si="57"/>
        <v>5.4455445544554455E-2</v>
      </c>
      <c r="AC471" s="66">
        <f t="shared" si="58"/>
        <v>0.70049504950495045</v>
      </c>
      <c r="AD471" s="67">
        <f t="shared" si="59"/>
        <v>0.55074257425742579</v>
      </c>
    </row>
    <row r="472" spans="1:32" ht="14" customHeight="1" x14ac:dyDescent="0.2">
      <c r="A472" t="s">
        <v>730</v>
      </c>
      <c r="B472" s="7">
        <v>1</v>
      </c>
      <c r="C472" s="17">
        <v>0</v>
      </c>
      <c r="D472" s="22" t="s">
        <v>731</v>
      </c>
      <c r="E472" s="22" t="s">
        <v>732</v>
      </c>
      <c r="F472" s="17">
        <v>1991</v>
      </c>
      <c r="G472" s="18">
        <v>33254</v>
      </c>
      <c r="H472" s="22" t="s">
        <v>733</v>
      </c>
      <c r="I472" s="7">
        <v>0</v>
      </c>
      <c r="J472" s="12"/>
      <c r="K472" s="17">
        <v>0</v>
      </c>
      <c r="L472" s="59">
        <v>1</v>
      </c>
      <c r="M472" t="s">
        <v>23</v>
      </c>
      <c r="N472" s="48" t="s">
        <v>2121</v>
      </c>
      <c r="O472" s="8"/>
      <c r="P472" s="8" t="s">
        <v>736</v>
      </c>
      <c r="Q472" s="29" t="s">
        <v>737</v>
      </c>
      <c r="R472" s="14">
        <v>1</v>
      </c>
      <c r="S472" s="14">
        <v>0</v>
      </c>
      <c r="T472" s="14">
        <v>0</v>
      </c>
      <c r="U472" s="7"/>
      <c r="V472" s="7">
        <v>0</v>
      </c>
      <c r="W472" s="17">
        <v>355</v>
      </c>
      <c r="X472" s="17">
        <v>230</v>
      </c>
      <c r="Y472" s="17">
        <v>20</v>
      </c>
      <c r="Z472" s="6">
        <f t="shared" si="55"/>
        <v>605</v>
      </c>
      <c r="AA472" s="11">
        <f t="shared" si="56"/>
        <v>0.58677685950413228</v>
      </c>
      <c r="AB472" s="11">
        <f t="shared" si="57"/>
        <v>0.38016528925619836</v>
      </c>
      <c r="AC472" s="66">
        <f t="shared" si="58"/>
        <v>0.58677685950413228</v>
      </c>
      <c r="AD472" s="67">
        <f t="shared" si="59"/>
        <v>0.38016528925619836</v>
      </c>
    </row>
    <row r="473" spans="1:32" ht="14" customHeight="1" x14ac:dyDescent="0.2">
      <c r="A473" t="s">
        <v>730</v>
      </c>
      <c r="B473" s="7">
        <v>1</v>
      </c>
      <c r="C473" s="17">
        <v>0</v>
      </c>
      <c r="D473" s="22" t="s">
        <v>731</v>
      </c>
      <c r="E473" s="22" t="s">
        <v>732</v>
      </c>
      <c r="F473" s="17">
        <v>1991</v>
      </c>
      <c r="G473" s="18">
        <v>33255</v>
      </c>
      <c r="H473" s="22" t="s">
        <v>738</v>
      </c>
      <c r="I473" s="7">
        <v>0</v>
      </c>
      <c r="J473" s="22"/>
      <c r="K473" s="17">
        <v>0</v>
      </c>
      <c r="L473" s="59">
        <v>1</v>
      </c>
      <c r="M473" t="s">
        <v>23</v>
      </c>
      <c r="N473" s="48" t="s">
        <v>2121</v>
      </c>
      <c r="P473" s="22">
        <v>5</v>
      </c>
      <c r="Q473" s="29" t="s">
        <v>739</v>
      </c>
      <c r="R473" s="95">
        <v>1</v>
      </c>
      <c r="S473" s="95">
        <v>0</v>
      </c>
      <c r="T473" s="95">
        <v>0</v>
      </c>
      <c r="V473" s="17">
        <v>0</v>
      </c>
      <c r="W473" s="17">
        <v>190</v>
      </c>
      <c r="X473" s="17">
        <v>96</v>
      </c>
      <c r="Y473" s="17">
        <v>4</v>
      </c>
      <c r="Z473" s="6">
        <f t="shared" si="55"/>
        <v>290</v>
      </c>
      <c r="AA473" s="11">
        <f t="shared" si="56"/>
        <v>0.65517241379310343</v>
      </c>
      <c r="AB473" s="11">
        <f t="shared" si="57"/>
        <v>0.33103448275862069</v>
      </c>
      <c r="AC473" s="66">
        <f t="shared" si="58"/>
        <v>0.65517241379310343</v>
      </c>
      <c r="AD473" s="67">
        <f t="shared" si="59"/>
        <v>0.48275862068965519</v>
      </c>
    </row>
    <row r="474" spans="1:32" ht="14" customHeight="1" x14ac:dyDescent="0.2">
      <c r="A474" t="s">
        <v>730</v>
      </c>
      <c r="B474" s="7">
        <v>1</v>
      </c>
      <c r="C474" s="17">
        <v>0</v>
      </c>
      <c r="D474" s="22" t="s">
        <v>740</v>
      </c>
      <c r="E474" s="22" t="s">
        <v>741</v>
      </c>
      <c r="F474" s="17">
        <v>1991</v>
      </c>
      <c r="G474" s="18">
        <v>33317</v>
      </c>
      <c r="H474" s="22" t="s">
        <v>733</v>
      </c>
      <c r="I474" s="7">
        <v>0</v>
      </c>
      <c r="J474" s="22"/>
      <c r="K474" s="17">
        <v>0</v>
      </c>
      <c r="L474" s="59">
        <v>1</v>
      </c>
      <c r="M474" t="s">
        <v>23</v>
      </c>
      <c r="N474" s="48" t="s">
        <v>2121</v>
      </c>
      <c r="P474" s="22" t="s">
        <v>742</v>
      </c>
      <c r="Q474" s="29" t="s">
        <v>743</v>
      </c>
      <c r="R474" s="95">
        <v>1</v>
      </c>
      <c r="S474" s="95">
        <v>0</v>
      </c>
      <c r="T474" s="95">
        <v>0</v>
      </c>
      <c r="V474" s="17">
        <v>1</v>
      </c>
      <c r="W474" s="17">
        <v>187</v>
      </c>
      <c r="X474" s="17">
        <v>102</v>
      </c>
      <c r="Y474" s="17">
        <v>1</v>
      </c>
      <c r="Z474" s="6">
        <f t="shared" si="55"/>
        <v>290</v>
      </c>
      <c r="AA474" s="11">
        <f t="shared" si="56"/>
        <v>0.64482758620689651</v>
      </c>
      <c r="AB474" s="11">
        <f t="shared" si="57"/>
        <v>0.35172413793103446</v>
      </c>
      <c r="AC474" s="66">
        <f t="shared" si="58"/>
        <v>0.64482758620689651</v>
      </c>
      <c r="AD474" s="67">
        <f t="shared" si="59"/>
        <v>0.46724137931034482</v>
      </c>
    </row>
    <row r="475" spans="1:32" ht="14" customHeight="1" x14ac:dyDescent="0.2">
      <c r="A475" t="s">
        <v>730</v>
      </c>
      <c r="B475" s="7">
        <v>1</v>
      </c>
      <c r="C475" s="17">
        <v>0</v>
      </c>
      <c r="D475" s="22" t="s">
        <v>744</v>
      </c>
      <c r="E475" s="22" t="s">
        <v>741</v>
      </c>
      <c r="F475" s="17">
        <v>1992</v>
      </c>
      <c r="G475" s="18">
        <v>33948</v>
      </c>
      <c r="H475" s="22" t="s">
        <v>733</v>
      </c>
      <c r="I475" s="7">
        <v>0</v>
      </c>
      <c r="J475" s="22"/>
      <c r="K475" s="17">
        <v>0</v>
      </c>
      <c r="L475" s="59">
        <v>1</v>
      </c>
      <c r="M475" s="5" t="s">
        <v>745</v>
      </c>
      <c r="N475" s="58" t="s">
        <v>2629</v>
      </c>
      <c r="P475" s="22" t="s">
        <v>746</v>
      </c>
      <c r="Q475" s="29" t="s">
        <v>747</v>
      </c>
      <c r="R475" s="95">
        <v>1</v>
      </c>
      <c r="S475" s="95">
        <v>0</v>
      </c>
      <c r="T475" s="95">
        <v>0</v>
      </c>
      <c r="V475" s="17">
        <v>0</v>
      </c>
      <c r="W475" s="17">
        <v>272</v>
      </c>
      <c r="X475" s="17">
        <v>30</v>
      </c>
      <c r="Y475" s="17">
        <v>106</v>
      </c>
      <c r="Z475" s="6">
        <f t="shared" si="55"/>
        <v>408</v>
      </c>
      <c r="AA475" s="11">
        <f t="shared" si="56"/>
        <v>0.66666666666666663</v>
      </c>
      <c r="AB475" s="11">
        <f t="shared" si="57"/>
        <v>7.3529411764705885E-2</v>
      </c>
      <c r="AC475" s="66">
        <f t="shared" si="58"/>
        <v>0.66666666666666663</v>
      </c>
      <c r="AD475" s="67">
        <f t="shared" si="59"/>
        <v>0.5</v>
      </c>
    </row>
    <row r="476" spans="1:32" ht="14" customHeight="1" x14ac:dyDescent="0.2">
      <c r="A476" t="s">
        <v>730</v>
      </c>
      <c r="B476" s="7">
        <v>1</v>
      </c>
      <c r="C476" s="17">
        <v>0</v>
      </c>
      <c r="D476" s="22" t="s">
        <v>744</v>
      </c>
      <c r="E476" s="22" t="s">
        <v>741</v>
      </c>
      <c r="F476" s="17">
        <v>1993</v>
      </c>
      <c r="G476" s="18">
        <v>34002</v>
      </c>
      <c r="H476" s="22" t="s">
        <v>733</v>
      </c>
      <c r="I476" s="7">
        <v>0</v>
      </c>
      <c r="J476" s="22"/>
      <c r="K476" s="17">
        <v>0</v>
      </c>
      <c r="L476" s="59">
        <v>1</v>
      </c>
      <c r="M476" t="s">
        <v>23</v>
      </c>
      <c r="N476" s="48" t="s">
        <v>2121</v>
      </c>
      <c r="P476" s="22" t="s">
        <v>748</v>
      </c>
      <c r="Q476" s="29" t="s">
        <v>749</v>
      </c>
      <c r="R476" s="95">
        <v>1</v>
      </c>
      <c r="S476" s="95">
        <v>0</v>
      </c>
      <c r="T476" s="95">
        <v>0</v>
      </c>
      <c r="V476" s="17">
        <v>1</v>
      </c>
      <c r="W476" s="17">
        <v>238</v>
      </c>
      <c r="X476" s="17">
        <v>74</v>
      </c>
      <c r="Y476" s="17">
        <v>69</v>
      </c>
      <c r="Z476" s="6">
        <f t="shared" si="55"/>
        <v>381</v>
      </c>
      <c r="AA476" s="11">
        <f t="shared" si="56"/>
        <v>0.62467191601049865</v>
      </c>
      <c r="AB476" s="11">
        <f t="shared" si="57"/>
        <v>0.1942257217847769</v>
      </c>
      <c r="AC476" s="66">
        <f t="shared" si="58"/>
        <v>0.62467191601049865</v>
      </c>
      <c r="AD476" s="67">
        <f t="shared" si="59"/>
        <v>0.43700787401574803</v>
      </c>
      <c r="AF476" s="36"/>
    </row>
    <row r="477" spans="1:32" ht="14" customHeight="1" x14ac:dyDescent="0.2">
      <c r="A477" t="s">
        <v>730</v>
      </c>
      <c r="B477" s="7">
        <v>1</v>
      </c>
      <c r="C477" s="17">
        <v>0</v>
      </c>
      <c r="D477" s="22" t="s">
        <v>750</v>
      </c>
      <c r="E477" s="22" t="s">
        <v>741</v>
      </c>
      <c r="F477" s="17">
        <v>1994</v>
      </c>
      <c r="G477" s="18">
        <v>34381</v>
      </c>
      <c r="H477" s="22" t="s">
        <v>733</v>
      </c>
      <c r="I477" s="7">
        <v>0</v>
      </c>
      <c r="J477" s="22"/>
      <c r="K477" s="17">
        <v>0</v>
      </c>
      <c r="L477" s="59">
        <v>1</v>
      </c>
      <c r="M477" s="22" t="s">
        <v>119</v>
      </c>
      <c r="N477" s="22" t="s">
        <v>2635</v>
      </c>
      <c r="O477" s="22" t="s">
        <v>751</v>
      </c>
      <c r="P477" s="22" t="s">
        <v>752</v>
      </c>
      <c r="Q477" s="29" t="s">
        <v>753</v>
      </c>
      <c r="R477" s="95">
        <v>1</v>
      </c>
      <c r="S477" s="95">
        <v>0</v>
      </c>
      <c r="T477" s="95">
        <v>0</v>
      </c>
      <c r="V477" s="17">
        <v>1</v>
      </c>
      <c r="W477" s="17">
        <v>287</v>
      </c>
      <c r="X477" s="17">
        <v>26</v>
      </c>
      <c r="Y477" s="17">
        <v>5</v>
      </c>
      <c r="Z477" s="6">
        <f t="shared" si="55"/>
        <v>318</v>
      </c>
      <c r="AA477" s="11">
        <f t="shared" si="56"/>
        <v>0.90251572327044027</v>
      </c>
      <c r="AB477" s="11">
        <f t="shared" si="57"/>
        <v>8.1761006289308172E-2</v>
      </c>
      <c r="AC477" s="66">
        <f t="shared" si="58"/>
        <v>0.90251572327044027</v>
      </c>
      <c r="AD477" s="67">
        <f t="shared" si="59"/>
        <v>0.85377358490566035</v>
      </c>
    </row>
    <row r="478" spans="1:32" ht="14" customHeight="1" x14ac:dyDescent="0.2">
      <c r="A478" t="s">
        <v>730</v>
      </c>
      <c r="B478" s="7">
        <v>1</v>
      </c>
      <c r="C478" s="17">
        <v>0</v>
      </c>
      <c r="D478" s="22" t="s">
        <v>754</v>
      </c>
      <c r="E478" s="22" t="s">
        <v>755</v>
      </c>
      <c r="F478" s="17">
        <v>1994</v>
      </c>
      <c r="G478" s="18">
        <v>34606</v>
      </c>
      <c r="H478" s="22" t="s">
        <v>733</v>
      </c>
      <c r="I478" s="7">
        <v>0</v>
      </c>
      <c r="J478" s="22"/>
      <c r="K478" s="17">
        <v>0</v>
      </c>
      <c r="L478" s="59">
        <v>1</v>
      </c>
      <c r="M478" t="s">
        <v>2581</v>
      </c>
      <c r="N478" s="58" t="s">
        <v>2629</v>
      </c>
      <c r="P478" s="22" t="s">
        <v>756</v>
      </c>
      <c r="Q478" s="29" t="s">
        <v>757</v>
      </c>
      <c r="R478" s="95">
        <v>1</v>
      </c>
      <c r="S478" s="95">
        <v>0</v>
      </c>
      <c r="T478" s="95">
        <v>0</v>
      </c>
      <c r="V478" s="17">
        <v>1</v>
      </c>
      <c r="W478" s="17">
        <v>222</v>
      </c>
      <c r="X478" s="17">
        <v>52</v>
      </c>
      <c r="Y478" s="17">
        <v>94</v>
      </c>
      <c r="Z478" s="6">
        <f t="shared" si="55"/>
        <v>368</v>
      </c>
      <c r="AA478" s="11">
        <f t="shared" si="56"/>
        <v>0.60326086956521741</v>
      </c>
      <c r="AB478" s="11">
        <f t="shared" si="57"/>
        <v>0.14130434782608695</v>
      </c>
      <c r="AC478" s="66">
        <f t="shared" si="58"/>
        <v>0.60326086956521741</v>
      </c>
      <c r="AD478" s="67">
        <f t="shared" si="59"/>
        <v>0.40489130434782611</v>
      </c>
    </row>
    <row r="479" spans="1:32" ht="14" customHeight="1" x14ac:dyDescent="0.2">
      <c r="A479" t="s">
        <v>730</v>
      </c>
      <c r="B479" s="7">
        <v>1</v>
      </c>
      <c r="C479" s="17">
        <v>1</v>
      </c>
      <c r="D479" s="22" t="s">
        <v>758</v>
      </c>
      <c r="E479" s="22" t="s">
        <v>759</v>
      </c>
      <c r="F479" s="17">
        <v>1995</v>
      </c>
      <c r="G479" s="18">
        <v>34835</v>
      </c>
      <c r="H479" s="22" t="s">
        <v>733</v>
      </c>
      <c r="I479" s="7">
        <v>0</v>
      </c>
      <c r="J479" s="22"/>
      <c r="K479" s="17">
        <v>0</v>
      </c>
      <c r="L479" s="59">
        <v>1</v>
      </c>
      <c r="M479" s="22" t="s">
        <v>2611</v>
      </c>
      <c r="N479" s="22" t="s">
        <v>2630</v>
      </c>
      <c r="P479" s="22" t="s">
        <v>760</v>
      </c>
      <c r="Q479" s="29" t="s">
        <v>761</v>
      </c>
      <c r="R479" s="95">
        <v>1</v>
      </c>
      <c r="S479" s="95">
        <v>0</v>
      </c>
      <c r="T479" s="95">
        <v>0</v>
      </c>
      <c r="V479" s="17">
        <v>1</v>
      </c>
      <c r="W479" s="17">
        <v>429</v>
      </c>
      <c r="X479" s="17">
        <v>12</v>
      </c>
      <c r="Y479" s="17">
        <v>3</v>
      </c>
      <c r="Z479" s="6">
        <f t="shared" si="55"/>
        <v>444</v>
      </c>
      <c r="AA479" s="11">
        <f t="shared" si="56"/>
        <v>0.96621621621621623</v>
      </c>
      <c r="AB479" s="11">
        <f t="shared" si="57"/>
        <v>2.7027027027027029E-2</v>
      </c>
      <c r="AC479" s="66">
        <f t="shared" si="58"/>
        <v>0.96621621621621623</v>
      </c>
      <c r="AD479" s="67">
        <f t="shared" si="59"/>
        <v>0.94932432432432434</v>
      </c>
    </row>
    <row r="480" spans="1:32" ht="14" customHeight="1" x14ac:dyDescent="0.2">
      <c r="A480" t="s">
        <v>730</v>
      </c>
      <c r="B480" s="7">
        <v>1</v>
      </c>
      <c r="C480" s="17">
        <v>1</v>
      </c>
      <c r="D480" s="22" t="s">
        <v>758</v>
      </c>
      <c r="E480" s="22" t="s">
        <v>759</v>
      </c>
      <c r="F480" s="17">
        <v>1995</v>
      </c>
      <c r="G480" s="18">
        <v>34891</v>
      </c>
      <c r="H480" s="22" t="s">
        <v>733</v>
      </c>
      <c r="I480" s="7">
        <v>0</v>
      </c>
      <c r="J480" s="22"/>
      <c r="K480" s="17">
        <v>0</v>
      </c>
      <c r="L480" s="59">
        <v>1</v>
      </c>
      <c r="M480" s="5" t="s">
        <v>2578</v>
      </c>
      <c r="N480" s="58" t="s">
        <v>2629</v>
      </c>
      <c r="P480" s="22" t="s">
        <v>762</v>
      </c>
      <c r="Q480" s="29" t="s">
        <v>763</v>
      </c>
      <c r="R480" s="95">
        <v>1</v>
      </c>
      <c r="S480" s="95">
        <v>0</v>
      </c>
      <c r="T480" s="95">
        <v>0</v>
      </c>
      <c r="V480" s="17">
        <v>0</v>
      </c>
      <c r="W480" s="17">
        <v>352</v>
      </c>
      <c r="X480" s="17">
        <v>28</v>
      </c>
      <c r="Y480" s="17">
        <v>11</v>
      </c>
      <c r="Z480" s="6">
        <f t="shared" si="55"/>
        <v>391</v>
      </c>
      <c r="AA480" s="11">
        <f t="shared" si="56"/>
        <v>0.90025575447570327</v>
      </c>
      <c r="AB480" s="11">
        <f t="shared" si="57"/>
        <v>7.1611253196930943E-2</v>
      </c>
      <c r="AC480" s="66">
        <f t="shared" si="58"/>
        <v>0.90025575447570327</v>
      </c>
      <c r="AD480" s="67">
        <f t="shared" si="59"/>
        <v>0.85038363171355502</v>
      </c>
    </row>
    <row r="481" spans="1:30" ht="14" customHeight="1" x14ac:dyDescent="0.2">
      <c r="A481" t="s">
        <v>730</v>
      </c>
      <c r="B481" s="7">
        <v>1</v>
      </c>
      <c r="C481" s="17">
        <v>1</v>
      </c>
      <c r="D481" s="22" t="s">
        <v>764</v>
      </c>
      <c r="E481" s="22" t="s">
        <v>765</v>
      </c>
      <c r="F481" s="17">
        <v>1996</v>
      </c>
      <c r="G481" s="18">
        <v>35279</v>
      </c>
      <c r="H481" s="22" t="s">
        <v>733</v>
      </c>
      <c r="I481" s="7">
        <v>0</v>
      </c>
      <c r="J481" s="22"/>
      <c r="K481" s="17">
        <v>0</v>
      </c>
      <c r="L481" s="59">
        <v>1</v>
      </c>
      <c r="M481" s="22" t="s">
        <v>766</v>
      </c>
      <c r="N481" s="22" t="s">
        <v>2630</v>
      </c>
      <c r="P481" s="22" t="s">
        <v>767</v>
      </c>
      <c r="Q481" s="29" t="s">
        <v>768</v>
      </c>
      <c r="R481" s="95">
        <v>1</v>
      </c>
      <c r="S481" s="95">
        <v>0</v>
      </c>
      <c r="T481" s="95">
        <v>0</v>
      </c>
      <c r="V481" s="17">
        <v>1</v>
      </c>
      <c r="W481" s="17">
        <v>396</v>
      </c>
      <c r="X481" s="17">
        <v>34</v>
      </c>
      <c r="Y481" s="17">
        <v>5</v>
      </c>
      <c r="Z481" s="6">
        <f t="shared" si="55"/>
        <v>435</v>
      </c>
      <c r="AA481" s="11">
        <f t="shared" si="56"/>
        <v>0.91034482758620694</v>
      </c>
      <c r="AB481" s="11">
        <f t="shared" si="57"/>
        <v>7.8160919540229884E-2</v>
      </c>
      <c r="AC481" s="66">
        <f t="shared" si="58"/>
        <v>0.91034482758620694</v>
      </c>
      <c r="AD481" s="67">
        <f t="shared" si="59"/>
        <v>0.8655172413793103</v>
      </c>
    </row>
    <row r="482" spans="1:30" ht="14" customHeight="1" x14ac:dyDescent="0.2">
      <c r="A482" t="s">
        <v>730</v>
      </c>
      <c r="B482" s="7">
        <v>1</v>
      </c>
      <c r="C482" s="17">
        <v>0</v>
      </c>
      <c r="D482" s="22" t="s">
        <v>769</v>
      </c>
      <c r="E482" s="22" t="s">
        <v>765</v>
      </c>
      <c r="F482" s="17">
        <v>1997</v>
      </c>
      <c r="G482" s="18">
        <v>35507</v>
      </c>
      <c r="H482" s="22" t="s">
        <v>733</v>
      </c>
      <c r="I482" s="7">
        <v>0</v>
      </c>
      <c r="J482" s="22"/>
      <c r="K482" s="17">
        <v>0</v>
      </c>
      <c r="L482" s="59">
        <v>1</v>
      </c>
      <c r="M482" s="22" t="s">
        <v>124</v>
      </c>
      <c r="N482" s="22" t="s">
        <v>2637</v>
      </c>
      <c r="O482" s="22" t="s">
        <v>770</v>
      </c>
      <c r="P482" s="22" t="s">
        <v>771</v>
      </c>
      <c r="Q482" s="29" t="s">
        <v>772</v>
      </c>
      <c r="R482" s="95">
        <v>1</v>
      </c>
      <c r="S482" s="95">
        <v>0</v>
      </c>
      <c r="T482" s="95">
        <v>0</v>
      </c>
      <c r="V482" s="17">
        <v>1</v>
      </c>
      <c r="W482" s="17">
        <v>214</v>
      </c>
      <c r="X482" s="17">
        <v>2</v>
      </c>
      <c r="Y482" s="17">
        <v>159</v>
      </c>
      <c r="Z482" s="6">
        <f t="shared" si="55"/>
        <v>375</v>
      </c>
      <c r="AA482" s="11">
        <f t="shared" si="56"/>
        <v>0.57066666666666666</v>
      </c>
      <c r="AB482" s="11">
        <f t="shared" si="57"/>
        <v>5.3333333333333332E-3</v>
      </c>
      <c r="AC482" s="66">
        <f t="shared" si="58"/>
        <v>0.57066666666666666</v>
      </c>
      <c r="AD482" s="67">
        <f t="shared" si="59"/>
        <v>0.35599999999999998</v>
      </c>
    </row>
    <row r="483" spans="1:30" ht="14" customHeight="1" x14ac:dyDescent="0.2">
      <c r="A483" t="s">
        <v>730</v>
      </c>
      <c r="B483" s="7">
        <v>1</v>
      </c>
      <c r="C483" s="17">
        <v>0</v>
      </c>
      <c r="D483" s="22" t="s">
        <v>769</v>
      </c>
      <c r="E483" s="22" t="s">
        <v>765</v>
      </c>
      <c r="F483" s="17">
        <v>1997</v>
      </c>
      <c r="G483" s="18">
        <v>35528</v>
      </c>
      <c r="H483" s="22" t="s">
        <v>738</v>
      </c>
      <c r="I483" s="7">
        <v>0</v>
      </c>
      <c r="J483" s="22"/>
      <c r="K483" s="17">
        <v>0</v>
      </c>
      <c r="L483" s="59">
        <v>1</v>
      </c>
      <c r="M483" t="s">
        <v>2580</v>
      </c>
      <c r="N483" s="22" t="s">
        <v>2630</v>
      </c>
      <c r="P483" s="22">
        <v>4</v>
      </c>
      <c r="Q483" s="29" t="s">
        <v>773</v>
      </c>
      <c r="R483" s="95">
        <v>0</v>
      </c>
      <c r="S483" s="95">
        <v>0</v>
      </c>
      <c r="T483" s="95">
        <v>0</v>
      </c>
      <c r="V483" s="17">
        <v>0</v>
      </c>
      <c r="W483" s="17">
        <v>154</v>
      </c>
      <c r="X483" s="17">
        <v>119</v>
      </c>
      <c r="Y483" s="17">
        <v>2</v>
      </c>
      <c r="Z483" s="6">
        <f t="shared" si="55"/>
        <v>275</v>
      </c>
      <c r="AA483" s="11">
        <f t="shared" si="56"/>
        <v>0.56000000000000005</v>
      </c>
      <c r="AB483" s="11">
        <f t="shared" si="57"/>
        <v>0.43272727272727274</v>
      </c>
      <c r="AC483" s="66">
        <f t="shared" si="58"/>
        <v>0.56000000000000005</v>
      </c>
      <c r="AD483" s="67">
        <f t="shared" si="59"/>
        <v>0.34</v>
      </c>
    </row>
    <row r="484" spans="1:30" ht="14" customHeight="1" x14ac:dyDescent="0.2">
      <c r="A484" t="s">
        <v>730</v>
      </c>
      <c r="B484" s="7">
        <v>1</v>
      </c>
      <c r="C484" s="17">
        <v>0</v>
      </c>
      <c r="D484" s="22" t="s">
        <v>769</v>
      </c>
      <c r="E484" s="22" t="s">
        <v>765</v>
      </c>
      <c r="F484" s="17">
        <v>1997</v>
      </c>
      <c r="G484" s="18">
        <v>35529</v>
      </c>
      <c r="H484" s="22" t="s">
        <v>733</v>
      </c>
      <c r="I484" s="7">
        <v>0</v>
      </c>
      <c r="J484" s="22"/>
      <c r="K484" s="17">
        <v>0</v>
      </c>
      <c r="L484" s="59">
        <v>1</v>
      </c>
      <c r="M484" t="s">
        <v>2580</v>
      </c>
      <c r="N484" s="22" t="s">
        <v>2630</v>
      </c>
      <c r="P484" s="22" t="s">
        <v>774</v>
      </c>
      <c r="Q484" s="29" t="s">
        <v>775</v>
      </c>
      <c r="R484" s="95">
        <v>0</v>
      </c>
      <c r="S484" s="95">
        <v>0</v>
      </c>
      <c r="T484" s="95">
        <v>0</v>
      </c>
      <c r="V484" s="17">
        <v>0</v>
      </c>
      <c r="W484" s="17">
        <v>503</v>
      </c>
      <c r="X484" s="17">
        <v>85</v>
      </c>
      <c r="Y484" s="17">
        <v>7</v>
      </c>
      <c r="Z484" s="6">
        <f t="shared" si="55"/>
        <v>595</v>
      </c>
      <c r="AA484" s="11">
        <f t="shared" si="56"/>
        <v>0.8453781512605042</v>
      </c>
      <c r="AB484" s="11">
        <f t="shared" si="57"/>
        <v>0.14285714285714285</v>
      </c>
      <c r="AC484" s="66">
        <f t="shared" si="58"/>
        <v>0.8453781512605042</v>
      </c>
      <c r="AD484" s="67">
        <f t="shared" si="59"/>
        <v>0.76806722689075635</v>
      </c>
    </row>
    <row r="485" spans="1:30" ht="14" customHeight="1" x14ac:dyDescent="0.2">
      <c r="A485" t="s">
        <v>730</v>
      </c>
      <c r="B485" s="7">
        <v>1</v>
      </c>
      <c r="C485" s="17">
        <v>0</v>
      </c>
      <c r="D485" s="22" t="s">
        <v>764</v>
      </c>
      <c r="E485" s="22" t="s">
        <v>765</v>
      </c>
      <c r="F485" s="17">
        <v>1997</v>
      </c>
      <c r="G485" s="18">
        <v>35579</v>
      </c>
      <c r="H485" s="22" t="s">
        <v>738</v>
      </c>
      <c r="I485" s="7">
        <v>0</v>
      </c>
      <c r="J485" s="22"/>
      <c r="K485" s="17">
        <v>0</v>
      </c>
      <c r="L485" s="59">
        <v>1</v>
      </c>
      <c r="M485" t="s">
        <v>2580</v>
      </c>
      <c r="N485" s="22" t="s">
        <v>2630</v>
      </c>
      <c r="P485" s="22" t="s">
        <v>776</v>
      </c>
      <c r="Q485" s="29" t="s">
        <v>777</v>
      </c>
      <c r="R485" s="95">
        <v>0</v>
      </c>
      <c r="S485" s="95">
        <v>0</v>
      </c>
      <c r="T485" s="95">
        <v>0</v>
      </c>
      <c r="V485" s="17">
        <v>1</v>
      </c>
      <c r="W485" s="17">
        <v>125</v>
      </c>
      <c r="X485" s="17">
        <v>15</v>
      </c>
      <c r="Y485" s="17">
        <v>42</v>
      </c>
      <c r="Z485" s="6">
        <f t="shared" si="55"/>
        <v>182</v>
      </c>
      <c r="AA485" s="11">
        <f t="shared" si="56"/>
        <v>0.68681318681318682</v>
      </c>
      <c r="AB485" s="11">
        <f t="shared" si="57"/>
        <v>8.2417582417582416E-2</v>
      </c>
      <c r="AC485" s="66">
        <f t="shared" si="58"/>
        <v>0.68681318681318682</v>
      </c>
      <c r="AD485" s="67">
        <f t="shared" si="59"/>
        <v>0.53021978021978022</v>
      </c>
    </row>
    <row r="486" spans="1:30" ht="14" customHeight="1" x14ac:dyDescent="0.2">
      <c r="A486" t="s">
        <v>730</v>
      </c>
      <c r="B486" s="7">
        <v>1</v>
      </c>
      <c r="C486" s="17">
        <v>0</v>
      </c>
      <c r="D486" s="22" t="s">
        <v>764</v>
      </c>
      <c r="E486" s="22" t="s">
        <v>765</v>
      </c>
      <c r="F486" s="17">
        <v>1997</v>
      </c>
      <c r="G486" s="18">
        <v>35598</v>
      </c>
      <c r="H486" s="22" t="s">
        <v>733</v>
      </c>
      <c r="I486" s="7">
        <v>0</v>
      </c>
      <c r="J486" s="22"/>
      <c r="K486" s="17">
        <v>0</v>
      </c>
      <c r="L486" s="59">
        <v>1</v>
      </c>
      <c r="M486" t="s">
        <v>2580</v>
      </c>
      <c r="N486" s="22" t="s">
        <v>2630</v>
      </c>
      <c r="P486" s="22" t="s">
        <v>778</v>
      </c>
      <c r="Q486" s="29" t="s">
        <v>779</v>
      </c>
      <c r="R486" s="95">
        <v>0</v>
      </c>
      <c r="S486" s="95">
        <v>0</v>
      </c>
      <c r="T486" s="95">
        <v>0</v>
      </c>
      <c r="V486" s="17">
        <v>1</v>
      </c>
      <c r="W486" s="17">
        <v>291</v>
      </c>
      <c r="X486" s="17">
        <v>55</v>
      </c>
      <c r="Y486" s="17">
        <v>10</v>
      </c>
      <c r="Z486" s="6">
        <f t="shared" si="55"/>
        <v>356</v>
      </c>
      <c r="AA486" s="11">
        <f t="shared" si="56"/>
        <v>0.81741573033707871</v>
      </c>
      <c r="AB486" s="11">
        <f t="shared" si="57"/>
        <v>0.1544943820224719</v>
      </c>
      <c r="AC486" s="66">
        <f t="shared" si="58"/>
        <v>0.81741573033707871</v>
      </c>
      <c r="AD486" s="67">
        <f t="shared" si="59"/>
        <v>0.726123595505618</v>
      </c>
    </row>
    <row r="487" spans="1:30" ht="14" customHeight="1" x14ac:dyDescent="0.2">
      <c r="A487" t="s">
        <v>730</v>
      </c>
      <c r="B487" s="7">
        <v>1</v>
      </c>
      <c r="C487" s="17">
        <v>0</v>
      </c>
      <c r="D487" s="22" t="s">
        <v>764</v>
      </c>
      <c r="E487" s="22" t="s">
        <v>765</v>
      </c>
      <c r="F487" s="17">
        <v>1997</v>
      </c>
      <c r="G487" s="18">
        <v>35612</v>
      </c>
      <c r="H487" s="22" t="s">
        <v>733</v>
      </c>
      <c r="I487" s="7">
        <v>0</v>
      </c>
      <c r="J487" s="22"/>
      <c r="K487" s="17">
        <v>0</v>
      </c>
      <c r="L487" s="59">
        <v>1</v>
      </c>
      <c r="M487" s="21" t="s">
        <v>2604</v>
      </c>
      <c r="N487" s="21" t="s">
        <v>2630</v>
      </c>
      <c r="P487" s="22" t="s">
        <v>780</v>
      </c>
      <c r="Q487" s="29" t="s">
        <v>781</v>
      </c>
      <c r="R487" s="95">
        <v>1</v>
      </c>
      <c r="S487" s="95">
        <v>0</v>
      </c>
      <c r="T487" s="95">
        <v>0</v>
      </c>
      <c r="V487" s="17">
        <v>0</v>
      </c>
      <c r="W487" s="17">
        <v>301</v>
      </c>
      <c r="X487" s="17">
        <v>1</v>
      </c>
      <c r="Y487" s="17">
        <v>1</v>
      </c>
      <c r="Z487" s="6">
        <f t="shared" si="55"/>
        <v>303</v>
      </c>
      <c r="AA487" s="11">
        <f t="shared" si="56"/>
        <v>0.99339933993399343</v>
      </c>
      <c r="AB487" s="11">
        <f t="shared" si="57"/>
        <v>3.3003300330033004E-3</v>
      </c>
      <c r="AC487" s="66">
        <f t="shared" si="58"/>
        <v>0.99339933993399343</v>
      </c>
      <c r="AD487" s="67">
        <f t="shared" si="59"/>
        <v>0.99009900990099009</v>
      </c>
    </row>
    <row r="488" spans="1:30" ht="14" customHeight="1" x14ac:dyDescent="0.2">
      <c r="A488" t="s">
        <v>730</v>
      </c>
      <c r="B488" s="7">
        <v>1</v>
      </c>
      <c r="C488" s="17">
        <v>0</v>
      </c>
      <c r="D488" s="22" t="s">
        <v>769</v>
      </c>
      <c r="E488" s="22" t="s">
        <v>765</v>
      </c>
      <c r="F488" s="17">
        <v>1997</v>
      </c>
      <c r="G488" s="18">
        <v>35641</v>
      </c>
      <c r="H488" s="22" t="s">
        <v>733</v>
      </c>
      <c r="I488" s="7">
        <v>0</v>
      </c>
      <c r="J488" s="22"/>
      <c r="K488" s="17">
        <v>0</v>
      </c>
      <c r="L488" s="59">
        <v>1</v>
      </c>
      <c r="M488" t="s">
        <v>2580</v>
      </c>
      <c r="N488" s="22" t="s">
        <v>2630</v>
      </c>
      <c r="P488" s="22" t="s">
        <v>782</v>
      </c>
      <c r="Q488" s="29" t="s">
        <v>783</v>
      </c>
      <c r="R488" s="95">
        <v>0</v>
      </c>
      <c r="S488" s="95">
        <v>0</v>
      </c>
      <c r="T488" s="95">
        <v>0</v>
      </c>
      <c r="V488" s="17">
        <v>1</v>
      </c>
      <c r="W488" s="17">
        <v>371</v>
      </c>
      <c r="X488" s="17">
        <v>51</v>
      </c>
      <c r="Y488" s="17">
        <v>7</v>
      </c>
      <c r="Z488" s="6">
        <f t="shared" si="55"/>
        <v>429</v>
      </c>
      <c r="AA488" s="11">
        <f t="shared" si="56"/>
        <v>0.86480186480186483</v>
      </c>
      <c r="AB488" s="11">
        <f t="shared" si="57"/>
        <v>0.11888111888111888</v>
      </c>
      <c r="AC488" s="66">
        <f t="shared" si="58"/>
        <v>0.86480186480186483</v>
      </c>
      <c r="AD488" s="67">
        <f t="shared" si="59"/>
        <v>0.79720279720279719</v>
      </c>
    </row>
    <row r="489" spans="1:30" ht="14" customHeight="1" x14ac:dyDescent="0.2">
      <c r="A489" t="s">
        <v>730</v>
      </c>
      <c r="B489" s="7">
        <v>1</v>
      </c>
      <c r="C489" s="17">
        <v>0</v>
      </c>
      <c r="D489" s="22" t="s">
        <v>764</v>
      </c>
      <c r="E489" s="22" t="s">
        <v>765</v>
      </c>
      <c r="F489" s="17">
        <v>1997</v>
      </c>
      <c r="G489" s="18">
        <v>35768</v>
      </c>
      <c r="H489" s="22" t="s">
        <v>733</v>
      </c>
      <c r="I489" s="7">
        <v>0</v>
      </c>
      <c r="J489" s="22"/>
      <c r="K489" s="17">
        <v>0</v>
      </c>
      <c r="L489" s="59">
        <v>1</v>
      </c>
      <c r="M489" t="s">
        <v>2580</v>
      </c>
      <c r="N489" s="22" t="s">
        <v>2630</v>
      </c>
      <c r="P489" s="22" t="s">
        <v>784</v>
      </c>
      <c r="Q489" s="29" t="s">
        <v>785</v>
      </c>
      <c r="R489" s="95">
        <v>0</v>
      </c>
      <c r="S489" s="95">
        <v>0</v>
      </c>
      <c r="T489" s="95">
        <v>0</v>
      </c>
      <c r="V489" s="17">
        <v>1</v>
      </c>
      <c r="W489" s="17">
        <v>314</v>
      </c>
      <c r="X489" s="17">
        <v>35</v>
      </c>
      <c r="Y489" s="17">
        <v>12</v>
      </c>
      <c r="Z489" s="6">
        <f t="shared" si="55"/>
        <v>361</v>
      </c>
      <c r="AA489" s="11">
        <f t="shared" si="56"/>
        <v>0.86980609418282551</v>
      </c>
      <c r="AB489" s="11">
        <f t="shared" si="57"/>
        <v>9.6952908587257622E-2</v>
      </c>
      <c r="AC489" s="66">
        <f t="shared" si="58"/>
        <v>0.86980609418282551</v>
      </c>
      <c r="AD489" s="67">
        <f t="shared" si="59"/>
        <v>0.8047091412742382</v>
      </c>
    </row>
    <row r="490" spans="1:30" ht="14" customHeight="1" x14ac:dyDescent="0.2">
      <c r="A490" t="s">
        <v>730</v>
      </c>
      <c r="B490" s="7">
        <v>1</v>
      </c>
      <c r="C490" s="17">
        <v>0</v>
      </c>
      <c r="D490" s="22" t="s">
        <v>769</v>
      </c>
      <c r="E490" s="22" t="s">
        <v>765</v>
      </c>
      <c r="F490" s="17">
        <v>1998</v>
      </c>
      <c r="G490" s="18">
        <v>35843</v>
      </c>
      <c r="H490" s="22" t="s">
        <v>738</v>
      </c>
      <c r="I490" s="7">
        <v>0</v>
      </c>
      <c r="J490" s="22"/>
      <c r="K490" s="17">
        <v>0</v>
      </c>
      <c r="L490" s="59">
        <v>1</v>
      </c>
      <c r="M490" s="22" t="s">
        <v>135</v>
      </c>
      <c r="N490" s="22" t="s">
        <v>2637</v>
      </c>
      <c r="O490" s="22" t="s">
        <v>786</v>
      </c>
      <c r="P490" s="22" t="s">
        <v>787</v>
      </c>
      <c r="Q490" s="29" t="s">
        <v>788</v>
      </c>
      <c r="R490" s="95">
        <v>1</v>
      </c>
      <c r="S490" s="95">
        <v>0</v>
      </c>
      <c r="T490" s="95">
        <v>0</v>
      </c>
      <c r="V490" s="17">
        <v>1</v>
      </c>
      <c r="W490" s="17">
        <v>185</v>
      </c>
      <c r="X490" s="17">
        <v>0</v>
      </c>
      <c r="Y490" s="17">
        <v>15</v>
      </c>
      <c r="Z490" s="6">
        <f t="shared" si="55"/>
        <v>200</v>
      </c>
      <c r="AA490" s="11">
        <f t="shared" si="56"/>
        <v>0.92500000000000004</v>
      </c>
      <c r="AB490" s="11">
        <f t="shared" si="57"/>
        <v>0</v>
      </c>
      <c r="AC490" s="66">
        <f t="shared" si="58"/>
        <v>0.92500000000000004</v>
      </c>
      <c r="AD490" s="67">
        <f t="shared" si="59"/>
        <v>0.88749999999999996</v>
      </c>
    </row>
    <row r="491" spans="1:30" ht="14" customHeight="1" x14ac:dyDescent="0.2">
      <c r="A491" t="s">
        <v>730</v>
      </c>
      <c r="B491" s="7">
        <v>1</v>
      </c>
      <c r="C491" s="17">
        <v>0</v>
      </c>
      <c r="D491" s="22" t="s">
        <v>769</v>
      </c>
      <c r="E491" s="22" t="s">
        <v>765</v>
      </c>
      <c r="F491" s="17">
        <v>1998</v>
      </c>
      <c r="G491" s="18">
        <v>35864</v>
      </c>
      <c r="H491" s="22" t="s">
        <v>733</v>
      </c>
      <c r="I491" s="7">
        <v>0</v>
      </c>
      <c r="J491" s="22"/>
      <c r="K491" s="17">
        <v>0</v>
      </c>
      <c r="L491" s="59">
        <v>1</v>
      </c>
      <c r="M491" s="22" t="s">
        <v>135</v>
      </c>
      <c r="N491" s="22" t="s">
        <v>2637</v>
      </c>
      <c r="O491" s="22" t="s">
        <v>786</v>
      </c>
      <c r="P491" s="22" t="s">
        <v>789</v>
      </c>
      <c r="Q491" s="29" t="s">
        <v>790</v>
      </c>
      <c r="R491" s="95">
        <v>1</v>
      </c>
      <c r="S491" s="95">
        <v>0</v>
      </c>
      <c r="T491" s="95">
        <v>0</v>
      </c>
      <c r="V491" s="17">
        <v>1</v>
      </c>
      <c r="W491" s="17">
        <v>347</v>
      </c>
      <c r="X491" s="17">
        <v>31</v>
      </c>
      <c r="Y491" s="17">
        <v>33</v>
      </c>
      <c r="Z491" s="6">
        <f t="shared" si="55"/>
        <v>411</v>
      </c>
      <c r="AA491" s="11">
        <f t="shared" si="56"/>
        <v>0.84428223844282235</v>
      </c>
      <c r="AB491" s="11">
        <f t="shared" si="57"/>
        <v>7.5425790754257913E-2</v>
      </c>
      <c r="AC491" s="66">
        <f t="shared" si="58"/>
        <v>0.84428223844282235</v>
      </c>
      <c r="AD491" s="67">
        <f t="shared" si="59"/>
        <v>0.76642335766423353</v>
      </c>
    </row>
    <row r="492" spans="1:30" ht="14" customHeight="1" x14ac:dyDescent="0.2">
      <c r="A492" t="s">
        <v>730</v>
      </c>
      <c r="B492" s="7">
        <v>1</v>
      </c>
      <c r="C492" s="17">
        <v>0</v>
      </c>
      <c r="D492" s="22" t="s">
        <v>764</v>
      </c>
      <c r="E492" s="22" t="s">
        <v>765</v>
      </c>
      <c r="F492" s="17">
        <v>1998</v>
      </c>
      <c r="G492" s="18">
        <v>36006</v>
      </c>
      <c r="H492" s="22" t="s">
        <v>733</v>
      </c>
      <c r="I492" s="7">
        <v>0</v>
      </c>
      <c r="J492" s="22"/>
      <c r="K492" s="17">
        <v>0</v>
      </c>
      <c r="L492" s="59">
        <v>1</v>
      </c>
      <c r="M492" s="22" t="s">
        <v>2885</v>
      </c>
      <c r="N492" s="22" t="s">
        <v>2637</v>
      </c>
      <c r="O492" s="22" t="s">
        <v>791</v>
      </c>
      <c r="P492" s="22" t="s">
        <v>792</v>
      </c>
      <c r="Q492" s="29" t="s">
        <v>793</v>
      </c>
      <c r="R492" s="95">
        <v>1</v>
      </c>
      <c r="S492" s="95">
        <v>0</v>
      </c>
      <c r="T492" s="95">
        <v>0</v>
      </c>
      <c r="V492" s="17">
        <v>1</v>
      </c>
      <c r="W492" s="17">
        <v>324</v>
      </c>
      <c r="X492" s="17">
        <v>0</v>
      </c>
      <c r="Y492" s="17">
        <v>1</v>
      </c>
      <c r="Z492" s="6">
        <f t="shared" si="55"/>
        <v>325</v>
      </c>
      <c r="AA492" s="11">
        <f t="shared" si="56"/>
        <v>0.99692307692307691</v>
      </c>
      <c r="AB492" s="11">
        <f t="shared" si="57"/>
        <v>0</v>
      </c>
      <c r="AC492" s="66">
        <f t="shared" si="58"/>
        <v>0.99692307692307691</v>
      </c>
      <c r="AD492" s="67">
        <f t="shared" si="59"/>
        <v>0.99538461538461542</v>
      </c>
    </row>
    <row r="493" spans="1:30" ht="14" customHeight="1" x14ac:dyDescent="0.2">
      <c r="A493" t="s">
        <v>730</v>
      </c>
      <c r="B493" s="7">
        <v>1</v>
      </c>
      <c r="C493" s="17">
        <v>0</v>
      </c>
      <c r="D493" s="22" t="s">
        <v>794</v>
      </c>
      <c r="E493" s="22" t="s">
        <v>795</v>
      </c>
      <c r="F493" s="17">
        <v>1999</v>
      </c>
      <c r="G493" s="18">
        <v>36221</v>
      </c>
      <c r="H493" s="22" t="s">
        <v>733</v>
      </c>
      <c r="I493" s="7">
        <v>0</v>
      </c>
      <c r="J493" s="22"/>
      <c r="K493" s="17">
        <v>0</v>
      </c>
      <c r="L493" s="59">
        <v>1</v>
      </c>
      <c r="M493" s="22" t="s">
        <v>2887</v>
      </c>
      <c r="N493" s="22" t="s">
        <v>2637</v>
      </c>
      <c r="O493" s="22" t="s">
        <v>796</v>
      </c>
      <c r="P493" s="22" t="s">
        <v>797</v>
      </c>
      <c r="Q493" s="29" t="s">
        <v>798</v>
      </c>
      <c r="R493" s="95">
        <v>1</v>
      </c>
      <c r="S493" s="95">
        <v>0</v>
      </c>
      <c r="T493" s="95">
        <v>0</v>
      </c>
      <c r="V493" s="17">
        <v>1</v>
      </c>
      <c r="W493" s="17">
        <v>347</v>
      </c>
      <c r="X493" s="17">
        <v>0</v>
      </c>
      <c r="Y493" s="17">
        <v>65</v>
      </c>
      <c r="Z493" s="6">
        <f t="shared" si="55"/>
        <v>412</v>
      </c>
      <c r="AA493" s="11">
        <f t="shared" si="56"/>
        <v>0.84223300970873782</v>
      </c>
      <c r="AB493" s="11">
        <f t="shared" si="57"/>
        <v>0</v>
      </c>
      <c r="AC493" s="66">
        <f t="shared" si="58"/>
        <v>0.84223300970873782</v>
      </c>
      <c r="AD493" s="67">
        <f t="shared" si="59"/>
        <v>0.76334951456310685</v>
      </c>
    </row>
    <row r="494" spans="1:30" ht="14" customHeight="1" x14ac:dyDescent="0.2">
      <c r="A494" t="s">
        <v>730</v>
      </c>
      <c r="B494" s="7">
        <v>1</v>
      </c>
      <c r="C494" s="17">
        <v>0</v>
      </c>
      <c r="D494" s="22" t="s">
        <v>794</v>
      </c>
      <c r="E494" s="22" t="s">
        <v>795</v>
      </c>
      <c r="F494" s="17">
        <v>1999</v>
      </c>
      <c r="G494" s="18">
        <v>36245</v>
      </c>
      <c r="H494" s="22" t="s">
        <v>733</v>
      </c>
      <c r="I494" s="7">
        <v>0</v>
      </c>
      <c r="J494" s="22"/>
      <c r="K494" s="17">
        <v>0</v>
      </c>
      <c r="L494" s="59">
        <v>1</v>
      </c>
      <c r="M494" s="22" t="s">
        <v>109</v>
      </c>
      <c r="N494" s="22" t="s">
        <v>2630</v>
      </c>
      <c r="P494" s="22" t="s">
        <v>799</v>
      </c>
      <c r="Q494" s="29" t="s">
        <v>800</v>
      </c>
      <c r="R494" s="95">
        <v>1</v>
      </c>
      <c r="S494" s="95">
        <v>0</v>
      </c>
      <c r="T494" s="95">
        <v>0</v>
      </c>
      <c r="V494" s="17">
        <v>0</v>
      </c>
      <c r="W494" s="17">
        <v>318</v>
      </c>
      <c r="X494" s="17">
        <v>188</v>
      </c>
      <c r="Y494" s="17">
        <v>6</v>
      </c>
      <c r="Z494" s="6">
        <f t="shared" si="55"/>
        <v>512</v>
      </c>
      <c r="AA494" s="11">
        <f t="shared" si="56"/>
        <v>0.62109375</v>
      </c>
      <c r="AB494" s="11">
        <f t="shared" si="57"/>
        <v>0.3671875</v>
      </c>
      <c r="AC494" s="66">
        <f t="shared" si="58"/>
        <v>0.62109375</v>
      </c>
      <c r="AD494" s="67">
        <f t="shared" si="59"/>
        <v>0.431640625</v>
      </c>
    </row>
    <row r="495" spans="1:30" ht="14" customHeight="1" x14ac:dyDescent="0.2">
      <c r="A495" t="s">
        <v>730</v>
      </c>
      <c r="B495" s="7">
        <v>1</v>
      </c>
      <c r="C495" s="17">
        <v>0</v>
      </c>
      <c r="D495" s="22" t="s">
        <v>794</v>
      </c>
      <c r="E495" s="22" t="s">
        <v>795</v>
      </c>
      <c r="F495" s="17">
        <v>1999</v>
      </c>
      <c r="G495" s="18">
        <v>36263</v>
      </c>
      <c r="H495" s="22" t="s">
        <v>733</v>
      </c>
      <c r="I495" s="7">
        <v>0</v>
      </c>
      <c r="J495" s="22"/>
      <c r="K495" s="17">
        <v>0</v>
      </c>
      <c r="L495" s="59">
        <v>1</v>
      </c>
      <c r="M495" s="22" t="s">
        <v>109</v>
      </c>
      <c r="N495" s="22" t="s">
        <v>2630</v>
      </c>
      <c r="P495" s="22" t="s">
        <v>801</v>
      </c>
      <c r="Q495" s="29" t="s">
        <v>802</v>
      </c>
      <c r="R495" s="95">
        <v>1</v>
      </c>
      <c r="S495" s="95">
        <v>0</v>
      </c>
      <c r="T495" s="95">
        <v>0</v>
      </c>
      <c r="V495" s="17">
        <v>1</v>
      </c>
      <c r="W495" s="17">
        <v>293</v>
      </c>
      <c r="X495" s="17">
        <v>4</v>
      </c>
      <c r="Y495" s="17">
        <v>156</v>
      </c>
      <c r="Z495" s="6">
        <f t="shared" si="55"/>
        <v>453</v>
      </c>
      <c r="AA495" s="11">
        <f t="shared" si="56"/>
        <v>0.64679911699779247</v>
      </c>
      <c r="AB495" s="11">
        <f t="shared" si="57"/>
        <v>8.8300220750551876E-3</v>
      </c>
      <c r="AC495" s="66">
        <f t="shared" si="58"/>
        <v>0.64679911699779247</v>
      </c>
      <c r="AD495" s="67">
        <f t="shared" si="59"/>
        <v>0.47019867549668876</v>
      </c>
    </row>
    <row r="496" spans="1:30" ht="14" customHeight="1" x14ac:dyDescent="0.2">
      <c r="A496" t="s">
        <v>730</v>
      </c>
      <c r="B496" s="7">
        <v>1</v>
      </c>
      <c r="C496" s="17">
        <v>0</v>
      </c>
      <c r="D496" s="22" t="s">
        <v>794</v>
      </c>
      <c r="E496" s="22" t="s">
        <v>795</v>
      </c>
      <c r="F496" s="17">
        <v>1999</v>
      </c>
      <c r="G496" s="18">
        <v>36299</v>
      </c>
      <c r="H496" s="22" t="s">
        <v>733</v>
      </c>
      <c r="I496" s="7">
        <v>0</v>
      </c>
      <c r="J496" s="22"/>
      <c r="K496" s="17">
        <v>0</v>
      </c>
      <c r="L496" s="59">
        <v>1</v>
      </c>
      <c r="M496" s="22" t="s">
        <v>109</v>
      </c>
      <c r="N496" s="22" t="s">
        <v>2630</v>
      </c>
      <c r="P496" s="22" t="s">
        <v>803</v>
      </c>
      <c r="Q496" s="29" t="s">
        <v>804</v>
      </c>
      <c r="R496" s="95">
        <v>1</v>
      </c>
      <c r="S496" s="95">
        <v>0</v>
      </c>
      <c r="T496" s="95">
        <v>0</v>
      </c>
      <c r="V496" s="17">
        <v>1</v>
      </c>
      <c r="W496" s="17">
        <v>308</v>
      </c>
      <c r="X496" s="17">
        <v>189</v>
      </c>
      <c r="Y496" s="17">
        <v>60</v>
      </c>
      <c r="Z496" s="6">
        <f t="shared" si="55"/>
        <v>557</v>
      </c>
      <c r="AA496" s="11">
        <f t="shared" si="56"/>
        <v>0.55296229802513464</v>
      </c>
      <c r="AB496" s="11">
        <f t="shared" si="57"/>
        <v>0.33931777378815081</v>
      </c>
      <c r="AC496" s="66">
        <f t="shared" si="58"/>
        <v>0.55296229802513464</v>
      </c>
      <c r="AD496" s="67">
        <f t="shared" si="59"/>
        <v>0.32944344703770195</v>
      </c>
    </row>
    <row r="497" spans="1:30" ht="14" customHeight="1" x14ac:dyDescent="0.2">
      <c r="A497" t="s">
        <v>730</v>
      </c>
      <c r="B497" s="7">
        <v>1</v>
      </c>
      <c r="C497" s="17">
        <v>0</v>
      </c>
      <c r="D497" s="22" t="s">
        <v>794</v>
      </c>
      <c r="E497" s="22" t="s">
        <v>795</v>
      </c>
      <c r="F497" s="17">
        <v>1999</v>
      </c>
      <c r="G497" s="18">
        <v>36327</v>
      </c>
      <c r="H497" s="22" t="s">
        <v>733</v>
      </c>
      <c r="I497" s="7">
        <v>0</v>
      </c>
      <c r="J497" s="22"/>
      <c r="K497" s="17">
        <v>0</v>
      </c>
      <c r="L497" s="59">
        <v>1</v>
      </c>
      <c r="M497" s="22" t="s">
        <v>109</v>
      </c>
      <c r="N497" s="22" t="s">
        <v>2630</v>
      </c>
      <c r="P497" s="22" t="s">
        <v>805</v>
      </c>
      <c r="Q497" s="29" t="s">
        <v>806</v>
      </c>
      <c r="R497" s="95">
        <v>1</v>
      </c>
      <c r="S497" s="95">
        <v>0</v>
      </c>
      <c r="T497" s="95">
        <v>0</v>
      </c>
      <c r="V497" s="17">
        <v>1</v>
      </c>
      <c r="W497" s="17">
        <v>296</v>
      </c>
      <c r="X497" s="17">
        <v>18</v>
      </c>
      <c r="Y497" s="17">
        <v>2</v>
      </c>
      <c r="Z497" s="6">
        <f t="shared" si="55"/>
        <v>316</v>
      </c>
      <c r="AA497" s="11">
        <f t="shared" si="56"/>
        <v>0.93670886075949367</v>
      </c>
      <c r="AB497" s="11">
        <f t="shared" si="57"/>
        <v>5.6962025316455694E-2</v>
      </c>
      <c r="AC497" s="66">
        <f t="shared" si="58"/>
        <v>0.93670886075949367</v>
      </c>
      <c r="AD497" s="67">
        <f t="shared" si="59"/>
        <v>0.90506329113924056</v>
      </c>
    </row>
    <row r="498" spans="1:30" ht="14" customHeight="1" x14ac:dyDescent="0.2">
      <c r="A498" t="s">
        <v>730</v>
      </c>
      <c r="B498" s="7">
        <v>1</v>
      </c>
      <c r="C498" s="17">
        <v>0</v>
      </c>
      <c r="D498" s="22" t="s">
        <v>794</v>
      </c>
      <c r="E498" s="22" t="s">
        <v>795</v>
      </c>
      <c r="F498" s="17">
        <v>1999</v>
      </c>
      <c r="G498" s="18">
        <v>36354</v>
      </c>
      <c r="H498" s="22" t="s">
        <v>733</v>
      </c>
      <c r="I498" s="7">
        <v>0</v>
      </c>
      <c r="J498" s="22"/>
      <c r="K498" s="17">
        <v>0</v>
      </c>
      <c r="L498" s="59">
        <v>1</v>
      </c>
      <c r="M498" s="22" t="s">
        <v>2889</v>
      </c>
      <c r="N498" s="22" t="s">
        <v>2637</v>
      </c>
      <c r="O498" s="22" t="s">
        <v>807</v>
      </c>
      <c r="P498" s="22" t="s">
        <v>808</v>
      </c>
      <c r="Q498" s="29" t="s">
        <v>809</v>
      </c>
      <c r="R498" s="95">
        <v>1</v>
      </c>
      <c r="S498" s="95">
        <v>0</v>
      </c>
      <c r="T498" s="95">
        <v>0</v>
      </c>
      <c r="V498" s="17">
        <v>1</v>
      </c>
      <c r="W498" s="17">
        <v>297</v>
      </c>
      <c r="X498" s="17">
        <v>2</v>
      </c>
      <c r="Y498" s="17">
        <v>24</v>
      </c>
      <c r="Z498" s="6">
        <f t="shared" si="55"/>
        <v>323</v>
      </c>
      <c r="AA498" s="11">
        <f t="shared" si="56"/>
        <v>0.91950464396284826</v>
      </c>
      <c r="AB498" s="11">
        <f t="shared" si="57"/>
        <v>6.1919504643962852E-3</v>
      </c>
      <c r="AC498" s="66">
        <f t="shared" si="58"/>
        <v>0.91950464396284826</v>
      </c>
      <c r="AD498" s="67">
        <f t="shared" si="59"/>
        <v>0.87925696594427249</v>
      </c>
    </row>
    <row r="499" spans="1:30" ht="14" customHeight="1" x14ac:dyDescent="0.2">
      <c r="A499" t="s">
        <v>730</v>
      </c>
      <c r="B499" s="7">
        <v>1</v>
      </c>
      <c r="C499" s="17">
        <v>0</v>
      </c>
      <c r="D499" s="22" t="s">
        <v>794</v>
      </c>
      <c r="E499" s="22" t="s">
        <v>810</v>
      </c>
      <c r="F499" s="17">
        <v>1999</v>
      </c>
      <c r="G499" s="18">
        <v>36489</v>
      </c>
      <c r="H499" s="22" t="s">
        <v>733</v>
      </c>
      <c r="I499" s="7">
        <v>0</v>
      </c>
      <c r="J499" s="22"/>
      <c r="K499" s="17">
        <v>0</v>
      </c>
      <c r="L499" s="59">
        <v>1</v>
      </c>
      <c r="M499" s="22" t="s">
        <v>2891</v>
      </c>
      <c r="N499" s="22" t="s">
        <v>2637</v>
      </c>
      <c r="O499" s="22" t="s">
        <v>811</v>
      </c>
      <c r="P499" s="22" t="s">
        <v>812</v>
      </c>
      <c r="Q499" s="29" t="s">
        <v>813</v>
      </c>
      <c r="R499" s="95">
        <v>1</v>
      </c>
      <c r="S499" s="95">
        <v>0</v>
      </c>
      <c r="T499" s="95">
        <v>0</v>
      </c>
      <c r="V499" s="17">
        <v>1</v>
      </c>
      <c r="W499" s="17">
        <v>284</v>
      </c>
      <c r="X499" s="17">
        <v>1</v>
      </c>
      <c r="Y499" s="17">
        <v>15</v>
      </c>
      <c r="Z499" s="6">
        <f t="shared" si="55"/>
        <v>300</v>
      </c>
      <c r="AA499" s="11">
        <f t="shared" si="56"/>
        <v>0.94666666666666666</v>
      </c>
      <c r="AB499" s="11">
        <f t="shared" si="57"/>
        <v>3.3333333333333335E-3</v>
      </c>
      <c r="AC499" s="66">
        <f t="shared" si="58"/>
        <v>0.94666666666666666</v>
      </c>
      <c r="AD499" s="67">
        <f t="shared" si="59"/>
        <v>0.92</v>
      </c>
    </row>
    <row r="500" spans="1:30" ht="14" customHeight="1" x14ac:dyDescent="0.2">
      <c r="A500" t="s">
        <v>730</v>
      </c>
      <c r="B500" s="7">
        <v>1</v>
      </c>
      <c r="C500" s="17">
        <v>0</v>
      </c>
      <c r="D500" s="22" t="s">
        <v>814</v>
      </c>
      <c r="E500" s="22" t="s">
        <v>815</v>
      </c>
      <c r="F500" s="17">
        <v>2000</v>
      </c>
      <c r="G500" s="18">
        <v>36591</v>
      </c>
      <c r="H500" s="22" t="s">
        <v>733</v>
      </c>
      <c r="I500" s="7">
        <v>0</v>
      </c>
      <c r="J500" s="22"/>
      <c r="K500" s="17">
        <v>0</v>
      </c>
      <c r="L500" s="59">
        <v>1</v>
      </c>
      <c r="M500" s="22" t="s">
        <v>2893</v>
      </c>
      <c r="N500" s="22" t="s">
        <v>2637</v>
      </c>
      <c r="O500" s="22" t="s">
        <v>816</v>
      </c>
      <c r="P500" s="22" t="s">
        <v>817</v>
      </c>
      <c r="Q500" s="29" t="s">
        <v>818</v>
      </c>
      <c r="R500" s="95">
        <v>1</v>
      </c>
      <c r="S500" s="95">
        <v>0</v>
      </c>
      <c r="T500" s="95">
        <v>0</v>
      </c>
      <c r="V500" s="17">
        <v>1</v>
      </c>
      <c r="W500" s="17">
        <v>302</v>
      </c>
      <c r="X500" s="17">
        <v>2</v>
      </c>
      <c r="Y500" s="17">
        <v>6</v>
      </c>
      <c r="Z500" s="6">
        <f t="shared" si="55"/>
        <v>310</v>
      </c>
      <c r="AA500" s="11">
        <f t="shared" si="56"/>
        <v>0.97419354838709682</v>
      </c>
      <c r="AB500" s="11">
        <f t="shared" si="57"/>
        <v>6.4516129032258064E-3</v>
      </c>
      <c r="AC500" s="66">
        <f t="shared" si="58"/>
        <v>0.97419354838709682</v>
      </c>
      <c r="AD500" s="67">
        <f t="shared" si="59"/>
        <v>0.96129032258064517</v>
      </c>
    </row>
    <row r="501" spans="1:30" ht="14" customHeight="1" x14ac:dyDescent="0.2">
      <c r="A501" t="s">
        <v>730</v>
      </c>
      <c r="B501" s="7">
        <v>1</v>
      </c>
      <c r="C501" s="17">
        <v>0</v>
      </c>
      <c r="D501" s="22" t="s">
        <v>819</v>
      </c>
      <c r="E501" s="22" t="s">
        <v>820</v>
      </c>
      <c r="F501" s="17">
        <v>2000</v>
      </c>
      <c r="G501" s="18">
        <v>36733</v>
      </c>
      <c r="H501" s="22" t="s">
        <v>733</v>
      </c>
      <c r="I501" s="7">
        <v>0</v>
      </c>
      <c r="J501" s="22"/>
      <c r="K501" s="17">
        <v>0</v>
      </c>
      <c r="L501" s="59">
        <v>1</v>
      </c>
      <c r="M501" s="22" t="s">
        <v>2893</v>
      </c>
      <c r="N501" s="22" t="s">
        <v>2637</v>
      </c>
      <c r="O501" s="22" t="s">
        <v>816</v>
      </c>
      <c r="P501" s="22" t="s">
        <v>821</v>
      </c>
      <c r="Q501" s="29" t="s">
        <v>822</v>
      </c>
      <c r="R501" s="95">
        <v>1</v>
      </c>
      <c r="S501" s="95">
        <v>0</v>
      </c>
      <c r="T501" s="95">
        <v>0</v>
      </c>
      <c r="V501" s="17">
        <v>1</v>
      </c>
      <c r="W501" s="17">
        <v>417</v>
      </c>
      <c r="X501" s="17">
        <v>52</v>
      </c>
      <c r="Y501" s="17">
        <v>5</v>
      </c>
      <c r="Z501" s="6">
        <f t="shared" si="55"/>
        <v>474</v>
      </c>
      <c r="AA501" s="11">
        <f t="shared" si="56"/>
        <v>0.879746835443038</v>
      </c>
      <c r="AB501" s="11">
        <f t="shared" si="57"/>
        <v>0.10970464135021098</v>
      </c>
      <c r="AC501" s="66">
        <f t="shared" si="58"/>
        <v>0.879746835443038</v>
      </c>
      <c r="AD501" s="67">
        <f t="shared" si="59"/>
        <v>0.819620253164557</v>
      </c>
    </row>
    <row r="502" spans="1:30" ht="14" customHeight="1" x14ac:dyDescent="0.2">
      <c r="A502" t="s">
        <v>730</v>
      </c>
      <c r="B502" s="7">
        <v>1</v>
      </c>
      <c r="C502" s="17">
        <v>0</v>
      </c>
      <c r="D502" s="22" t="s">
        <v>819</v>
      </c>
      <c r="E502" s="22" t="s">
        <v>820</v>
      </c>
      <c r="F502" s="17">
        <v>2001</v>
      </c>
      <c r="G502" s="18">
        <v>36929</v>
      </c>
      <c r="H502" s="22" t="s">
        <v>733</v>
      </c>
      <c r="I502" s="7">
        <v>0</v>
      </c>
      <c r="J502" s="22"/>
      <c r="K502" s="17">
        <v>0</v>
      </c>
      <c r="L502" s="59">
        <v>1</v>
      </c>
      <c r="M502" s="22" t="s">
        <v>2894</v>
      </c>
      <c r="N502" s="22" t="s">
        <v>2637</v>
      </c>
      <c r="O502" s="22" t="s">
        <v>823</v>
      </c>
      <c r="P502" s="22" t="s">
        <v>824</v>
      </c>
      <c r="Q502" s="29" t="s">
        <v>825</v>
      </c>
      <c r="R502" s="95">
        <v>1</v>
      </c>
      <c r="S502" s="95">
        <v>0</v>
      </c>
      <c r="T502" s="95">
        <v>0</v>
      </c>
      <c r="V502" s="17">
        <v>1</v>
      </c>
      <c r="W502" s="17">
        <v>276</v>
      </c>
      <c r="X502" s="17">
        <v>7</v>
      </c>
      <c r="Y502" s="17">
        <v>8</v>
      </c>
      <c r="Z502" s="6">
        <f t="shared" si="55"/>
        <v>291</v>
      </c>
      <c r="AA502" s="11">
        <f t="shared" si="56"/>
        <v>0.94845360824742264</v>
      </c>
      <c r="AB502" s="11">
        <f t="shared" si="57"/>
        <v>2.4054982817869417E-2</v>
      </c>
      <c r="AC502" s="66">
        <f t="shared" si="58"/>
        <v>0.94845360824742264</v>
      </c>
      <c r="AD502" s="67">
        <f t="shared" si="59"/>
        <v>0.92268041237113407</v>
      </c>
    </row>
    <row r="503" spans="1:30" ht="14" customHeight="1" x14ac:dyDescent="0.2">
      <c r="A503" t="s">
        <v>730</v>
      </c>
      <c r="B503" s="7">
        <v>1</v>
      </c>
      <c r="C503" s="17">
        <v>0</v>
      </c>
      <c r="D503" s="22" t="s">
        <v>826</v>
      </c>
      <c r="E503" s="22" t="s">
        <v>827</v>
      </c>
      <c r="F503" s="17">
        <v>2001</v>
      </c>
      <c r="G503" s="18">
        <v>37105</v>
      </c>
      <c r="H503" s="22" t="s">
        <v>733</v>
      </c>
      <c r="I503" s="7">
        <v>0</v>
      </c>
      <c r="J503" s="22"/>
      <c r="K503" s="17">
        <v>0</v>
      </c>
      <c r="L503" s="59">
        <v>1</v>
      </c>
      <c r="M503" s="22" t="s">
        <v>2894</v>
      </c>
      <c r="N503" s="22" t="s">
        <v>2637</v>
      </c>
      <c r="O503" s="22" t="s">
        <v>823</v>
      </c>
      <c r="P503" s="22" t="s">
        <v>828</v>
      </c>
      <c r="Q503" s="29" t="s">
        <v>829</v>
      </c>
      <c r="R503" s="95">
        <v>1</v>
      </c>
      <c r="S503" s="95">
        <v>0</v>
      </c>
      <c r="T503" s="95">
        <v>0</v>
      </c>
      <c r="V503" s="17">
        <v>1</v>
      </c>
      <c r="W503" s="17">
        <v>380</v>
      </c>
      <c r="X503" s="17">
        <v>10</v>
      </c>
      <c r="Y503" s="17">
        <v>5</v>
      </c>
      <c r="Z503" s="6">
        <f t="shared" si="55"/>
        <v>395</v>
      </c>
      <c r="AA503" s="11">
        <f t="shared" si="56"/>
        <v>0.96202531645569622</v>
      </c>
      <c r="AB503" s="11">
        <f t="shared" si="57"/>
        <v>2.5316455696202531E-2</v>
      </c>
      <c r="AC503" s="66">
        <f t="shared" si="58"/>
        <v>0.96202531645569622</v>
      </c>
      <c r="AD503" s="67">
        <f t="shared" si="59"/>
        <v>0.94303797468354433</v>
      </c>
    </row>
    <row r="504" spans="1:30" ht="14" customHeight="1" x14ac:dyDescent="0.2">
      <c r="A504" t="s">
        <v>730</v>
      </c>
      <c r="B504" s="7">
        <v>1</v>
      </c>
      <c r="C504" s="17">
        <v>0</v>
      </c>
      <c r="D504" s="22" t="s">
        <v>826</v>
      </c>
      <c r="E504" s="22" t="s">
        <v>827</v>
      </c>
      <c r="F504" s="17">
        <v>2001</v>
      </c>
      <c r="G504" s="18">
        <v>37173</v>
      </c>
      <c r="H504" s="22" t="s">
        <v>738</v>
      </c>
      <c r="I504" s="7">
        <v>0</v>
      </c>
      <c r="J504" s="22"/>
      <c r="K504" s="17">
        <v>0</v>
      </c>
      <c r="L504" s="59">
        <v>1</v>
      </c>
      <c r="M504" s="22" t="s">
        <v>830</v>
      </c>
      <c r="N504" s="5" t="s">
        <v>422</v>
      </c>
      <c r="P504" s="22" t="s">
        <v>833</v>
      </c>
      <c r="Q504" s="29" t="s">
        <v>834</v>
      </c>
      <c r="R504" s="95">
        <v>1</v>
      </c>
      <c r="S504" s="95">
        <v>0</v>
      </c>
      <c r="T504" s="95">
        <v>0</v>
      </c>
      <c r="V504" s="17">
        <v>0</v>
      </c>
      <c r="W504" s="17">
        <v>152</v>
      </c>
      <c r="X504" s="17">
        <v>26</v>
      </c>
      <c r="Y504" s="17">
        <v>1</v>
      </c>
      <c r="Z504" s="6">
        <f t="shared" si="55"/>
        <v>179</v>
      </c>
      <c r="AA504" s="11">
        <f t="shared" si="56"/>
        <v>0.84916201117318435</v>
      </c>
      <c r="AB504" s="11">
        <f t="shared" si="57"/>
        <v>0.14525139664804471</v>
      </c>
      <c r="AC504" s="66">
        <f t="shared" si="58"/>
        <v>0.84916201117318435</v>
      </c>
      <c r="AD504" s="67">
        <f t="shared" si="59"/>
        <v>0.77374301675977653</v>
      </c>
    </row>
    <row r="505" spans="1:30" ht="14" customHeight="1" x14ac:dyDescent="0.2">
      <c r="A505" t="s">
        <v>730</v>
      </c>
      <c r="B505" s="7">
        <v>1</v>
      </c>
      <c r="C505" s="17">
        <v>0</v>
      </c>
      <c r="D505" s="22" t="s">
        <v>826</v>
      </c>
      <c r="E505" s="22" t="s">
        <v>827</v>
      </c>
      <c r="F505" s="17">
        <v>2001</v>
      </c>
      <c r="G505" s="18">
        <v>37173</v>
      </c>
      <c r="H505" s="22" t="s">
        <v>733</v>
      </c>
      <c r="I505" s="7">
        <v>0</v>
      </c>
      <c r="J505" s="22"/>
      <c r="K505" s="17">
        <v>0</v>
      </c>
      <c r="L505" s="59">
        <v>1</v>
      </c>
      <c r="M505" s="22" t="s">
        <v>830</v>
      </c>
      <c r="N505" s="5" t="s">
        <v>422</v>
      </c>
      <c r="P505" s="22" t="s">
        <v>831</v>
      </c>
      <c r="Q505" s="29" t="s">
        <v>832</v>
      </c>
      <c r="R505" s="95">
        <v>1</v>
      </c>
      <c r="S505" s="95">
        <v>0</v>
      </c>
      <c r="T505" s="95">
        <v>0</v>
      </c>
      <c r="V505" s="17">
        <v>0</v>
      </c>
      <c r="W505" s="17">
        <v>335</v>
      </c>
      <c r="X505" s="17">
        <v>43</v>
      </c>
      <c r="Y505" s="17">
        <v>159</v>
      </c>
      <c r="Z505" s="6">
        <f t="shared" si="55"/>
        <v>537</v>
      </c>
      <c r="AA505" s="11">
        <f t="shared" si="56"/>
        <v>0.62383612662942267</v>
      </c>
      <c r="AB505" s="11">
        <f t="shared" si="57"/>
        <v>8.0074487895716945E-2</v>
      </c>
      <c r="AC505" s="66">
        <f t="shared" si="58"/>
        <v>0.62383612662942267</v>
      </c>
      <c r="AD505" s="67">
        <f t="shared" si="59"/>
        <v>0.43575418994413406</v>
      </c>
    </row>
    <row r="506" spans="1:30" ht="14" customHeight="1" x14ac:dyDescent="0.2">
      <c r="A506" t="s">
        <v>730</v>
      </c>
      <c r="B506" s="7">
        <v>1</v>
      </c>
      <c r="C506" s="17">
        <v>0</v>
      </c>
      <c r="D506" s="22" t="s">
        <v>826</v>
      </c>
      <c r="E506" s="22" t="s">
        <v>827</v>
      </c>
      <c r="F506" s="17">
        <v>2001</v>
      </c>
      <c r="G506" s="18">
        <v>37181</v>
      </c>
      <c r="H506" s="22" t="s">
        <v>733</v>
      </c>
      <c r="I506" s="7">
        <v>0</v>
      </c>
      <c r="J506" s="22"/>
      <c r="K506" s="17">
        <v>0</v>
      </c>
      <c r="L506" s="59">
        <v>1</v>
      </c>
      <c r="M506" s="22" t="s">
        <v>2851</v>
      </c>
      <c r="N506" s="22" t="s">
        <v>2630</v>
      </c>
      <c r="P506" s="22" t="s">
        <v>835</v>
      </c>
      <c r="Q506" s="29" t="s">
        <v>836</v>
      </c>
      <c r="R506" s="95">
        <v>1</v>
      </c>
      <c r="S506" s="95">
        <v>0</v>
      </c>
      <c r="T506" s="95">
        <v>0</v>
      </c>
      <c r="V506" s="17">
        <v>0</v>
      </c>
      <c r="W506" s="17">
        <v>450</v>
      </c>
      <c r="X506" s="17">
        <v>10</v>
      </c>
      <c r="Y506" s="17">
        <v>0</v>
      </c>
      <c r="Z506" s="6">
        <f t="shared" si="55"/>
        <v>460</v>
      </c>
      <c r="AA506" s="11">
        <f t="shared" si="56"/>
        <v>0.97826086956521741</v>
      </c>
      <c r="AB506" s="11">
        <f t="shared" si="57"/>
        <v>2.1739130434782608E-2</v>
      </c>
      <c r="AC506" s="66">
        <f t="shared" si="58"/>
        <v>0.97826086956521741</v>
      </c>
      <c r="AD506" s="67">
        <f t="shared" si="59"/>
        <v>0.96739130434782605</v>
      </c>
    </row>
    <row r="507" spans="1:30" ht="14" customHeight="1" x14ac:dyDescent="0.2">
      <c r="A507" t="s">
        <v>730</v>
      </c>
      <c r="B507" s="7">
        <v>1</v>
      </c>
      <c r="C507" s="17">
        <v>0</v>
      </c>
      <c r="D507" s="22" t="s">
        <v>826</v>
      </c>
      <c r="E507" s="22" t="s">
        <v>827</v>
      </c>
      <c r="F507" s="17">
        <v>2001</v>
      </c>
      <c r="G507" s="18">
        <v>37202</v>
      </c>
      <c r="H507" s="22" t="s">
        <v>738</v>
      </c>
      <c r="I507" s="7">
        <v>0</v>
      </c>
      <c r="J507" s="22"/>
      <c r="K507" s="17">
        <v>0</v>
      </c>
      <c r="L507" s="59">
        <v>1</v>
      </c>
      <c r="M507" s="22" t="s">
        <v>830</v>
      </c>
      <c r="N507" s="5" t="s">
        <v>422</v>
      </c>
      <c r="P507" s="22" t="s">
        <v>839</v>
      </c>
      <c r="Q507" s="29" t="s">
        <v>840</v>
      </c>
      <c r="R507" s="95">
        <v>1</v>
      </c>
      <c r="S507" s="95">
        <v>0</v>
      </c>
      <c r="T507" s="95">
        <v>0</v>
      </c>
      <c r="V507" s="17">
        <v>0</v>
      </c>
      <c r="W507" s="17">
        <v>246</v>
      </c>
      <c r="X507" s="17">
        <v>32</v>
      </c>
      <c r="Y507" s="17">
        <v>0</v>
      </c>
      <c r="Z507" s="6">
        <f t="shared" si="55"/>
        <v>278</v>
      </c>
      <c r="AA507" s="11">
        <f t="shared" si="56"/>
        <v>0.8848920863309353</v>
      </c>
      <c r="AB507" s="11">
        <f t="shared" si="57"/>
        <v>0.11510791366906475</v>
      </c>
      <c r="AC507" s="66">
        <f t="shared" si="58"/>
        <v>0.8848920863309353</v>
      </c>
      <c r="AD507" s="67">
        <f t="shared" si="59"/>
        <v>0.82733812949640284</v>
      </c>
    </row>
    <row r="508" spans="1:30" ht="14" customHeight="1" x14ac:dyDescent="0.2">
      <c r="A508" t="s">
        <v>730</v>
      </c>
      <c r="B508" s="7">
        <v>1</v>
      </c>
      <c r="C508" s="17">
        <v>0</v>
      </c>
      <c r="D508" s="22" t="s">
        <v>826</v>
      </c>
      <c r="E508" s="22" t="s">
        <v>827</v>
      </c>
      <c r="F508" s="17">
        <v>2001</v>
      </c>
      <c r="G508" s="18">
        <v>37202</v>
      </c>
      <c r="H508" s="22" t="s">
        <v>733</v>
      </c>
      <c r="I508" s="7">
        <v>0</v>
      </c>
      <c r="J508" s="22"/>
      <c r="K508" s="17">
        <v>0</v>
      </c>
      <c r="L508" s="59">
        <v>1</v>
      </c>
      <c r="M508" s="22" t="s">
        <v>830</v>
      </c>
      <c r="N508" s="5" t="s">
        <v>422</v>
      </c>
      <c r="P508" s="22" t="s">
        <v>837</v>
      </c>
      <c r="Q508" s="29" t="s">
        <v>838</v>
      </c>
      <c r="R508" s="95">
        <v>1</v>
      </c>
      <c r="S508" s="95">
        <v>0</v>
      </c>
      <c r="T508" s="95">
        <v>0</v>
      </c>
      <c r="V508" s="17">
        <v>0</v>
      </c>
      <c r="W508" s="17">
        <v>513</v>
      </c>
      <c r="X508" s="17">
        <v>35</v>
      </c>
      <c r="Y508" s="17">
        <v>2</v>
      </c>
      <c r="Z508" s="6">
        <f t="shared" si="55"/>
        <v>550</v>
      </c>
      <c r="AA508" s="11">
        <f t="shared" si="56"/>
        <v>0.93272727272727274</v>
      </c>
      <c r="AB508" s="11">
        <f t="shared" si="57"/>
        <v>6.363636363636363E-2</v>
      </c>
      <c r="AC508" s="66">
        <f t="shared" si="58"/>
        <v>0.93272727272727274</v>
      </c>
      <c r="AD508" s="67">
        <f t="shared" si="59"/>
        <v>0.89909090909090905</v>
      </c>
    </row>
    <row r="509" spans="1:30" ht="14" customHeight="1" x14ac:dyDescent="0.2">
      <c r="A509" t="s">
        <v>730</v>
      </c>
      <c r="B509" s="7">
        <v>1</v>
      </c>
      <c r="C509" s="17">
        <v>0</v>
      </c>
      <c r="D509" s="22" t="s">
        <v>826</v>
      </c>
      <c r="E509" s="22" t="s">
        <v>827</v>
      </c>
      <c r="F509" s="17">
        <v>2002</v>
      </c>
      <c r="G509" s="18">
        <v>37279</v>
      </c>
      <c r="H509" s="22" t="s">
        <v>738</v>
      </c>
      <c r="I509" s="7">
        <v>0</v>
      </c>
      <c r="J509" s="22"/>
      <c r="K509" s="17">
        <v>0</v>
      </c>
      <c r="L509" s="59">
        <v>1</v>
      </c>
      <c r="M509" s="22" t="s">
        <v>830</v>
      </c>
      <c r="N509" s="5" t="s">
        <v>422</v>
      </c>
      <c r="P509" s="22" t="s">
        <v>841</v>
      </c>
      <c r="Q509" s="29" t="s">
        <v>842</v>
      </c>
      <c r="R509" s="95">
        <v>1</v>
      </c>
      <c r="S509" s="95">
        <v>0</v>
      </c>
      <c r="T509" s="95">
        <v>0</v>
      </c>
      <c r="V509" s="17">
        <v>0</v>
      </c>
      <c r="W509" s="17">
        <v>140</v>
      </c>
      <c r="X509" s="17">
        <v>25</v>
      </c>
      <c r="Y509" s="17">
        <v>4</v>
      </c>
      <c r="Z509" s="6">
        <f t="shared" si="55"/>
        <v>169</v>
      </c>
      <c r="AA509" s="11">
        <f t="shared" si="56"/>
        <v>0.82840236686390534</v>
      </c>
      <c r="AB509" s="11">
        <f t="shared" si="57"/>
        <v>0.14792899408284024</v>
      </c>
      <c r="AC509" s="66">
        <f t="shared" si="58"/>
        <v>0.82840236686390534</v>
      </c>
      <c r="AD509" s="67">
        <f t="shared" si="59"/>
        <v>0.74260355029585801</v>
      </c>
    </row>
    <row r="510" spans="1:30" ht="14" customHeight="1" x14ac:dyDescent="0.2">
      <c r="A510" t="s">
        <v>730</v>
      </c>
      <c r="B510" s="7">
        <v>1</v>
      </c>
      <c r="C510" s="17">
        <v>0</v>
      </c>
      <c r="D510" s="22" t="s">
        <v>826</v>
      </c>
      <c r="E510" s="22" t="s">
        <v>827</v>
      </c>
      <c r="F510" s="17">
        <v>2002</v>
      </c>
      <c r="G510" s="18">
        <v>37285</v>
      </c>
      <c r="H510" s="22" t="s">
        <v>733</v>
      </c>
      <c r="I510" s="7">
        <v>0</v>
      </c>
      <c r="J510" s="22"/>
      <c r="K510" s="17">
        <v>0</v>
      </c>
      <c r="L510" s="59">
        <v>1</v>
      </c>
      <c r="M510" s="22" t="s">
        <v>830</v>
      </c>
      <c r="N510" s="5" t="s">
        <v>422</v>
      </c>
      <c r="P510" s="22" t="s">
        <v>843</v>
      </c>
      <c r="Q510" s="29" t="s">
        <v>844</v>
      </c>
      <c r="R510" s="95">
        <v>1</v>
      </c>
      <c r="S510" s="95">
        <v>0</v>
      </c>
      <c r="T510" s="95">
        <v>0</v>
      </c>
      <c r="V510" s="17">
        <v>0</v>
      </c>
      <c r="W510" s="17">
        <v>363</v>
      </c>
      <c r="X510" s="17">
        <v>36</v>
      </c>
      <c r="Y510" s="17">
        <v>17</v>
      </c>
      <c r="Z510" s="6">
        <f t="shared" si="55"/>
        <v>416</v>
      </c>
      <c r="AA510" s="11">
        <f t="shared" si="56"/>
        <v>0.87259615384615385</v>
      </c>
      <c r="AB510" s="11">
        <f t="shared" si="57"/>
        <v>8.6538461538461536E-2</v>
      </c>
      <c r="AC510" s="66">
        <f t="shared" si="58"/>
        <v>0.87259615384615385</v>
      </c>
      <c r="AD510" s="67">
        <f t="shared" si="59"/>
        <v>0.80889423076923073</v>
      </c>
    </row>
    <row r="511" spans="1:30" ht="14" customHeight="1" x14ac:dyDescent="0.2">
      <c r="A511" t="s">
        <v>730</v>
      </c>
      <c r="B511" s="7">
        <v>1</v>
      </c>
      <c r="C511" s="17">
        <v>0</v>
      </c>
      <c r="D511" s="22" t="s">
        <v>826</v>
      </c>
      <c r="E511" s="22" t="s">
        <v>827</v>
      </c>
      <c r="F511" s="17">
        <v>2002</v>
      </c>
      <c r="G511" s="18">
        <v>37286</v>
      </c>
      <c r="H511" s="22" t="s">
        <v>738</v>
      </c>
      <c r="I511" s="7">
        <v>0</v>
      </c>
      <c r="J511" s="22"/>
      <c r="K511" s="17">
        <v>0</v>
      </c>
      <c r="L511" s="59">
        <v>1</v>
      </c>
      <c r="M511" s="22" t="s">
        <v>2897</v>
      </c>
      <c r="N511" s="22" t="s">
        <v>2630</v>
      </c>
      <c r="O511" s="22" t="s">
        <v>845</v>
      </c>
      <c r="P511" s="22" t="s">
        <v>846</v>
      </c>
      <c r="Q511" s="29" t="s">
        <v>847</v>
      </c>
      <c r="R511" s="95"/>
      <c r="S511" s="95"/>
      <c r="T511" s="95"/>
      <c r="V511" s="17">
        <v>1</v>
      </c>
      <c r="W511" s="17">
        <v>145</v>
      </c>
      <c r="X511" s="17">
        <v>19</v>
      </c>
      <c r="Y511" s="17">
        <v>1</v>
      </c>
      <c r="Z511" s="6">
        <f t="shared" si="55"/>
        <v>165</v>
      </c>
      <c r="AA511" s="11">
        <f t="shared" si="56"/>
        <v>0.87878787878787878</v>
      </c>
      <c r="AB511" s="11">
        <f t="shared" si="57"/>
        <v>0.11515151515151516</v>
      </c>
      <c r="AC511" s="66">
        <f t="shared" si="58"/>
        <v>0.87878787878787878</v>
      </c>
      <c r="AD511" s="67">
        <f t="shared" si="59"/>
        <v>0.81818181818181823</v>
      </c>
    </row>
    <row r="512" spans="1:30" ht="14" customHeight="1" x14ac:dyDescent="0.2">
      <c r="A512" t="s">
        <v>730</v>
      </c>
      <c r="B512" s="7">
        <v>1</v>
      </c>
      <c r="C512" s="17">
        <v>0</v>
      </c>
      <c r="D512" s="22" t="s">
        <v>826</v>
      </c>
      <c r="E512" s="22" t="s">
        <v>827</v>
      </c>
      <c r="F512" s="17">
        <v>2002</v>
      </c>
      <c r="G512" s="18">
        <v>37301</v>
      </c>
      <c r="H512" s="22" t="s">
        <v>733</v>
      </c>
      <c r="I512" s="7">
        <v>0</v>
      </c>
      <c r="J512" s="22"/>
      <c r="K512" s="17">
        <v>0</v>
      </c>
      <c r="L512" s="59">
        <v>1</v>
      </c>
      <c r="M512" s="22" t="s">
        <v>2897</v>
      </c>
      <c r="N512" s="22" t="s">
        <v>2630</v>
      </c>
      <c r="O512" s="22" t="s">
        <v>845</v>
      </c>
      <c r="P512" s="22" t="s">
        <v>848</v>
      </c>
      <c r="Q512" s="29" t="s">
        <v>849</v>
      </c>
      <c r="R512" s="95"/>
      <c r="S512" s="95"/>
      <c r="T512" s="95"/>
      <c r="V512" s="17">
        <v>1</v>
      </c>
      <c r="W512" s="17">
        <v>314</v>
      </c>
      <c r="X512" s="17">
        <v>45</v>
      </c>
      <c r="Y512" s="17">
        <v>4</v>
      </c>
      <c r="Z512" s="6">
        <f t="shared" si="55"/>
        <v>363</v>
      </c>
      <c r="AA512" s="11">
        <f t="shared" si="56"/>
        <v>0.86501377410468316</v>
      </c>
      <c r="AB512" s="11">
        <f t="shared" si="57"/>
        <v>0.12396694214876033</v>
      </c>
      <c r="AC512" s="66">
        <f t="shared" si="58"/>
        <v>0.86501377410468316</v>
      </c>
      <c r="AD512" s="67">
        <f t="shared" si="59"/>
        <v>0.7975206611570248</v>
      </c>
    </row>
    <row r="513" spans="1:95" ht="14" customHeight="1" x14ac:dyDescent="0.2">
      <c r="A513" t="s">
        <v>730</v>
      </c>
      <c r="B513" s="7">
        <v>1</v>
      </c>
      <c r="C513" s="17">
        <v>0</v>
      </c>
      <c r="D513" s="22" t="s">
        <v>826</v>
      </c>
      <c r="E513" s="22" t="s">
        <v>827</v>
      </c>
      <c r="F513" s="17">
        <v>2002</v>
      </c>
      <c r="G513" s="18">
        <v>37411</v>
      </c>
      <c r="H513" s="22" t="s">
        <v>733</v>
      </c>
      <c r="I513" s="7">
        <v>0</v>
      </c>
      <c r="J513" s="22"/>
      <c r="K513" s="17">
        <v>0</v>
      </c>
      <c r="L513" s="59">
        <v>1</v>
      </c>
      <c r="M513" s="22" t="s">
        <v>2898</v>
      </c>
      <c r="N513" s="22" t="s">
        <v>2637</v>
      </c>
      <c r="O513" s="22" t="s">
        <v>850</v>
      </c>
      <c r="P513" s="22" t="s">
        <v>851</v>
      </c>
      <c r="Q513" s="29" t="s">
        <v>852</v>
      </c>
      <c r="R513" s="95"/>
      <c r="S513" s="95"/>
      <c r="T513" s="95"/>
      <c r="V513" s="17">
        <v>1</v>
      </c>
      <c r="W513" s="17">
        <v>382</v>
      </c>
      <c r="X513" s="17">
        <v>52</v>
      </c>
      <c r="Y513" s="17">
        <v>15</v>
      </c>
      <c r="Z513" s="6">
        <f t="shared" si="55"/>
        <v>449</v>
      </c>
      <c r="AA513" s="11">
        <f t="shared" si="56"/>
        <v>0.8507795100222717</v>
      </c>
      <c r="AB513" s="11">
        <f t="shared" si="57"/>
        <v>0.11581291759465479</v>
      </c>
      <c r="AC513" s="66">
        <f t="shared" si="58"/>
        <v>0.8507795100222717</v>
      </c>
      <c r="AD513" s="67">
        <f t="shared" si="59"/>
        <v>0.77616926503340755</v>
      </c>
    </row>
    <row r="514" spans="1:95" ht="14" customHeight="1" x14ac:dyDescent="0.2">
      <c r="A514" t="s">
        <v>730</v>
      </c>
      <c r="B514" s="7">
        <v>1</v>
      </c>
      <c r="C514" s="17">
        <v>0</v>
      </c>
      <c r="D514" s="22" t="s">
        <v>826</v>
      </c>
      <c r="E514" s="22" t="s">
        <v>827</v>
      </c>
      <c r="F514" s="17">
        <v>2002</v>
      </c>
      <c r="G514" s="18">
        <v>37418</v>
      </c>
      <c r="H514" s="22" t="s">
        <v>738</v>
      </c>
      <c r="I514" s="7">
        <v>0</v>
      </c>
      <c r="J514" s="22"/>
      <c r="K514" s="17">
        <v>0</v>
      </c>
      <c r="L514" s="59">
        <v>1</v>
      </c>
      <c r="M514" s="22" t="s">
        <v>2898</v>
      </c>
      <c r="N514" s="22" t="s">
        <v>2637</v>
      </c>
      <c r="O514" s="22" t="s">
        <v>850</v>
      </c>
      <c r="P514" s="22" t="s">
        <v>853</v>
      </c>
      <c r="Q514" s="29" t="s">
        <v>854</v>
      </c>
      <c r="R514" s="95"/>
      <c r="S514" s="95"/>
      <c r="T514" s="95"/>
      <c r="V514" s="17">
        <v>1</v>
      </c>
      <c r="W514" s="17">
        <v>155</v>
      </c>
      <c r="X514" s="17">
        <v>21</v>
      </c>
      <c r="Y514" s="17">
        <v>5</v>
      </c>
      <c r="Z514" s="6">
        <f t="shared" si="55"/>
        <v>181</v>
      </c>
      <c r="AA514" s="11">
        <f t="shared" si="56"/>
        <v>0.85635359116022103</v>
      </c>
      <c r="AB514" s="11">
        <f t="shared" si="57"/>
        <v>0.11602209944751381</v>
      </c>
      <c r="AC514" s="66">
        <f t="shared" si="58"/>
        <v>0.85635359116022103</v>
      </c>
      <c r="AD514" s="67">
        <f t="shared" si="59"/>
        <v>0.78453038674033149</v>
      </c>
    </row>
    <row r="515" spans="1:95" ht="14" customHeight="1" x14ac:dyDescent="0.2">
      <c r="A515" t="s">
        <v>730</v>
      </c>
      <c r="B515" s="7">
        <v>1</v>
      </c>
      <c r="C515" s="17">
        <v>0</v>
      </c>
      <c r="D515" s="22" t="s">
        <v>826</v>
      </c>
      <c r="E515" s="22" t="s">
        <v>827</v>
      </c>
      <c r="F515" s="17">
        <v>2002</v>
      </c>
      <c r="G515" s="18">
        <v>37532</v>
      </c>
      <c r="H515" s="22" t="s">
        <v>738</v>
      </c>
      <c r="I515" s="7">
        <v>0</v>
      </c>
      <c r="J515" s="22"/>
      <c r="K515" s="17">
        <v>0</v>
      </c>
      <c r="L515" s="59">
        <v>1</v>
      </c>
      <c r="M515" s="22" t="s">
        <v>830</v>
      </c>
      <c r="N515" s="5" t="s">
        <v>422</v>
      </c>
      <c r="P515" s="22">
        <v>1</v>
      </c>
      <c r="Q515" s="29" t="s">
        <v>857</v>
      </c>
      <c r="R515" s="95">
        <v>1</v>
      </c>
      <c r="S515" s="95">
        <v>0</v>
      </c>
      <c r="T515" s="95">
        <v>0</v>
      </c>
      <c r="V515" s="17">
        <v>0</v>
      </c>
      <c r="W515" s="17">
        <v>144</v>
      </c>
      <c r="X515" s="17">
        <v>70</v>
      </c>
      <c r="Y515" s="17">
        <v>4</v>
      </c>
      <c r="Z515" s="6">
        <f t="shared" si="55"/>
        <v>218</v>
      </c>
      <c r="AA515" s="11">
        <f t="shared" si="56"/>
        <v>0.66055045871559637</v>
      </c>
      <c r="AB515" s="11">
        <f t="shared" si="57"/>
        <v>0.32110091743119268</v>
      </c>
      <c r="AC515" s="66">
        <f t="shared" si="58"/>
        <v>0.66055045871559637</v>
      </c>
      <c r="AD515" s="67">
        <f t="shared" si="59"/>
        <v>0.49082568807339449</v>
      </c>
    </row>
    <row r="516" spans="1:95" ht="14" customHeight="1" x14ac:dyDescent="0.2">
      <c r="A516" t="s">
        <v>730</v>
      </c>
      <c r="B516" s="7">
        <v>1</v>
      </c>
      <c r="C516" s="17">
        <v>0</v>
      </c>
      <c r="D516" s="22" t="s">
        <v>826</v>
      </c>
      <c r="E516" s="22" t="s">
        <v>827</v>
      </c>
      <c r="F516" s="17">
        <v>2002</v>
      </c>
      <c r="G516" s="18">
        <v>37532</v>
      </c>
      <c r="H516" s="22" t="s">
        <v>733</v>
      </c>
      <c r="I516" s="7">
        <v>0</v>
      </c>
      <c r="J516" s="22"/>
      <c r="K516" s="17">
        <v>0</v>
      </c>
      <c r="L516" s="59">
        <v>1</v>
      </c>
      <c r="M516" s="22" t="s">
        <v>830</v>
      </c>
      <c r="N516" s="5" t="s">
        <v>422</v>
      </c>
      <c r="P516" s="22" t="s">
        <v>855</v>
      </c>
      <c r="Q516" s="29" t="s">
        <v>856</v>
      </c>
      <c r="R516" s="95">
        <v>1</v>
      </c>
      <c r="S516" s="95">
        <v>0</v>
      </c>
      <c r="T516" s="95">
        <v>0</v>
      </c>
      <c r="V516" s="17">
        <v>0</v>
      </c>
      <c r="W516" s="17">
        <v>266</v>
      </c>
      <c r="X516" s="17">
        <v>151</v>
      </c>
      <c r="Y516" s="17">
        <v>65</v>
      </c>
      <c r="Z516" s="6">
        <f t="shared" si="55"/>
        <v>482</v>
      </c>
      <c r="AA516" s="11">
        <f t="shared" si="56"/>
        <v>0.55186721991701249</v>
      </c>
      <c r="AB516" s="11">
        <f t="shared" si="57"/>
        <v>0.31327800829875518</v>
      </c>
      <c r="AC516" s="66">
        <f t="shared" si="58"/>
        <v>0.55186721991701249</v>
      </c>
      <c r="AD516" s="67">
        <f t="shared" si="59"/>
        <v>0.32780082987551867</v>
      </c>
    </row>
    <row r="517" spans="1:95" ht="14" customHeight="1" x14ac:dyDescent="0.2">
      <c r="A517" t="s">
        <v>730</v>
      </c>
      <c r="B517" s="7">
        <v>1</v>
      </c>
      <c r="C517" s="17">
        <v>0</v>
      </c>
      <c r="D517" s="22" t="s">
        <v>826</v>
      </c>
      <c r="E517" s="22" t="s">
        <v>827</v>
      </c>
      <c r="F517" s="17">
        <v>2003</v>
      </c>
      <c r="G517" s="18">
        <v>37672</v>
      </c>
      <c r="H517" s="22" t="s">
        <v>733</v>
      </c>
      <c r="I517" s="7">
        <v>0</v>
      </c>
      <c r="J517" s="22"/>
      <c r="K517" s="17">
        <v>0</v>
      </c>
      <c r="L517" s="59">
        <v>1</v>
      </c>
      <c r="M517" s="22" t="s">
        <v>2899</v>
      </c>
      <c r="N517" s="22" t="s">
        <v>2637</v>
      </c>
      <c r="O517" s="22" t="s">
        <v>858</v>
      </c>
      <c r="P517" s="22" t="s">
        <v>859</v>
      </c>
      <c r="Q517" s="29" t="s">
        <v>860</v>
      </c>
      <c r="R517" s="95"/>
      <c r="S517" s="95"/>
      <c r="T517" s="95"/>
      <c r="V517" s="17">
        <v>1</v>
      </c>
      <c r="W517" s="17">
        <v>322</v>
      </c>
      <c r="X517" s="17">
        <v>11</v>
      </c>
      <c r="Y517" s="17">
        <v>11</v>
      </c>
      <c r="Z517" s="6">
        <f t="shared" si="55"/>
        <v>344</v>
      </c>
      <c r="AA517" s="11">
        <f t="shared" si="56"/>
        <v>0.93604651162790697</v>
      </c>
      <c r="AB517" s="11">
        <f t="shared" si="57"/>
        <v>3.1976744186046513E-2</v>
      </c>
      <c r="AC517" s="66">
        <f t="shared" si="58"/>
        <v>0.93604651162790697</v>
      </c>
      <c r="AD517" s="67">
        <f t="shared" si="59"/>
        <v>0.90406976744186052</v>
      </c>
    </row>
    <row r="518" spans="1:95" ht="14" customHeight="1" x14ac:dyDescent="0.2">
      <c r="A518" t="s">
        <v>730</v>
      </c>
      <c r="B518" s="7">
        <v>1</v>
      </c>
      <c r="C518" s="17">
        <v>0</v>
      </c>
      <c r="D518" s="22" t="s">
        <v>826</v>
      </c>
      <c r="E518" s="22" t="s">
        <v>827</v>
      </c>
      <c r="F518" s="17">
        <v>2003</v>
      </c>
      <c r="G518" s="18">
        <v>37699</v>
      </c>
      <c r="H518" s="22" t="s">
        <v>738</v>
      </c>
      <c r="I518" s="7">
        <v>0</v>
      </c>
      <c r="J518" s="22"/>
      <c r="K518" s="17">
        <v>0</v>
      </c>
      <c r="L518" s="59">
        <v>1</v>
      </c>
      <c r="M518" t="s">
        <v>30</v>
      </c>
      <c r="N518" t="s">
        <v>2121</v>
      </c>
      <c r="P518" s="22">
        <v>3</v>
      </c>
      <c r="Q518" s="29" t="s">
        <v>863</v>
      </c>
      <c r="R518" s="95">
        <v>1</v>
      </c>
      <c r="S518" s="95">
        <v>0</v>
      </c>
      <c r="T518" s="95">
        <v>0</v>
      </c>
      <c r="V518" s="17">
        <v>0</v>
      </c>
      <c r="W518" s="17">
        <v>159</v>
      </c>
      <c r="X518" s="17">
        <v>124</v>
      </c>
      <c r="Y518" s="17">
        <v>1</v>
      </c>
      <c r="Z518" s="6">
        <f t="shared" si="55"/>
        <v>284</v>
      </c>
      <c r="AA518" s="11">
        <f t="shared" si="56"/>
        <v>0.5598591549295775</v>
      </c>
      <c r="AB518" s="11">
        <f t="shared" si="57"/>
        <v>0.43661971830985913</v>
      </c>
      <c r="AC518" s="66">
        <f t="shared" si="58"/>
        <v>0.5598591549295775</v>
      </c>
      <c r="AD518" s="67">
        <f t="shared" si="59"/>
        <v>0.33978873239436619</v>
      </c>
    </row>
    <row r="519" spans="1:95" ht="14" customHeight="1" x14ac:dyDescent="0.2">
      <c r="A519" t="s">
        <v>730</v>
      </c>
      <c r="B519" s="7">
        <v>1</v>
      </c>
      <c r="C519" s="17">
        <v>0</v>
      </c>
      <c r="D519" s="22" t="s">
        <v>826</v>
      </c>
      <c r="E519" s="22" t="s">
        <v>827</v>
      </c>
      <c r="F519" s="17">
        <v>2003</v>
      </c>
      <c r="G519" s="18">
        <v>37699</v>
      </c>
      <c r="H519" s="22" t="s">
        <v>733</v>
      </c>
      <c r="I519" s="7">
        <v>0</v>
      </c>
      <c r="J519" s="22"/>
      <c r="K519" s="17">
        <v>0</v>
      </c>
      <c r="L519" s="59">
        <v>1</v>
      </c>
      <c r="M519" t="s">
        <v>30</v>
      </c>
      <c r="N519" t="s">
        <v>2121</v>
      </c>
      <c r="P519" s="22" t="s">
        <v>861</v>
      </c>
      <c r="Q519" s="29" t="s">
        <v>862</v>
      </c>
      <c r="R519" s="95">
        <v>1</v>
      </c>
      <c r="S519" s="95">
        <v>0</v>
      </c>
      <c r="T519" s="95">
        <v>0</v>
      </c>
      <c r="V519" s="17">
        <v>0</v>
      </c>
      <c r="W519" s="17">
        <v>304</v>
      </c>
      <c r="X519" s="17">
        <v>246</v>
      </c>
      <c r="Y519" s="17">
        <v>8</v>
      </c>
      <c r="Z519" s="6">
        <f t="shared" si="55"/>
        <v>558</v>
      </c>
      <c r="AA519" s="11">
        <f t="shared" si="56"/>
        <v>0.54480286738351258</v>
      </c>
      <c r="AB519" s="11">
        <f t="shared" si="57"/>
        <v>0.44086021505376344</v>
      </c>
      <c r="AC519" s="66">
        <f t="shared" si="58"/>
        <v>0.54480286738351258</v>
      </c>
      <c r="AD519" s="67">
        <f t="shared" si="59"/>
        <v>0.31720430107526881</v>
      </c>
    </row>
    <row r="520" spans="1:95" ht="14" customHeight="1" x14ac:dyDescent="0.2">
      <c r="A520" t="s">
        <v>730</v>
      </c>
      <c r="B520" s="7">
        <v>1</v>
      </c>
      <c r="C520" s="17">
        <v>0</v>
      </c>
      <c r="D520" s="22" t="s">
        <v>826</v>
      </c>
      <c r="E520" s="22" t="s">
        <v>827</v>
      </c>
      <c r="F520" s="17">
        <v>2003</v>
      </c>
      <c r="G520" s="18">
        <v>37726</v>
      </c>
      <c r="H520" s="22" t="s">
        <v>738</v>
      </c>
      <c r="I520" s="7">
        <v>0</v>
      </c>
      <c r="J520" s="22"/>
      <c r="K520" s="17">
        <v>0</v>
      </c>
      <c r="L520" s="59">
        <v>1</v>
      </c>
      <c r="M520" t="s">
        <v>30</v>
      </c>
      <c r="N520" t="s">
        <v>2121</v>
      </c>
      <c r="P520" s="22">
        <v>8</v>
      </c>
      <c r="Q520" s="29" t="s">
        <v>866</v>
      </c>
      <c r="R520" s="95">
        <v>1</v>
      </c>
      <c r="S520" s="95">
        <v>0</v>
      </c>
      <c r="T520" s="95">
        <v>0</v>
      </c>
      <c r="V520" s="17">
        <v>0</v>
      </c>
      <c r="W520" s="17">
        <v>153</v>
      </c>
      <c r="X520" s="17">
        <v>26</v>
      </c>
      <c r="Y520" s="17">
        <v>2</v>
      </c>
      <c r="Z520" s="6">
        <f t="shared" si="55"/>
        <v>181</v>
      </c>
      <c r="AA520" s="11">
        <f t="shared" si="56"/>
        <v>0.84530386740331487</v>
      </c>
      <c r="AB520" s="11">
        <f t="shared" si="57"/>
        <v>0.143646408839779</v>
      </c>
      <c r="AC520" s="66">
        <f t="shared" si="58"/>
        <v>0.84530386740331487</v>
      </c>
      <c r="AD520" s="67">
        <f t="shared" si="59"/>
        <v>0.76795580110497241</v>
      </c>
    </row>
    <row r="521" spans="1:95" s="36" customFormat="1" ht="14.5" customHeight="1" x14ac:dyDescent="0.2">
      <c r="A521" t="s">
        <v>730</v>
      </c>
      <c r="B521" s="7">
        <v>1</v>
      </c>
      <c r="C521" s="17">
        <v>0</v>
      </c>
      <c r="D521" s="22" t="s">
        <v>826</v>
      </c>
      <c r="E521" s="22" t="s">
        <v>827</v>
      </c>
      <c r="F521" s="17">
        <v>2003</v>
      </c>
      <c r="G521" s="18">
        <v>37726</v>
      </c>
      <c r="H521" s="22" t="s">
        <v>733</v>
      </c>
      <c r="I521" s="7">
        <v>0</v>
      </c>
      <c r="J521" s="22"/>
      <c r="K521" s="17">
        <v>0</v>
      </c>
      <c r="L521" s="59">
        <v>1</v>
      </c>
      <c r="M521" t="s">
        <v>30</v>
      </c>
      <c r="N521" t="s">
        <v>2121</v>
      </c>
      <c r="O521" s="22"/>
      <c r="P521" s="22" t="s">
        <v>864</v>
      </c>
      <c r="Q521" s="29" t="s">
        <v>865</v>
      </c>
      <c r="R521" s="95">
        <v>1</v>
      </c>
      <c r="S521" s="95">
        <v>0</v>
      </c>
      <c r="T521" s="95">
        <v>0</v>
      </c>
      <c r="U521" s="17"/>
      <c r="V521" s="17">
        <v>0</v>
      </c>
      <c r="W521" s="17">
        <v>308</v>
      </c>
      <c r="X521" s="17">
        <v>31</v>
      </c>
      <c r="Y521" s="17">
        <v>159</v>
      </c>
      <c r="Z521" s="6">
        <f t="shared" si="55"/>
        <v>498</v>
      </c>
      <c r="AA521" s="11">
        <f t="shared" si="56"/>
        <v>0.61847389558232935</v>
      </c>
      <c r="AB521" s="11">
        <f t="shared" si="57"/>
        <v>6.224899598393574E-2</v>
      </c>
      <c r="AC521" s="66">
        <f t="shared" si="58"/>
        <v>0.61847389558232935</v>
      </c>
      <c r="AD521" s="67">
        <f t="shared" si="59"/>
        <v>0.42771084337349397</v>
      </c>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row>
    <row r="522" spans="1:95" ht="14.5" customHeight="1" x14ac:dyDescent="0.2">
      <c r="A522" t="s">
        <v>730</v>
      </c>
      <c r="B522" s="7">
        <v>1</v>
      </c>
      <c r="C522" s="17">
        <v>0</v>
      </c>
      <c r="D522" s="22" t="s">
        <v>826</v>
      </c>
      <c r="E522" s="22" t="s">
        <v>827</v>
      </c>
      <c r="F522" s="17">
        <v>2003</v>
      </c>
      <c r="G522" s="18">
        <v>37826</v>
      </c>
      <c r="H522" s="22" t="s">
        <v>733</v>
      </c>
      <c r="I522" s="7">
        <v>0</v>
      </c>
      <c r="J522" s="22"/>
      <c r="K522" s="17">
        <v>0</v>
      </c>
      <c r="L522" s="59">
        <v>1</v>
      </c>
      <c r="M522" t="s">
        <v>30</v>
      </c>
      <c r="N522" t="s">
        <v>2121</v>
      </c>
      <c r="P522" s="22" t="s">
        <v>867</v>
      </c>
      <c r="Q522" s="29" t="s">
        <v>868</v>
      </c>
      <c r="R522" s="95">
        <v>1</v>
      </c>
      <c r="S522" s="95">
        <v>0</v>
      </c>
      <c r="T522" s="95">
        <v>0</v>
      </c>
      <c r="V522" s="17">
        <v>0</v>
      </c>
      <c r="W522" s="17">
        <v>229</v>
      </c>
      <c r="X522" s="17">
        <v>131</v>
      </c>
      <c r="Y522" s="17">
        <v>8</v>
      </c>
      <c r="Z522" s="6">
        <f t="shared" si="55"/>
        <v>368</v>
      </c>
      <c r="AA522" s="11">
        <f t="shared" si="56"/>
        <v>0.62228260869565222</v>
      </c>
      <c r="AB522" s="11">
        <f t="shared" si="57"/>
        <v>0.35597826086956524</v>
      </c>
      <c r="AC522" s="66">
        <f t="shared" si="58"/>
        <v>0.62228260869565222</v>
      </c>
      <c r="AD522" s="67">
        <f t="shared" si="59"/>
        <v>0.43342391304347827</v>
      </c>
    </row>
    <row r="523" spans="1:95" ht="14.5" customHeight="1" x14ac:dyDescent="0.2">
      <c r="A523" t="s">
        <v>730</v>
      </c>
      <c r="B523" s="7">
        <v>1</v>
      </c>
      <c r="C523" s="17">
        <v>0</v>
      </c>
      <c r="D523" s="22" t="s">
        <v>826</v>
      </c>
      <c r="E523" s="22" t="s">
        <v>827</v>
      </c>
      <c r="F523" s="17">
        <v>2003</v>
      </c>
      <c r="G523" s="18">
        <v>37833</v>
      </c>
      <c r="H523" s="22" t="s">
        <v>738</v>
      </c>
      <c r="I523" s="7">
        <v>0</v>
      </c>
      <c r="J523" s="22"/>
      <c r="K523" s="17">
        <v>0</v>
      </c>
      <c r="L523" s="59">
        <v>1</v>
      </c>
      <c r="M523" t="s">
        <v>30</v>
      </c>
      <c r="N523" t="s">
        <v>2121</v>
      </c>
      <c r="P523" s="22" t="s">
        <v>869</v>
      </c>
      <c r="Q523" s="29" t="s">
        <v>870</v>
      </c>
      <c r="R523" s="95">
        <v>1</v>
      </c>
      <c r="S523" s="95">
        <v>0</v>
      </c>
      <c r="T523" s="95">
        <v>0</v>
      </c>
      <c r="V523" s="17">
        <v>0</v>
      </c>
      <c r="W523" s="17">
        <v>139</v>
      </c>
      <c r="X523" s="17">
        <v>80</v>
      </c>
      <c r="Y523" s="17">
        <v>1</v>
      </c>
      <c r="Z523" s="6">
        <f t="shared" si="55"/>
        <v>220</v>
      </c>
      <c r="AA523" s="11">
        <f t="shared" si="56"/>
        <v>0.63181818181818183</v>
      </c>
      <c r="AB523" s="11">
        <f t="shared" si="57"/>
        <v>0.36363636363636365</v>
      </c>
      <c r="AC523" s="66">
        <f t="shared" si="58"/>
        <v>0.63181818181818183</v>
      </c>
      <c r="AD523" s="67">
        <f t="shared" si="59"/>
        <v>0.44772727272727275</v>
      </c>
    </row>
    <row r="524" spans="1:95" ht="14.5" customHeight="1" x14ac:dyDescent="0.2">
      <c r="A524" t="s">
        <v>730</v>
      </c>
      <c r="B524" s="7">
        <v>1</v>
      </c>
      <c r="C524" s="17">
        <v>0</v>
      </c>
      <c r="D524" s="22" t="s">
        <v>826</v>
      </c>
      <c r="E524" s="22" t="s">
        <v>827</v>
      </c>
      <c r="F524" s="17">
        <v>2004</v>
      </c>
      <c r="G524" s="18">
        <v>38035</v>
      </c>
      <c r="H524" s="22" t="s">
        <v>738</v>
      </c>
      <c r="I524" s="7">
        <v>0</v>
      </c>
      <c r="J524" s="22"/>
      <c r="K524" s="17">
        <v>0</v>
      </c>
      <c r="L524" s="59">
        <v>1</v>
      </c>
      <c r="M524" s="22" t="s">
        <v>2900</v>
      </c>
      <c r="N524" s="22" t="s">
        <v>2637</v>
      </c>
      <c r="O524" s="22" t="s">
        <v>871</v>
      </c>
      <c r="P524" s="22" t="s">
        <v>872</v>
      </c>
      <c r="Q524" s="29" t="s">
        <v>873</v>
      </c>
      <c r="R524" s="95"/>
      <c r="S524" s="95"/>
      <c r="T524" s="95"/>
      <c r="V524" s="17">
        <v>1</v>
      </c>
      <c r="W524" s="17">
        <v>153</v>
      </c>
      <c r="X524" s="17">
        <v>42</v>
      </c>
      <c r="Y524" s="17">
        <v>1</v>
      </c>
      <c r="Z524" s="6">
        <f t="shared" si="55"/>
        <v>196</v>
      </c>
      <c r="AA524" s="11">
        <f t="shared" si="56"/>
        <v>0.78061224489795922</v>
      </c>
      <c r="AB524" s="11">
        <f t="shared" si="57"/>
        <v>0.21428571428571427</v>
      </c>
      <c r="AC524" s="66">
        <f t="shared" si="58"/>
        <v>0.78061224489795922</v>
      </c>
      <c r="AD524" s="67">
        <f t="shared" si="59"/>
        <v>0.67091836734693877</v>
      </c>
    </row>
    <row r="525" spans="1:95" ht="14.5" customHeight="1" x14ac:dyDescent="0.2">
      <c r="A525" t="s">
        <v>730</v>
      </c>
      <c r="B525" s="7">
        <v>1</v>
      </c>
      <c r="C525" s="17">
        <v>0</v>
      </c>
      <c r="D525" s="22" t="s">
        <v>826</v>
      </c>
      <c r="E525" s="22" t="s">
        <v>827</v>
      </c>
      <c r="F525" s="17">
        <v>2004</v>
      </c>
      <c r="G525" s="18">
        <v>38056</v>
      </c>
      <c r="H525" s="22" t="s">
        <v>733</v>
      </c>
      <c r="I525" s="7">
        <v>0</v>
      </c>
      <c r="J525" s="22"/>
      <c r="K525" s="17">
        <v>0</v>
      </c>
      <c r="L525" s="59">
        <v>1</v>
      </c>
      <c r="M525" s="22" t="s">
        <v>2900</v>
      </c>
      <c r="N525" s="22" t="s">
        <v>2637</v>
      </c>
      <c r="O525" s="22" t="s">
        <v>871</v>
      </c>
      <c r="P525" s="22" t="s">
        <v>874</v>
      </c>
      <c r="Q525" s="29" t="s">
        <v>875</v>
      </c>
      <c r="R525" s="95"/>
      <c r="S525" s="95"/>
      <c r="T525" s="95"/>
      <c r="V525" s="17">
        <v>1</v>
      </c>
      <c r="W525" s="17">
        <v>281</v>
      </c>
      <c r="X525" s="17">
        <v>64</v>
      </c>
      <c r="Y525" s="17">
        <v>12</v>
      </c>
      <c r="Z525" s="6">
        <f t="shared" si="55"/>
        <v>357</v>
      </c>
      <c r="AA525" s="11">
        <f t="shared" si="56"/>
        <v>0.78711484593837533</v>
      </c>
      <c r="AB525" s="11">
        <f t="shared" si="57"/>
        <v>0.17927170868347339</v>
      </c>
      <c r="AC525" s="66">
        <f t="shared" si="58"/>
        <v>0.78711484593837533</v>
      </c>
      <c r="AD525" s="67">
        <f t="shared" si="59"/>
        <v>0.68067226890756305</v>
      </c>
    </row>
    <row r="526" spans="1:95" ht="14.5" customHeight="1" x14ac:dyDescent="0.2">
      <c r="A526" t="s">
        <v>730</v>
      </c>
      <c r="B526" s="7">
        <v>1</v>
      </c>
      <c r="C526" s="17">
        <v>0</v>
      </c>
      <c r="D526" s="22" t="s">
        <v>826</v>
      </c>
      <c r="E526" s="22" t="s">
        <v>827</v>
      </c>
      <c r="F526" s="17">
        <v>2004</v>
      </c>
      <c r="G526" s="18">
        <v>38127</v>
      </c>
      <c r="H526" s="22" t="s">
        <v>738</v>
      </c>
      <c r="I526" s="7">
        <v>0</v>
      </c>
      <c r="J526" s="22"/>
      <c r="K526" s="17">
        <v>0</v>
      </c>
      <c r="L526" s="59">
        <v>1</v>
      </c>
      <c r="M526" t="s">
        <v>30</v>
      </c>
      <c r="N526" t="s">
        <v>2121</v>
      </c>
      <c r="P526" s="22">
        <v>1</v>
      </c>
      <c r="Q526" s="29" t="s">
        <v>878</v>
      </c>
      <c r="R526" s="95">
        <v>1</v>
      </c>
      <c r="S526" s="95">
        <v>0</v>
      </c>
      <c r="T526" s="95">
        <v>0</v>
      </c>
      <c r="V526" s="17">
        <v>1</v>
      </c>
      <c r="W526" s="17">
        <v>148</v>
      </c>
      <c r="X526" s="17">
        <v>95</v>
      </c>
      <c r="Y526" s="17">
        <v>0</v>
      </c>
      <c r="Z526" s="6">
        <f t="shared" si="55"/>
        <v>243</v>
      </c>
      <c r="AA526" s="11">
        <f t="shared" si="56"/>
        <v>0.60905349794238683</v>
      </c>
      <c r="AB526" s="11">
        <f t="shared" si="57"/>
        <v>0.39094650205761317</v>
      </c>
      <c r="AC526" s="66">
        <f t="shared" si="58"/>
        <v>0.60905349794238683</v>
      </c>
      <c r="AD526" s="67">
        <f t="shared" si="59"/>
        <v>0.41358024691358025</v>
      </c>
    </row>
    <row r="527" spans="1:95" ht="14.5" customHeight="1" x14ac:dyDescent="0.2">
      <c r="A527" t="s">
        <v>730</v>
      </c>
      <c r="B527" s="7">
        <v>1</v>
      </c>
      <c r="C527" s="17">
        <v>0</v>
      </c>
      <c r="D527" s="22" t="s">
        <v>826</v>
      </c>
      <c r="E527" s="22" t="s">
        <v>827</v>
      </c>
      <c r="F527" s="17">
        <v>2004</v>
      </c>
      <c r="G527" s="18">
        <v>38127</v>
      </c>
      <c r="H527" s="22" t="s">
        <v>733</v>
      </c>
      <c r="I527" s="7">
        <v>0</v>
      </c>
      <c r="J527" s="22"/>
      <c r="K527" s="17">
        <v>0</v>
      </c>
      <c r="L527" s="59">
        <v>1</v>
      </c>
      <c r="M527" t="s">
        <v>30</v>
      </c>
      <c r="N527" t="s">
        <v>2121</v>
      </c>
      <c r="P527" s="22" t="s">
        <v>876</v>
      </c>
      <c r="Q527" s="29" t="s">
        <v>877</v>
      </c>
      <c r="R527" s="95">
        <v>1</v>
      </c>
      <c r="S527" s="95">
        <v>0</v>
      </c>
      <c r="T527" s="95">
        <v>0</v>
      </c>
      <c r="V527" s="17">
        <v>1</v>
      </c>
      <c r="W527" s="17">
        <v>285</v>
      </c>
      <c r="X527" s="17">
        <v>225</v>
      </c>
      <c r="Y527" s="17">
        <v>1</v>
      </c>
      <c r="Z527" s="6">
        <f t="shared" si="55"/>
        <v>511</v>
      </c>
      <c r="AA527" s="11">
        <f t="shared" si="56"/>
        <v>0.55772994129158515</v>
      </c>
      <c r="AB527" s="11">
        <f t="shared" si="57"/>
        <v>0.44031311154598823</v>
      </c>
      <c r="AC527" s="66">
        <f t="shared" si="58"/>
        <v>0.55772994129158515</v>
      </c>
      <c r="AD527" s="67">
        <f t="shared" si="59"/>
        <v>0.33659491193737767</v>
      </c>
    </row>
    <row r="528" spans="1:95" ht="14.5" customHeight="1" x14ac:dyDescent="0.2">
      <c r="A528" t="s">
        <v>730</v>
      </c>
      <c r="B528" s="7">
        <v>1</v>
      </c>
      <c r="C528" s="17">
        <v>0</v>
      </c>
      <c r="D528" s="22" t="s">
        <v>826</v>
      </c>
      <c r="E528" s="22" t="s">
        <v>827</v>
      </c>
      <c r="F528" s="17">
        <v>2004</v>
      </c>
      <c r="G528" s="18">
        <v>38181</v>
      </c>
      <c r="H528" s="22" t="s">
        <v>733</v>
      </c>
      <c r="I528" s="7">
        <v>0</v>
      </c>
      <c r="J528" s="22"/>
      <c r="K528" s="17">
        <v>0</v>
      </c>
      <c r="L528" s="59">
        <v>1</v>
      </c>
      <c r="M528" s="22" t="s">
        <v>2901</v>
      </c>
      <c r="N528" s="22" t="s">
        <v>2637</v>
      </c>
      <c r="O528" s="22" t="s">
        <v>879</v>
      </c>
      <c r="P528" s="22" t="s">
        <v>880</v>
      </c>
      <c r="Q528" s="29" t="s">
        <v>881</v>
      </c>
      <c r="R528" s="95"/>
      <c r="S528" s="95"/>
      <c r="T528" s="95"/>
      <c r="V528" s="17">
        <v>1</v>
      </c>
      <c r="W528" s="17">
        <v>449</v>
      </c>
      <c r="X528" s="17">
        <v>20</v>
      </c>
      <c r="Y528" s="17">
        <v>3</v>
      </c>
      <c r="Z528" s="6">
        <f t="shared" si="55"/>
        <v>472</v>
      </c>
      <c r="AA528" s="11">
        <f t="shared" si="56"/>
        <v>0.95127118644067798</v>
      </c>
      <c r="AB528" s="11">
        <f t="shared" si="57"/>
        <v>4.2372881355932202E-2</v>
      </c>
      <c r="AC528" s="66">
        <f t="shared" si="58"/>
        <v>0.95127118644067798</v>
      </c>
      <c r="AD528" s="67">
        <f t="shared" si="59"/>
        <v>0.92690677966101698</v>
      </c>
    </row>
    <row r="529" spans="1:32" ht="14.5" customHeight="1" x14ac:dyDescent="0.2">
      <c r="A529" t="s">
        <v>730</v>
      </c>
      <c r="B529" s="7">
        <v>1</v>
      </c>
      <c r="C529" s="17">
        <v>0</v>
      </c>
      <c r="D529" s="22" t="s">
        <v>826</v>
      </c>
      <c r="E529" s="22" t="s">
        <v>827</v>
      </c>
      <c r="F529" s="17">
        <v>2004</v>
      </c>
      <c r="G529" s="18">
        <v>38181</v>
      </c>
      <c r="H529" s="22" t="s">
        <v>733</v>
      </c>
      <c r="I529" s="7">
        <v>0</v>
      </c>
      <c r="J529" s="22"/>
      <c r="K529" s="17">
        <v>0</v>
      </c>
      <c r="L529" s="59">
        <v>1</v>
      </c>
      <c r="M529" s="22" t="s">
        <v>2902</v>
      </c>
      <c r="N529" s="22" t="s">
        <v>2637</v>
      </c>
      <c r="O529" s="22" t="s">
        <v>879</v>
      </c>
      <c r="P529" s="22" t="s">
        <v>882</v>
      </c>
      <c r="Q529" s="29" t="s">
        <v>883</v>
      </c>
      <c r="R529" s="95"/>
      <c r="S529" s="95"/>
      <c r="T529" s="95"/>
      <c r="V529" s="17">
        <v>1</v>
      </c>
      <c r="W529" s="17">
        <v>253</v>
      </c>
      <c r="X529" s="17">
        <v>207</v>
      </c>
      <c r="Y529" s="17">
        <v>3</v>
      </c>
      <c r="Z529" s="6">
        <f t="shared" si="55"/>
        <v>463</v>
      </c>
      <c r="AA529" s="11">
        <f t="shared" si="56"/>
        <v>0.54643628509719222</v>
      </c>
      <c r="AB529" s="11">
        <f t="shared" si="57"/>
        <v>0.44708423326133911</v>
      </c>
      <c r="AC529" s="66">
        <f t="shared" si="58"/>
        <v>0.54643628509719222</v>
      </c>
      <c r="AD529" s="67">
        <f t="shared" si="59"/>
        <v>0.31965442764578833</v>
      </c>
    </row>
    <row r="530" spans="1:32" ht="14.5" customHeight="1" x14ac:dyDescent="0.2">
      <c r="A530" t="s">
        <v>730</v>
      </c>
      <c r="B530" s="7">
        <v>1</v>
      </c>
      <c r="C530" s="17">
        <v>0</v>
      </c>
      <c r="D530" s="22" t="s">
        <v>826</v>
      </c>
      <c r="E530" s="22" t="s">
        <v>827</v>
      </c>
      <c r="F530" s="17">
        <v>2005</v>
      </c>
      <c r="G530" s="18">
        <v>38399</v>
      </c>
      <c r="H530" s="22" t="s">
        <v>738</v>
      </c>
      <c r="I530" s="7">
        <v>0</v>
      </c>
      <c r="J530" s="22"/>
      <c r="K530" s="17">
        <v>0</v>
      </c>
      <c r="L530" s="59">
        <v>1</v>
      </c>
      <c r="M530" t="s">
        <v>30</v>
      </c>
      <c r="N530" t="s">
        <v>2121</v>
      </c>
      <c r="P530" s="22" t="s">
        <v>884</v>
      </c>
      <c r="Q530" s="29" t="s">
        <v>885</v>
      </c>
      <c r="R530" s="95">
        <v>1</v>
      </c>
      <c r="S530" s="95">
        <v>0</v>
      </c>
      <c r="T530" s="95">
        <v>0</v>
      </c>
      <c r="V530" s="17">
        <v>1</v>
      </c>
      <c r="W530" s="17">
        <v>141</v>
      </c>
      <c r="X530" s="17">
        <v>112</v>
      </c>
      <c r="Y530" s="17">
        <v>1</v>
      </c>
      <c r="Z530" s="6">
        <f t="shared" si="55"/>
        <v>254</v>
      </c>
      <c r="AA530" s="11">
        <f t="shared" si="56"/>
        <v>0.55511811023622049</v>
      </c>
      <c r="AB530" s="11">
        <f t="shared" si="57"/>
        <v>0.44094488188976377</v>
      </c>
      <c r="AC530" s="66">
        <f t="shared" si="58"/>
        <v>0.55511811023622049</v>
      </c>
      <c r="AD530" s="67">
        <f t="shared" si="59"/>
        <v>0.33267716535433073</v>
      </c>
    </row>
    <row r="531" spans="1:32" ht="14.5" customHeight="1" x14ac:dyDescent="0.2">
      <c r="A531" t="s">
        <v>730</v>
      </c>
      <c r="B531" s="7">
        <v>1</v>
      </c>
      <c r="C531" s="17">
        <v>0</v>
      </c>
      <c r="D531" s="22" t="s">
        <v>826</v>
      </c>
      <c r="E531" s="22" t="s">
        <v>827</v>
      </c>
      <c r="F531" s="17">
        <v>2005</v>
      </c>
      <c r="G531" s="18">
        <v>38426</v>
      </c>
      <c r="H531" s="22" t="s">
        <v>733</v>
      </c>
      <c r="I531" s="7">
        <v>0</v>
      </c>
      <c r="J531" s="22"/>
      <c r="K531" s="17">
        <v>0</v>
      </c>
      <c r="L531" s="59">
        <v>1</v>
      </c>
      <c r="M531" t="s">
        <v>30</v>
      </c>
      <c r="N531" t="s">
        <v>2121</v>
      </c>
      <c r="P531" s="22" t="s">
        <v>888</v>
      </c>
      <c r="Q531" s="29" t="s">
        <v>889</v>
      </c>
      <c r="R531" s="95">
        <v>1</v>
      </c>
      <c r="S531" s="95">
        <v>0</v>
      </c>
      <c r="T531" s="95">
        <v>0</v>
      </c>
      <c r="V531" s="17">
        <v>1</v>
      </c>
      <c r="W531" s="17">
        <v>246</v>
      </c>
      <c r="X531" s="17">
        <v>180</v>
      </c>
      <c r="Y531" s="17">
        <v>8</v>
      </c>
      <c r="Z531" s="6">
        <f t="shared" si="55"/>
        <v>434</v>
      </c>
      <c r="AA531" s="11">
        <f t="shared" si="56"/>
        <v>0.56682027649769584</v>
      </c>
      <c r="AB531" s="11">
        <f t="shared" si="57"/>
        <v>0.41474654377880182</v>
      </c>
      <c r="AC531" s="66">
        <f t="shared" si="58"/>
        <v>0.56682027649769584</v>
      </c>
      <c r="AD531" s="67">
        <f t="shared" si="59"/>
        <v>0.35023041474654376</v>
      </c>
    </row>
    <row r="532" spans="1:32" ht="14.5" customHeight="1" x14ac:dyDescent="0.2">
      <c r="A532" t="s">
        <v>730</v>
      </c>
      <c r="B532" s="7">
        <v>1</v>
      </c>
      <c r="C532" s="17">
        <v>0</v>
      </c>
      <c r="D532" s="22" t="s">
        <v>826</v>
      </c>
      <c r="E532" s="22" t="s">
        <v>827</v>
      </c>
      <c r="F532" s="17">
        <v>2005</v>
      </c>
      <c r="G532" s="18">
        <v>38426</v>
      </c>
      <c r="H532" s="22" t="s">
        <v>733</v>
      </c>
      <c r="I532" s="7">
        <v>0</v>
      </c>
      <c r="J532" s="22"/>
      <c r="K532" s="17">
        <v>0</v>
      </c>
      <c r="L532" s="59">
        <v>1</v>
      </c>
      <c r="M532" s="22" t="s">
        <v>2905</v>
      </c>
      <c r="N532" s="22" t="s">
        <v>2637</v>
      </c>
      <c r="O532" s="22" t="s">
        <v>2904</v>
      </c>
      <c r="P532" s="22" t="s">
        <v>886</v>
      </c>
      <c r="Q532" s="29" t="s">
        <v>887</v>
      </c>
      <c r="R532" s="95"/>
      <c r="S532" s="95"/>
      <c r="T532" s="95"/>
      <c r="V532" s="17">
        <v>1</v>
      </c>
      <c r="W532" s="17">
        <v>350</v>
      </c>
      <c r="X532" s="17">
        <v>19</v>
      </c>
      <c r="Y532" s="17">
        <v>2</v>
      </c>
      <c r="Z532" s="6">
        <f t="shared" ref="Z532:Z595" si="60">SUM(W532:Y532)</f>
        <v>371</v>
      </c>
      <c r="AA532" s="11">
        <f t="shared" ref="AA532:AA595" si="61">W532/Z532</f>
        <v>0.94339622641509435</v>
      </c>
      <c r="AB532" s="11">
        <f t="shared" ref="AB532:AB595" si="62">X532/Z532</f>
        <v>5.1212938005390833E-2</v>
      </c>
      <c r="AC532" s="66">
        <f t="shared" ref="AC532:AC595" si="63">IF(K532=1,AB532,AA532)</f>
        <v>0.94339622641509435</v>
      </c>
      <c r="AD532" s="67">
        <f t="shared" ref="AD532:AD595" si="64">SUM((MAX(W532,X532,Y532)-0.5*(SUM(W532+X532+Y532)-MAX(W532,X532,Y532)))/SUM(W532+X532+Y532))</f>
        <v>0.91509433962264153</v>
      </c>
    </row>
    <row r="533" spans="1:32" ht="14.5" customHeight="1" x14ac:dyDescent="0.2">
      <c r="A533" t="s">
        <v>730</v>
      </c>
      <c r="B533" s="7">
        <v>1</v>
      </c>
      <c r="C533" s="17">
        <v>0</v>
      </c>
      <c r="D533" s="22" t="s">
        <v>890</v>
      </c>
      <c r="E533" s="22" t="s">
        <v>891</v>
      </c>
      <c r="F533" s="17">
        <v>2005</v>
      </c>
      <c r="G533" s="18">
        <v>38545</v>
      </c>
      <c r="H533" s="22" t="s">
        <v>733</v>
      </c>
      <c r="I533" s="7">
        <v>0</v>
      </c>
      <c r="J533" s="22"/>
      <c r="K533" s="17">
        <v>0</v>
      </c>
      <c r="L533" s="59">
        <v>1</v>
      </c>
      <c r="M533" s="22" t="s">
        <v>2906</v>
      </c>
      <c r="N533" s="22" t="s">
        <v>2637</v>
      </c>
      <c r="O533" s="22" t="s">
        <v>2903</v>
      </c>
      <c r="P533" s="22" t="s">
        <v>892</v>
      </c>
      <c r="Q533" s="29" t="s">
        <v>893</v>
      </c>
      <c r="R533" s="95"/>
      <c r="S533" s="95"/>
      <c r="T533" s="95"/>
      <c r="V533" s="17">
        <v>1</v>
      </c>
      <c r="W533" s="17">
        <v>403</v>
      </c>
      <c r="X533" s="17">
        <v>22</v>
      </c>
      <c r="Y533" s="17">
        <v>4</v>
      </c>
      <c r="Z533" s="6">
        <f t="shared" si="60"/>
        <v>429</v>
      </c>
      <c r="AA533" s="11">
        <f t="shared" si="61"/>
        <v>0.93939393939393945</v>
      </c>
      <c r="AB533" s="11">
        <f t="shared" si="62"/>
        <v>5.128205128205128E-2</v>
      </c>
      <c r="AC533" s="66">
        <f t="shared" si="63"/>
        <v>0.93939393939393945</v>
      </c>
      <c r="AD533" s="67">
        <f t="shared" si="64"/>
        <v>0.90909090909090906</v>
      </c>
    </row>
    <row r="534" spans="1:32" ht="14.5" customHeight="1" x14ac:dyDescent="0.2">
      <c r="A534" t="s">
        <v>730</v>
      </c>
      <c r="B534" s="7">
        <v>1</v>
      </c>
      <c r="C534" s="17">
        <v>0</v>
      </c>
      <c r="D534" s="22" t="s">
        <v>890</v>
      </c>
      <c r="E534" s="22" t="s">
        <v>891</v>
      </c>
      <c r="F534" s="17">
        <v>2005</v>
      </c>
      <c r="G534" s="18">
        <v>38554</v>
      </c>
      <c r="H534" s="22" t="s">
        <v>733</v>
      </c>
      <c r="I534" s="7">
        <v>0</v>
      </c>
      <c r="J534" s="22"/>
      <c r="K534" s="17">
        <v>0</v>
      </c>
      <c r="L534" s="59">
        <v>1</v>
      </c>
      <c r="M534" t="s">
        <v>30</v>
      </c>
      <c r="N534" t="s">
        <v>2121</v>
      </c>
      <c r="P534" s="22" t="s">
        <v>894</v>
      </c>
      <c r="Q534" s="29" t="s">
        <v>895</v>
      </c>
      <c r="R534" s="95">
        <v>1</v>
      </c>
      <c r="S534" s="95">
        <v>0</v>
      </c>
      <c r="T534" s="95">
        <v>0</v>
      </c>
      <c r="V534" s="17">
        <v>1</v>
      </c>
      <c r="W534" s="17">
        <v>283</v>
      </c>
      <c r="X534" s="17">
        <v>207</v>
      </c>
      <c r="Y534" s="17">
        <v>3</v>
      </c>
      <c r="Z534" s="6">
        <f t="shared" si="60"/>
        <v>493</v>
      </c>
      <c r="AA534" s="11">
        <f t="shared" si="61"/>
        <v>0.57403651115618659</v>
      </c>
      <c r="AB534" s="11">
        <f t="shared" si="62"/>
        <v>0.41987829614604461</v>
      </c>
      <c r="AC534" s="66">
        <f t="shared" si="63"/>
        <v>0.57403651115618659</v>
      </c>
      <c r="AD534" s="67">
        <f t="shared" si="64"/>
        <v>0.36105476673427994</v>
      </c>
    </row>
    <row r="535" spans="1:32" ht="14.5" customHeight="1" x14ac:dyDescent="0.2">
      <c r="A535" t="s">
        <v>730</v>
      </c>
      <c r="B535" s="7">
        <v>1</v>
      </c>
      <c r="C535" s="17">
        <v>0</v>
      </c>
      <c r="D535" s="22" t="s">
        <v>890</v>
      </c>
      <c r="E535" s="22" t="s">
        <v>891</v>
      </c>
      <c r="F535" s="17">
        <v>2005</v>
      </c>
      <c r="G535" s="18">
        <v>38560</v>
      </c>
      <c r="H535" s="22" t="s">
        <v>738</v>
      </c>
      <c r="I535" s="7">
        <v>0</v>
      </c>
      <c r="J535" s="22"/>
      <c r="K535" s="17">
        <v>0</v>
      </c>
      <c r="L535" s="59">
        <v>1</v>
      </c>
      <c r="M535" t="s">
        <v>30</v>
      </c>
      <c r="N535" t="s">
        <v>2121</v>
      </c>
      <c r="P535" s="22" t="s">
        <v>896</v>
      </c>
      <c r="Q535" s="29" t="s">
        <v>897</v>
      </c>
      <c r="R535" s="95">
        <v>1</v>
      </c>
      <c r="S535" s="95">
        <v>0</v>
      </c>
      <c r="T535" s="95">
        <v>0</v>
      </c>
      <c r="V535" s="17">
        <v>1</v>
      </c>
      <c r="W535" s="17">
        <v>150</v>
      </c>
      <c r="X535" s="17">
        <v>96</v>
      </c>
      <c r="Y535" s="17">
        <v>2</v>
      </c>
      <c r="Z535" s="6">
        <f t="shared" si="60"/>
        <v>248</v>
      </c>
      <c r="AA535" s="11">
        <f t="shared" si="61"/>
        <v>0.60483870967741937</v>
      </c>
      <c r="AB535" s="11">
        <f t="shared" si="62"/>
        <v>0.38709677419354838</v>
      </c>
      <c r="AC535" s="66">
        <f t="shared" si="63"/>
        <v>0.60483870967741937</v>
      </c>
      <c r="AD535" s="67">
        <f t="shared" si="64"/>
        <v>0.40725806451612906</v>
      </c>
    </row>
    <row r="536" spans="1:32" ht="14.5" customHeight="1" x14ac:dyDescent="0.2">
      <c r="A536" t="s">
        <v>730</v>
      </c>
      <c r="B536" s="7">
        <v>1</v>
      </c>
      <c r="C536" s="17">
        <v>0</v>
      </c>
      <c r="D536" s="22" t="s">
        <v>898</v>
      </c>
      <c r="E536" s="63" t="s">
        <v>899</v>
      </c>
      <c r="F536" s="17">
        <v>2006</v>
      </c>
      <c r="G536" s="18">
        <v>38917</v>
      </c>
      <c r="H536" s="22" t="s">
        <v>733</v>
      </c>
      <c r="I536" s="7">
        <v>0</v>
      </c>
      <c r="J536" s="22"/>
      <c r="K536" s="17">
        <v>0</v>
      </c>
      <c r="L536" s="59">
        <v>1</v>
      </c>
      <c r="M536" s="22" t="s">
        <v>2907</v>
      </c>
      <c r="N536" s="22" t="s">
        <v>2637</v>
      </c>
      <c r="O536" s="22" t="s">
        <v>900</v>
      </c>
      <c r="P536" s="22" t="s">
        <v>901</v>
      </c>
      <c r="Q536" s="29" t="s">
        <v>902</v>
      </c>
      <c r="R536" s="95"/>
      <c r="S536" s="95"/>
      <c r="T536" s="95"/>
      <c r="V536" s="17">
        <v>1</v>
      </c>
      <c r="W536" s="17">
        <v>549</v>
      </c>
      <c r="X536" s="17">
        <v>4</v>
      </c>
      <c r="Y536" s="17">
        <v>0</v>
      </c>
      <c r="Z536" s="6">
        <f t="shared" si="60"/>
        <v>553</v>
      </c>
      <c r="AA536" s="11">
        <f t="shared" si="61"/>
        <v>0.99276672694394208</v>
      </c>
      <c r="AB536" s="11">
        <f t="shared" si="62"/>
        <v>7.2332730560578659E-3</v>
      </c>
      <c r="AC536" s="66">
        <f t="shared" si="63"/>
        <v>0.99276672694394208</v>
      </c>
      <c r="AD536" s="67">
        <f t="shared" si="64"/>
        <v>0.98915009041591317</v>
      </c>
    </row>
    <row r="537" spans="1:32" ht="14.5" customHeight="1" x14ac:dyDescent="0.2">
      <c r="A537" t="s">
        <v>730</v>
      </c>
      <c r="B537" s="7">
        <v>1</v>
      </c>
      <c r="C537" s="17">
        <v>0</v>
      </c>
      <c r="D537" s="22" t="s">
        <v>898</v>
      </c>
      <c r="E537" s="63" t="s">
        <v>899</v>
      </c>
      <c r="F537" s="17">
        <v>2006</v>
      </c>
      <c r="G537" s="18">
        <v>38926</v>
      </c>
      <c r="H537" s="22" t="s">
        <v>738</v>
      </c>
      <c r="I537" s="7">
        <v>0</v>
      </c>
      <c r="J537" s="22"/>
      <c r="K537" s="17">
        <v>0</v>
      </c>
      <c r="L537" s="59">
        <v>1</v>
      </c>
      <c r="M537" s="22" t="s">
        <v>2907</v>
      </c>
      <c r="N537" s="22" t="s">
        <v>2637</v>
      </c>
      <c r="O537" s="22" t="s">
        <v>900</v>
      </c>
      <c r="P537" s="22" t="s">
        <v>903</v>
      </c>
      <c r="Q537" s="29" t="s">
        <v>904</v>
      </c>
      <c r="R537" s="95"/>
      <c r="S537" s="95"/>
      <c r="T537" s="95"/>
      <c r="V537" s="17">
        <v>1</v>
      </c>
      <c r="W537" s="17">
        <v>161</v>
      </c>
      <c r="X537" s="17">
        <v>0</v>
      </c>
      <c r="Y537" s="17">
        <v>0</v>
      </c>
      <c r="Z537" s="6">
        <f t="shared" si="60"/>
        <v>161</v>
      </c>
      <c r="AA537" s="11">
        <f t="shared" si="61"/>
        <v>1</v>
      </c>
      <c r="AB537" s="11">
        <f t="shared" si="62"/>
        <v>0</v>
      </c>
      <c r="AC537" s="66">
        <f t="shared" si="63"/>
        <v>1</v>
      </c>
      <c r="AD537" s="67">
        <f t="shared" si="64"/>
        <v>1</v>
      </c>
    </row>
    <row r="538" spans="1:32" ht="14.5" customHeight="1" x14ac:dyDescent="0.2">
      <c r="A538" t="s">
        <v>730</v>
      </c>
      <c r="B538" s="7">
        <v>1</v>
      </c>
      <c r="C538" s="17">
        <v>0</v>
      </c>
      <c r="D538" s="22" t="s">
        <v>898</v>
      </c>
      <c r="E538" s="63" t="s">
        <v>899</v>
      </c>
      <c r="F538" s="17">
        <v>2006</v>
      </c>
      <c r="G538" s="18">
        <v>38986</v>
      </c>
      <c r="H538" s="22" t="s">
        <v>733</v>
      </c>
      <c r="I538" s="7">
        <v>0</v>
      </c>
      <c r="J538" s="22"/>
      <c r="K538" s="17">
        <v>0</v>
      </c>
      <c r="L538" s="59">
        <v>1</v>
      </c>
      <c r="M538" s="22" t="s">
        <v>202</v>
      </c>
      <c r="N538" s="50" t="s">
        <v>2121</v>
      </c>
      <c r="P538" s="22" t="s">
        <v>905</v>
      </c>
      <c r="Q538" s="29" t="s">
        <v>906</v>
      </c>
      <c r="R538" s="95">
        <v>1</v>
      </c>
      <c r="S538" s="95">
        <v>0</v>
      </c>
      <c r="T538" s="95">
        <v>0</v>
      </c>
      <c r="V538" s="17">
        <v>0</v>
      </c>
      <c r="W538" s="17">
        <v>507</v>
      </c>
      <c r="X538" s="17">
        <v>20</v>
      </c>
      <c r="Y538" s="17">
        <v>0</v>
      </c>
      <c r="Z538" s="6">
        <f t="shared" si="60"/>
        <v>527</v>
      </c>
      <c r="AA538" s="11">
        <f t="shared" si="61"/>
        <v>0.9620493358633776</v>
      </c>
      <c r="AB538" s="11">
        <f t="shared" si="62"/>
        <v>3.7950664136622389E-2</v>
      </c>
      <c r="AC538" s="66">
        <f t="shared" si="63"/>
        <v>0.9620493358633776</v>
      </c>
      <c r="AD538" s="67">
        <f t="shared" si="64"/>
        <v>0.94307400379506645</v>
      </c>
    </row>
    <row r="539" spans="1:32" ht="14.5" customHeight="1" x14ac:dyDescent="0.2">
      <c r="A539" t="s">
        <v>730</v>
      </c>
      <c r="B539" s="7">
        <v>1</v>
      </c>
      <c r="C539" s="17">
        <v>0</v>
      </c>
      <c r="D539" s="22" t="s">
        <v>898</v>
      </c>
      <c r="E539" s="63" t="s">
        <v>899</v>
      </c>
      <c r="F539" s="17">
        <v>2006</v>
      </c>
      <c r="G539" s="18">
        <v>39007</v>
      </c>
      <c r="H539" s="22" t="s">
        <v>738</v>
      </c>
      <c r="I539" s="7">
        <v>0</v>
      </c>
      <c r="J539" s="22"/>
      <c r="K539" s="17">
        <v>0</v>
      </c>
      <c r="L539" s="59">
        <v>1</v>
      </c>
      <c r="M539" s="22" t="s">
        <v>202</v>
      </c>
      <c r="N539" s="50" t="s">
        <v>2121</v>
      </c>
      <c r="P539" s="22" t="s">
        <v>907</v>
      </c>
      <c r="Q539" s="29" t="s">
        <v>908</v>
      </c>
      <c r="R539" s="95">
        <v>1</v>
      </c>
      <c r="S539" s="95">
        <v>0</v>
      </c>
      <c r="T539" s="95">
        <v>0</v>
      </c>
      <c r="V539" s="17">
        <v>0</v>
      </c>
      <c r="W539" s="17">
        <v>272</v>
      </c>
      <c r="X539" s="17">
        <v>15</v>
      </c>
      <c r="Y539" s="17">
        <v>2</v>
      </c>
      <c r="Z539" s="6">
        <f t="shared" si="60"/>
        <v>289</v>
      </c>
      <c r="AA539" s="11">
        <f t="shared" si="61"/>
        <v>0.94117647058823528</v>
      </c>
      <c r="AB539" s="11">
        <f t="shared" si="62"/>
        <v>5.1903114186851208E-2</v>
      </c>
      <c r="AC539" s="66">
        <f t="shared" si="63"/>
        <v>0.94117647058823528</v>
      </c>
      <c r="AD539" s="67">
        <f t="shared" si="64"/>
        <v>0.91176470588235292</v>
      </c>
    </row>
    <row r="540" spans="1:32" ht="14.5" customHeight="1" x14ac:dyDescent="0.2">
      <c r="A540" t="s">
        <v>730</v>
      </c>
      <c r="B540" s="7">
        <v>1</v>
      </c>
      <c r="C540" s="17">
        <v>1</v>
      </c>
      <c r="D540" s="22" t="s">
        <v>898</v>
      </c>
      <c r="E540" s="63" t="s">
        <v>899</v>
      </c>
      <c r="F540" s="17">
        <v>2007</v>
      </c>
      <c r="G540" s="18">
        <v>39134</v>
      </c>
      <c r="H540" s="22" t="s">
        <v>738</v>
      </c>
      <c r="I540" s="7">
        <v>0</v>
      </c>
      <c r="J540" s="22"/>
      <c r="K540" s="17">
        <v>0</v>
      </c>
      <c r="L540" s="59">
        <v>1</v>
      </c>
      <c r="M540" s="22" t="s">
        <v>129</v>
      </c>
      <c r="N540" s="22" t="s">
        <v>422</v>
      </c>
      <c r="P540" s="22">
        <v>3</v>
      </c>
      <c r="Q540" s="29" t="s">
        <v>909</v>
      </c>
      <c r="R540" s="95">
        <v>1</v>
      </c>
      <c r="S540" s="95">
        <v>0</v>
      </c>
      <c r="T540" s="95">
        <v>0</v>
      </c>
      <c r="V540" s="17">
        <v>1</v>
      </c>
      <c r="W540" s="17">
        <v>158</v>
      </c>
      <c r="X540" s="17">
        <v>136</v>
      </c>
      <c r="Y540" s="17">
        <v>24</v>
      </c>
      <c r="Z540" s="6">
        <f t="shared" si="60"/>
        <v>318</v>
      </c>
      <c r="AA540" s="11">
        <f t="shared" si="61"/>
        <v>0.49685534591194969</v>
      </c>
      <c r="AB540" s="11">
        <f t="shared" si="62"/>
        <v>0.42767295597484278</v>
      </c>
      <c r="AC540" s="66">
        <f t="shared" si="63"/>
        <v>0.49685534591194969</v>
      </c>
      <c r="AD540" s="67">
        <f t="shared" si="64"/>
        <v>0.24528301886792453</v>
      </c>
    </row>
    <row r="541" spans="1:32" ht="14.5" customHeight="1" x14ac:dyDescent="0.2">
      <c r="A541" t="s">
        <v>730</v>
      </c>
      <c r="B541" s="7">
        <v>1</v>
      </c>
      <c r="C541" s="17">
        <v>1</v>
      </c>
      <c r="D541" s="22" t="s">
        <v>898</v>
      </c>
      <c r="E541" s="63" t="s">
        <v>899</v>
      </c>
      <c r="F541" s="17">
        <v>2007</v>
      </c>
      <c r="G541" s="18">
        <v>39149</v>
      </c>
      <c r="H541" s="22" t="s">
        <v>733</v>
      </c>
      <c r="I541" s="7">
        <v>0</v>
      </c>
      <c r="J541" s="22"/>
      <c r="K541" s="17">
        <v>0</v>
      </c>
      <c r="L541" s="59">
        <v>1</v>
      </c>
      <c r="M541" s="22" t="s">
        <v>2908</v>
      </c>
      <c r="N541" s="22" t="s">
        <v>2637</v>
      </c>
      <c r="O541" s="22" t="s">
        <v>910</v>
      </c>
      <c r="P541" s="22" t="s">
        <v>911</v>
      </c>
      <c r="Q541" s="29" t="s">
        <v>912</v>
      </c>
      <c r="R541" s="95"/>
      <c r="S541" s="95"/>
      <c r="T541" s="95"/>
      <c r="V541" s="17">
        <v>1</v>
      </c>
      <c r="W541" s="17">
        <v>524</v>
      </c>
      <c r="X541" s="17">
        <v>3</v>
      </c>
      <c r="Y541" s="17">
        <v>19</v>
      </c>
      <c r="Z541" s="6">
        <f t="shared" si="60"/>
        <v>546</v>
      </c>
      <c r="AA541" s="11">
        <f t="shared" si="61"/>
        <v>0.95970695970695974</v>
      </c>
      <c r="AB541" s="11">
        <f t="shared" si="62"/>
        <v>5.4945054945054949E-3</v>
      </c>
      <c r="AC541" s="66">
        <f t="shared" si="63"/>
        <v>0.95970695970695974</v>
      </c>
      <c r="AD541" s="67">
        <f t="shared" si="64"/>
        <v>0.93956043956043955</v>
      </c>
    </row>
    <row r="542" spans="1:32" ht="14.5" customHeight="1" x14ac:dyDescent="0.2">
      <c r="A542" t="s">
        <v>730</v>
      </c>
      <c r="B542" s="7">
        <v>1</v>
      </c>
      <c r="C542" s="17">
        <v>1</v>
      </c>
      <c r="D542" s="22" t="s">
        <v>898</v>
      </c>
      <c r="E542" s="63" t="s">
        <v>899</v>
      </c>
      <c r="F542" s="17">
        <v>2007</v>
      </c>
      <c r="G542" s="18">
        <v>39168</v>
      </c>
      <c r="H542" s="22" t="s">
        <v>738</v>
      </c>
      <c r="I542" s="7">
        <v>0</v>
      </c>
      <c r="J542" s="22"/>
      <c r="K542" s="17">
        <v>0</v>
      </c>
      <c r="L542" s="59">
        <v>1</v>
      </c>
      <c r="M542" s="22" t="s">
        <v>2908</v>
      </c>
      <c r="N542" s="22" t="s">
        <v>2637</v>
      </c>
      <c r="O542" s="22" t="s">
        <v>910</v>
      </c>
      <c r="P542" s="22" t="s">
        <v>913</v>
      </c>
      <c r="Q542" s="29" t="s">
        <v>914</v>
      </c>
      <c r="R542" s="95"/>
      <c r="S542" s="95"/>
      <c r="T542" s="95"/>
      <c r="V542" s="17">
        <v>1</v>
      </c>
      <c r="W542" s="17">
        <v>180</v>
      </c>
      <c r="X542" s="17">
        <v>2</v>
      </c>
      <c r="Y542" s="17">
        <v>132</v>
      </c>
      <c r="Z542" s="6">
        <f t="shared" si="60"/>
        <v>314</v>
      </c>
      <c r="AA542" s="11">
        <f t="shared" si="61"/>
        <v>0.57324840764331209</v>
      </c>
      <c r="AB542" s="11">
        <f t="shared" si="62"/>
        <v>6.369426751592357E-3</v>
      </c>
      <c r="AC542" s="66">
        <f t="shared" si="63"/>
        <v>0.57324840764331209</v>
      </c>
      <c r="AD542" s="67">
        <f t="shared" si="64"/>
        <v>0.35987261146496813</v>
      </c>
      <c r="AF542" s="36"/>
    </row>
    <row r="543" spans="1:32" ht="14.5" customHeight="1" x14ac:dyDescent="0.2">
      <c r="A543" t="s">
        <v>730</v>
      </c>
      <c r="B543" s="7">
        <v>1</v>
      </c>
      <c r="C543" s="17">
        <v>1</v>
      </c>
      <c r="D543" s="22" t="s">
        <v>898</v>
      </c>
      <c r="E543" s="63" t="s">
        <v>899</v>
      </c>
      <c r="F543" s="17">
        <v>2008</v>
      </c>
      <c r="G543" s="18">
        <v>39499</v>
      </c>
      <c r="H543" s="22" t="s">
        <v>733</v>
      </c>
      <c r="I543" s="7">
        <v>0</v>
      </c>
      <c r="J543" s="22"/>
      <c r="K543" s="17">
        <v>0</v>
      </c>
      <c r="L543" s="59">
        <v>1</v>
      </c>
      <c r="M543" s="22" t="s">
        <v>2909</v>
      </c>
      <c r="N543" s="22" t="s">
        <v>2637</v>
      </c>
      <c r="O543" s="22" t="s">
        <v>915</v>
      </c>
      <c r="P543" s="22" t="s">
        <v>916</v>
      </c>
      <c r="Q543" s="29" t="s">
        <v>914</v>
      </c>
      <c r="R543" s="95"/>
      <c r="S543" s="95"/>
      <c r="T543" s="95"/>
      <c r="V543" s="17">
        <v>1</v>
      </c>
      <c r="W543" s="17">
        <v>340</v>
      </c>
      <c r="X543" s="17">
        <v>50</v>
      </c>
      <c r="Y543" s="17">
        <v>1</v>
      </c>
      <c r="Z543" s="6">
        <f t="shared" si="60"/>
        <v>391</v>
      </c>
      <c r="AA543" s="11">
        <f t="shared" si="61"/>
        <v>0.86956521739130432</v>
      </c>
      <c r="AB543" s="11">
        <f t="shared" si="62"/>
        <v>0.12787723785166241</v>
      </c>
      <c r="AC543" s="66">
        <f t="shared" si="63"/>
        <v>0.86956521739130432</v>
      </c>
      <c r="AD543" s="67">
        <f t="shared" si="64"/>
        <v>0.80434782608695654</v>
      </c>
    </row>
    <row r="544" spans="1:32" ht="14.5" customHeight="1" x14ac:dyDescent="0.2">
      <c r="A544" t="s">
        <v>730</v>
      </c>
      <c r="B544" s="7">
        <v>1</v>
      </c>
      <c r="C544" s="17">
        <v>1</v>
      </c>
      <c r="D544" s="22" t="s">
        <v>898</v>
      </c>
      <c r="E544" s="63" t="s">
        <v>899</v>
      </c>
      <c r="F544" s="17">
        <v>2008</v>
      </c>
      <c r="G544" s="18">
        <v>39504</v>
      </c>
      <c r="H544" s="22" t="s">
        <v>738</v>
      </c>
      <c r="I544" s="7">
        <v>0</v>
      </c>
      <c r="J544" s="22"/>
      <c r="K544" s="17">
        <v>0</v>
      </c>
      <c r="L544" s="59">
        <v>1</v>
      </c>
      <c r="M544" s="22" t="s">
        <v>2909</v>
      </c>
      <c r="N544" s="22" t="s">
        <v>2637</v>
      </c>
      <c r="O544" s="22" t="s">
        <v>915</v>
      </c>
      <c r="P544" s="22" t="s">
        <v>917</v>
      </c>
      <c r="Q544" s="29" t="s">
        <v>918</v>
      </c>
      <c r="R544" s="95"/>
      <c r="S544" s="95"/>
      <c r="T544" s="95"/>
      <c r="V544" s="17">
        <v>1</v>
      </c>
      <c r="W544" s="17">
        <v>194</v>
      </c>
      <c r="X544" s="17">
        <v>46</v>
      </c>
      <c r="Y544" s="17">
        <v>0</v>
      </c>
      <c r="Z544" s="6">
        <f t="shared" si="60"/>
        <v>240</v>
      </c>
      <c r="AA544" s="11">
        <f t="shared" si="61"/>
        <v>0.80833333333333335</v>
      </c>
      <c r="AB544" s="11">
        <f t="shared" si="62"/>
        <v>0.19166666666666668</v>
      </c>
      <c r="AC544" s="66">
        <f t="shared" si="63"/>
        <v>0.80833333333333335</v>
      </c>
      <c r="AD544" s="67">
        <f t="shared" si="64"/>
        <v>0.71250000000000002</v>
      </c>
    </row>
    <row r="545" spans="1:30" ht="14.5" customHeight="1" x14ac:dyDescent="0.2">
      <c r="A545" t="s">
        <v>730</v>
      </c>
      <c r="B545" s="7">
        <v>1</v>
      </c>
      <c r="C545" s="17">
        <v>1</v>
      </c>
      <c r="D545" s="22" t="s">
        <v>919</v>
      </c>
      <c r="E545" s="22" t="s">
        <v>920</v>
      </c>
      <c r="F545" s="17">
        <v>2008</v>
      </c>
      <c r="G545" s="18">
        <v>39736</v>
      </c>
      <c r="H545" s="22" t="s">
        <v>738</v>
      </c>
      <c r="I545" s="7">
        <v>0</v>
      </c>
      <c r="J545" s="22"/>
      <c r="K545" s="17">
        <v>0</v>
      </c>
      <c r="L545" s="59">
        <v>1</v>
      </c>
      <c r="M545" s="22" t="s">
        <v>921</v>
      </c>
      <c r="N545" t="s">
        <v>2634</v>
      </c>
      <c r="P545" s="22" t="s">
        <v>922</v>
      </c>
      <c r="Q545" s="29" t="s">
        <v>923</v>
      </c>
      <c r="R545" s="95">
        <v>1</v>
      </c>
      <c r="S545" s="95">
        <v>0</v>
      </c>
      <c r="T545" s="95">
        <v>0</v>
      </c>
      <c r="V545" s="17">
        <v>1</v>
      </c>
      <c r="W545" s="17">
        <v>261</v>
      </c>
      <c r="X545" s="17">
        <v>0</v>
      </c>
      <c r="Y545" s="17">
        <v>0</v>
      </c>
      <c r="Z545" s="6">
        <f t="shared" si="60"/>
        <v>261</v>
      </c>
      <c r="AA545" s="11">
        <f t="shared" si="61"/>
        <v>1</v>
      </c>
      <c r="AB545" s="11">
        <f t="shared" si="62"/>
        <v>0</v>
      </c>
      <c r="AC545" s="66">
        <f t="shared" si="63"/>
        <v>1</v>
      </c>
      <c r="AD545" s="67">
        <f t="shared" si="64"/>
        <v>1</v>
      </c>
    </row>
    <row r="546" spans="1:30" ht="14.5" customHeight="1" x14ac:dyDescent="0.2">
      <c r="A546" t="s">
        <v>730</v>
      </c>
      <c r="B546" s="7">
        <v>1</v>
      </c>
      <c r="C546" s="17">
        <v>1</v>
      </c>
      <c r="D546" s="22" t="s">
        <v>919</v>
      </c>
      <c r="E546" s="22" t="s">
        <v>920</v>
      </c>
      <c r="F546" s="17">
        <v>2008</v>
      </c>
      <c r="G546" s="18">
        <v>39771</v>
      </c>
      <c r="H546" s="22" t="s">
        <v>733</v>
      </c>
      <c r="I546" s="7">
        <v>0</v>
      </c>
      <c r="J546" s="22"/>
      <c r="K546" s="17">
        <v>0</v>
      </c>
      <c r="L546" s="59">
        <v>1</v>
      </c>
      <c r="M546" s="22" t="s">
        <v>921</v>
      </c>
      <c r="N546" t="s">
        <v>2634</v>
      </c>
      <c r="P546" s="22" t="s">
        <v>924</v>
      </c>
      <c r="Q546" s="29" t="s">
        <v>925</v>
      </c>
      <c r="R546" s="95">
        <v>1</v>
      </c>
      <c r="S546" s="95">
        <v>0</v>
      </c>
      <c r="T546" s="95">
        <v>0</v>
      </c>
      <c r="V546" s="17">
        <v>1</v>
      </c>
      <c r="W546" s="17">
        <v>494</v>
      </c>
      <c r="X546" s="17">
        <v>1</v>
      </c>
      <c r="Y546" s="17">
        <v>15</v>
      </c>
      <c r="Z546" s="6">
        <f t="shared" si="60"/>
        <v>510</v>
      </c>
      <c r="AA546" s="11">
        <f t="shared" si="61"/>
        <v>0.96862745098039216</v>
      </c>
      <c r="AB546" s="11">
        <f t="shared" si="62"/>
        <v>1.9607843137254902E-3</v>
      </c>
      <c r="AC546" s="66">
        <f t="shared" si="63"/>
        <v>0.96862745098039216</v>
      </c>
      <c r="AD546" s="67">
        <f t="shared" si="64"/>
        <v>0.95294117647058818</v>
      </c>
    </row>
    <row r="547" spans="1:30" ht="14.5" customHeight="1" x14ac:dyDescent="0.2">
      <c r="A547" t="s">
        <v>730</v>
      </c>
      <c r="B547" s="7">
        <v>1</v>
      </c>
      <c r="C547" s="17">
        <v>0</v>
      </c>
      <c r="D547" s="22" t="s">
        <v>919</v>
      </c>
      <c r="E547" s="22" t="s">
        <v>920</v>
      </c>
      <c r="F547" s="17">
        <v>2009</v>
      </c>
      <c r="G547" s="18">
        <v>39834</v>
      </c>
      <c r="H547" s="22" t="s">
        <v>733</v>
      </c>
      <c r="I547" s="7">
        <v>0</v>
      </c>
      <c r="J547" s="22"/>
      <c r="K547" s="17">
        <v>0</v>
      </c>
      <c r="L547" s="59">
        <v>1</v>
      </c>
      <c r="M547" s="22" t="s">
        <v>2910</v>
      </c>
      <c r="N547" s="22" t="s">
        <v>2637</v>
      </c>
      <c r="O547" s="22" t="s">
        <v>926</v>
      </c>
      <c r="P547" s="22" t="s">
        <v>916</v>
      </c>
      <c r="Q547" s="29" t="s">
        <v>927</v>
      </c>
      <c r="R547" s="95"/>
      <c r="S547" s="95"/>
      <c r="T547" s="95"/>
      <c r="V547" s="17">
        <v>1</v>
      </c>
      <c r="W547" s="17">
        <v>485</v>
      </c>
      <c r="X547" s="17">
        <v>2</v>
      </c>
      <c r="Y547" s="17">
        <v>4</v>
      </c>
      <c r="Z547" s="6">
        <f t="shared" si="60"/>
        <v>491</v>
      </c>
      <c r="AA547" s="11">
        <f t="shared" si="61"/>
        <v>0.98778004073319758</v>
      </c>
      <c r="AB547" s="11">
        <f t="shared" si="62"/>
        <v>4.0733197556008143E-3</v>
      </c>
      <c r="AC547" s="66">
        <f t="shared" si="63"/>
        <v>0.98778004073319758</v>
      </c>
      <c r="AD547" s="67">
        <f t="shared" si="64"/>
        <v>0.98167006109979638</v>
      </c>
    </row>
    <row r="548" spans="1:30" ht="14.5" customHeight="1" x14ac:dyDescent="0.2">
      <c r="A548" t="s">
        <v>730</v>
      </c>
      <c r="B548" s="7">
        <v>1</v>
      </c>
      <c r="C548" s="17">
        <v>0</v>
      </c>
      <c r="D548" s="22" t="s">
        <v>919</v>
      </c>
      <c r="E548" s="22" t="s">
        <v>920</v>
      </c>
      <c r="F548" s="17">
        <v>2009</v>
      </c>
      <c r="G548" s="18">
        <v>40022</v>
      </c>
      <c r="H548" s="22" t="s">
        <v>733</v>
      </c>
      <c r="I548" s="7">
        <v>0</v>
      </c>
      <c r="J548" s="22"/>
      <c r="K548" s="17">
        <v>0</v>
      </c>
      <c r="L548" s="59">
        <v>1</v>
      </c>
      <c r="M548" s="22" t="s">
        <v>2911</v>
      </c>
      <c r="N548" s="22" t="s">
        <v>2637</v>
      </c>
      <c r="O548" s="22" t="s">
        <v>928</v>
      </c>
      <c r="P548" s="22" t="s">
        <v>929</v>
      </c>
      <c r="Q548" s="29" t="s">
        <v>930</v>
      </c>
      <c r="R548" s="95"/>
      <c r="S548" s="95"/>
      <c r="T548" s="95"/>
      <c r="V548" s="17">
        <v>1</v>
      </c>
      <c r="W548" s="17">
        <v>285</v>
      </c>
      <c r="X548" s="17">
        <v>250</v>
      </c>
      <c r="Y548" s="17">
        <v>0</v>
      </c>
      <c r="Z548" s="6">
        <f t="shared" si="60"/>
        <v>535</v>
      </c>
      <c r="AA548" s="11">
        <f t="shared" si="61"/>
        <v>0.53271028037383172</v>
      </c>
      <c r="AB548" s="11">
        <f t="shared" si="62"/>
        <v>0.46728971962616822</v>
      </c>
      <c r="AC548" s="66">
        <f t="shared" si="63"/>
        <v>0.53271028037383172</v>
      </c>
      <c r="AD548" s="67">
        <f t="shared" si="64"/>
        <v>0.29906542056074764</v>
      </c>
    </row>
    <row r="549" spans="1:30" ht="14.5" customHeight="1" x14ac:dyDescent="0.2">
      <c r="A549" t="s">
        <v>730</v>
      </c>
      <c r="B549" s="7">
        <v>1</v>
      </c>
      <c r="C549" s="17">
        <v>0</v>
      </c>
      <c r="D549" s="22" t="s">
        <v>919</v>
      </c>
      <c r="E549" s="22" t="s">
        <v>920</v>
      </c>
      <c r="F549" s="17">
        <v>2009</v>
      </c>
      <c r="G549" s="18">
        <v>40026</v>
      </c>
      <c r="H549" s="22" t="s">
        <v>738</v>
      </c>
      <c r="I549" s="7">
        <v>0</v>
      </c>
      <c r="J549" s="22"/>
      <c r="K549" s="17">
        <v>0</v>
      </c>
      <c r="L549" s="59">
        <v>1</v>
      </c>
      <c r="M549" s="22" t="s">
        <v>2911</v>
      </c>
      <c r="N549" s="22" t="s">
        <v>2637</v>
      </c>
      <c r="O549" s="22" t="s">
        <v>928</v>
      </c>
      <c r="P549" s="22" t="s">
        <v>931</v>
      </c>
      <c r="Q549" s="29" t="s">
        <v>932</v>
      </c>
      <c r="R549" s="95"/>
      <c r="S549" s="95"/>
      <c r="T549" s="95"/>
      <c r="V549" s="17">
        <v>1</v>
      </c>
      <c r="W549" s="17">
        <v>166</v>
      </c>
      <c r="X549" s="17">
        <v>109</v>
      </c>
      <c r="Y549" s="17">
        <v>0</v>
      </c>
      <c r="Z549" s="6">
        <f t="shared" si="60"/>
        <v>275</v>
      </c>
      <c r="AA549" s="11">
        <f t="shared" si="61"/>
        <v>0.60363636363636364</v>
      </c>
      <c r="AB549" s="11">
        <f t="shared" si="62"/>
        <v>0.39636363636363636</v>
      </c>
      <c r="AC549" s="66">
        <f t="shared" si="63"/>
        <v>0.60363636363636364</v>
      </c>
      <c r="AD549" s="67">
        <f t="shared" si="64"/>
        <v>0.40545454545454546</v>
      </c>
    </row>
    <row r="550" spans="1:30" ht="14.5" customHeight="1" x14ac:dyDescent="0.2">
      <c r="A550" t="s">
        <v>730</v>
      </c>
      <c r="B550" s="7">
        <v>1</v>
      </c>
      <c r="C550" s="17">
        <v>0</v>
      </c>
      <c r="D550" s="22" t="s">
        <v>919</v>
      </c>
      <c r="E550" s="22" t="s">
        <v>920</v>
      </c>
      <c r="F550" s="17">
        <v>2009</v>
      </c>
      <c r="G550" s="18">
        <v>40149</v>
      </c>
      <c r="H550" s="22" t="s">
        <v>738</v>
      </c>
      <c r="I550" s="7">
        <v>0</v>
      </c>
      <c r="J550" s="22"/>
      <c r="K550" s="17">
        <v>0</v>
      </c>
      <c r="L550" s="59">
        <v>1</v>
      </c>
      <c r="M550" s="22" t="s">
        <v>2912</v>
      </c>
      <c r="N550" s="22" t="s">
        <v>2637</v>
      </c>
      <c r="O550" s="22" t="s">
        <v>933</v>
      </c>
      <c r="P550" s="22" t="s">
        <v>934</v>
      </c>
      <c r="Q550" s="29" t="s">
        <v>935</v>
      </c>
      <c r="R550" s="95"/>
      <c r="S550" s="95"/>
      <c r="T550" s="95"/>
      <c r="V550" s="17">
        <v>1</v>
      </c>
      <c r="W550" s="17">
        <v>245</v>
      </c>
      <c r="X550" s="17">
        <v>1</v>
      </c>
      <c r="Y550" s="17">
        <v>12</v>
      </c>
      <c r="Z550" s="6">
        <f t="shared" si="60"/>
        <v>258</v>
      </c>
      <c r="AA550" s="11">
        <f t="shared" si="61"/>
        <v>0.94961240310077522</v>
      </c>
      <c r="AB550" s="11">
        <f t="shared" si="62"/>
        <v>3.875968992248062E-3</v>
      </c>
      <c r="AC550" s="66">
        <f t="shared" si="63"/>
        <v>0.94961240310077522</v>
      </c>
      <c r="AD550" s="67">
        <f t="shared" si="64"/>
        <v>0.92441860465116277</v>
      </c>
    </row>
    <row r="551" spans="1:30" ht="14.5" customHeight="1" x14ac:dyDescent="0.2">
      <c r="A551" t="s">
        <v>730</v>
      </c>
      <c r="B551" s="7">
        <v>1</v>
      </c>
      <c r="C551" s="17">
        <v>0</v>
      </c>
      <c r="D551" s="22" t="s">
        <v>919</v>
      </c>
      <c r="E551" s="22" t="s">
        <v>920</v>
      </c>
      <c r="F551" s="17">
        <v>2009</v>
      </c>
      <c r="G551" s="18">
        <v>40164</v>
      </c>
      <c r="H551" s="22" t="s">
        <v>733</v>
      </c>
      <c r="I551" s="7">
        <v>0</v>
      </c>
      <c r="J551" s="22"/>
      <c r="K551" s="17">
        <v>0</v>
      </c>
      <c r="L551" s="59">
        <v>1</v>
      </c>
      <c r="M551" s="22" t="s">
        <v>2912</v>
      </c>
      <c r="N551" s="22" t="s">
        <v>2637</v>
      </c>
      <c r="O551" s="22" t="s">
        <v>933</v>
      </c>
      <c r="P551" s="22" t="s">
        <v>936</v>
      </c>
      <c r="Q551" s="29" t="s">
        <v>937</v>
      </c>
      <c r="R551" s="95"/>
      <c r="S551" s="95"/>
      <c r="T551" s="95"/>
      <c r="V551" s="17">
        <v>1</v>
      </c>
      <c r="W551" s="17">
        <v>460</v>
      </c>
      <c r="X551" s="17">
        <v>0</v>
      </c>
      <c r="Y551" s="17">
        <v>22</v>
      </c>
      <c r="Z551" s="6">
        <f t="shared" si="60"/>
        <v>482</v>
      </c>
      <c r="AA551" s="11">
        <f t="shared" si="61"/>
        <v>0.9543568464730291</v>
      </c>
      <c r="AB551" s="11">
        <f t="shared" si="62"/>
        <v>0</v>
      </c>
      <c r="AC551" s="66">
        <f t="shared" si="63"/>
        <v>0.9543568464730291</v>
      </c>
      <c r="AD551" s="67">
        <f t="shared" si="64"/>
        <v>0.93153526970954359</v>
      </c>
    </row>
    <row r="552" spans="1:30" ht="14.5" customHeight="1" x14ac:dyDescent="0.2">
      <c r="A552" t="s">
        <v>730</v>
      </c>
      <c r="B552" s="7">
        <v>1</v>
      </c>
      <c r="C552" s="17">
        <v>0</v>
      </c>
      <c r="D552" s="22" t="s">
        <v>919</v>
      </c>
      <c r="E552" s="22" t="s">
        <v>920</v>
      </c>
      <c r="F552" s="17">
        <v>2010</v>
      </c>
      <c r="G552" s="18">
        <v>40240</v>
      </c>
      <c r="H552" s="22" t="s">
        <v>733</v>
      </c>
      <c r="I552" s="7">
        <v>0</v>
      </c>
      <c r="J552" s="22"/>
      <c r="K552" s="17">
        <v>0</v>
      </c>
      <c r="L552" s="59">
        <v>1</v>
      </c>
      <c r="M552" s="22" t="s">
        <v>2913</v>
      </c>
      <c r="N552" s="22" t="s">
        <v>2637</v>
      </c>
      <c r="O552" s="22" t="s">
        <v>938</v>
      </c>
      <c r="P552" s="22" t="s">
        <v>939</v>
      </c>
      <c r="Q552" s="29" t="s">
        <v>940</v>
      </c>
      <c r="R552" s="95"/>
      <c r="S552" s="95"/>
      <c r="T552" s="95"/>
      <c r="V552" s="17">
        <v>1</v>
      </c>
      <c r="W552" s="17">
        <v>460</v>
      </c>
      <c r="X552" s="17">
        <v>2</v>
      </c>
      <c r="Y552" s="17">
        <v>30</v>
      </c>
      <c r="Z552" s="6">
        <f t="shared" si="60"/>
        <v>492</v>
      </c>
      <c r="AA552" s="11">
        <f t="shared" si="61"/>
        <v>0.93495934959349591</v>
      </c>
      <c r="AB552" s="11">
        <f t="shared" si="62"/>
        <v>4.0650406504065045E-3</v>
      </c>
      <c r="AC552" s="66">
        <f t="shared" si="63"/>
        <v>0.93495934959349591</v>
      </c>
      <c r="AD552" s="67">
        <f t="shared" si="64"/>
        <v>0.90243902439024393</v>
      </c>
    </row>
    <row r="553" spans="1:30" ht="14.5" customHeight="1" x14ac:dyDescent="0.2">
      <c r="A553" t="s">
        <v>730</v>
      </c>
      <c r="B553" s="7">
        <v>1</v>
      </c>
      <c r="C553" s="17">
        <v>0</v>
      </c>
      <c r="D553" s="22" t="s">
        <v>919</v>
      </c>
      <c r="E553" s="22" t="s">
        <v>920</v>
      </c>
      <c r="F553" s="17">
        <v>2010</v>
      </c>
      <c r="G553" s="18">
        <v>40380</v>
      </c>
      <c r="H553" s="22" t="s">
        <v>733</v>
      </c>
      <c r="I553" s="7">
        <v>0</v>
      </c>
      <c r="J553" s="22"/>
      <c r="K553" s="17">
        <v>0</v>
      </c>
      <c r="L553" s="59">
        <v>1</v>
      </c>
      <c r="M553" s="22" t="s">
        <v>2914</v>
      </c>
      <c r="N553" s="22" t="s">
        <v>2637</v>
      </c>
      <c r="O553" s="22" t="s">
        <v>941</v>
      </c>
      <c r="P553" s="22" t="s">
        <v>942</v>
      </c>
      <c r="Q553" s="29" t="s">
        <v>943</v>
      </c>
      <c r="R553" s="95"/>
      <c r="S553" s="95"/>
      <c r="T553" s="95"/>
      <c r="V553" s="17">
        <v>1</v>
      </c>
      <c r="W553" s="17">
        <v>484</v>
      </c>
      <c r="X553" s="17">
        <v>25</v>
      </c>
      <c r="Y553" s="17">
        <v>11</v>
      </c>
      <c r="Z553" s="6">
        <f t="shared" si="60"/>
        <v>520</v>
      </c>
      <c r="AA553" s="11">
        <f t="shared" si="61"/>
        <v>0.93076923076923079</v>
      </c>
      <c r="AB553" s="11">
        <f t="shared" si="62"/>
        <v>4.807692307692308E-2</v>
      </c>
      <c r="AC553" s="66">
        <f t="shared" si="63"/>
        <v>0.93076923076923079</v>
      </c>
      <c r="AD553" s="67">
        <f t="shared" si="64"/>
        <v>0.89615384615384619</v>
      </c>
    </row>
    <row r="554" spans="1:30" ht="14.5" customHeight="1" x14ac:dyDescent="0.2">
      <c r="A554" t="s">
        <v>730</v>
      </c>
      <c r="B554" s="7">
        <v>1</v>
      </c>
      <c r="C554" s="17">
        <v>0</v>
      </c>
      <c r="D554" s="22" t="s">
        <v>919</v>
      </c>
      <c r="E554" s="22" t="s">
        <v>920</v>
      </c>
      <c r="F554" s="17">
        <v>2011</v>
      </c>
      <c r="G554" s="18">
        <v>40568</v>
      </c>
      <c r="H554" s="22" t="s">
        <v>733</v>
      </c>
      <c r="I554" s="7">
        <v>0</v>
      </c>
      <c r="J554" s="22"/>
      <c r="K554" s="17">
        <v>0</v>
      </c>
      <c r="L554" s="59">
        <v>1</v>
      </c>
      <c r="M554" s="22" t="s">
        <v>2915</v>
      </c>
      <c r="N554" s="22" t="s">
        <v>2637</v>
      </c>
      <c r="O554" s="22" t="s">
        <v>944</v>
      </c>
      <c r="P554" s="22" t="s">
        <v>945</v>
      </c>
      <c r="Q554" s="29" t="s">
        <v>946</v>
      </c>
      <c r="R554" s="95"/>
      <c r="S554" s="95"/>
      <c r="T554" s="95"/>
      <c r="V554" s="17">
        <v>1</v>
      </c>
      <c r="W554" s="17">
        <v>479</v>
      </c>
      <c r="X554" s="17">
        <v>19</v>
      </c>
      <c r="Y554" s="17">
        <v>1</v>
      </c>
      <c r="Z554" s="6">
        <f t="shared" si="60"/>
        <v>499</v>
      </c>
      <c r="AA554" s="11">
        <f t="shared" si="61"/>
        <v>0.95991983967935868</v>
      </c>
      <c r="AB554" s="11">
        <f t="shared" si="62"/>
        <v>3.8076152304609222E-2</v>
      </c>
      <c r="AC554" s="66">
        <f t="shared" si="63"/>
        <v>0.95991983967935868</v>
      </c>
      <c r="AD554" s="67">
        <f t="shared" si="64"/>
        <v>0.93987975951903813</v>
      </c>
    </row>
    <row r="555" spans="1:30" ht="14.5" customHeight="1" x14ac:dyDescent="0.2">
      <c r="A555" t="s">
        <v>730</v>
      </c>
      <c r="B555" s="7">
        <v>1</v>
      </c>
      <c r="C555" s="17">
        <v>0</v>
      </c>
      <c r="D555" s="22" t="s">
        <v>919</v>
      </c>
      <c r="E555" s="22" t="s">
        <v>920</v>
      </c>
      <c r="F555" s="17">
        <v>2011</v>
      </c>
      <c r="G555" s="18">
        <v>40590</v>
      </c>
      <c r="H555" s="22" t="s">
        <v>738</v>
      </c>
      <c r="I555" s="7">
        <v>0</v>
      </c>
      <c r="J555" s="22"/>
      <c r="K555" s="17">
        <v>0</v>
      </c>
      <c r="L555" s="59">
        <v>1</v>
      </c>
      <c r="M555" s="22" t="s">
        <v>2915</v>
      </c>
      <c r="N555" s="22" t="s">
        <v>2637</v>
      </c>
      <c r="O555" s="22" t="s">
        <v>944</v>
      </c>
      <c r="P555" s="22" t="s">
        <v>947</v>
      </c>
      <c r="Q555" s="29" t="s">
        <v>948</v>
      </c>
      <c r="R555" s="95"/>
      <c r="S555" s="95"/>
      <c r="T555" s="95"/>
      <c r="V555" s="17">
        <v>1</v>
      </c>
      <c r="W555" s="17">
        <v>208</v>
      </c>
      <c r="X555" s="17">
        <v>9</v>
      </c>
      <c r="Y555" s="17">
        <v>0</v>
      </c>
      <c r="Z555" s="6">
        <f t="shared" si="60"/>
        <v>217</v>
      </c>
      <c r="AA555" s="11">
        <f t="shared" si="61"/>
        <v>0.95852534562211977</v>
      </c>
      <c r="AB555" s="11">
        <f t="shared" si="62"/>
        <v>4.1474654377880185E-2</v>
      </c>
      <c r="AC555" s="66">
        <f t="shared" si="63"/>
        <v>0.95852534562211977</v>
      </c>
      <c r="AD555" s="67">
        <f t="shared" si="64"/>
        <v>0.93778801843317972</v>
      </c>
    </row>
    <row r="556" spans="1:30" ht="14.5" customHeight="1" x14ac:dyDescent="0.2">
      <c r="A556" t="s">
        <v>730</v>
      </c>
      <c r="B556" s="7">
        <v>1</v>
      </c>
      <c r="C556" s="17">
        <v>0</v>
      </c>
      <c r="D556" s="22" t="s">
        <v>919</v>
      </c>
      <c r="E556" s="22" t="s">
        <v>920</v>
      </c>
      <c r="F556" s="17">
        <v>2011</v>
      </c>
      <c r="G556" s="18">
        <v>40625</v>
      </c>
      <c r="H556" s="22" t="s">
        <v>738</v>
      </c>
      <c r="I556" s="7">
        <v>0</v>
      </c>
      <c r="J556" s="22"/>
      <c r="K556" s="17">
        <v>0</v>
      </c>
      <c r="L556" s="59">
        <v>1</v>
      </c>
      <c r="M556" t="s">
        <v>949</v>
      </c>
      <c r="N556" s="48" t="s">
        <v>2629</v>
      </c>
      <c r="P556" s="26" t="s">
        <v>484</v>
      </c>
      <c r="Q556" s="29" t="s">
        <v>950</v>
      </c>
      <c r="R556" s="95">
        <v>1</v>
      </c>
      <c r="S556" s="95">
        <v>0</v>
      </c>
      <c r="T556" s="95">
        <v>0</v>
      </c>
      <c r="V556" s="17">
        <v>0</v>
      </c>
      <c r="W556" s="17">
        <v>156</v>
      </c>
      <c r="X556" s="17">
        <v>15</v>
      </c>
      <c r="Y556" s="17">
        <v>1</v>
      </c>
      <c r="Z556" s="6">
        <f t="shared" si="60"/>
        <v>172</v>
      </c>
      <c r="AA556" s="11">
        <f t="shared" si="61"/>
        <v>0.90697674418604646</v>
      </c>
      <c r="AB556" s="11">
        <f t="shared" si="62"/>
        <v>8.7209302325581398E-2</v>
      </c>
      <c r="AC556" s="66">
        <f t="shared" si="63"/>
        <v>0.90697674418604646</v>
      </c>
      <c r="AD556" s="67">
        <f t="shared" si="64"/>
        <v>0.86046511627906974</v>
      </c>
    </row>
    <row r="557" spans="1:30" ht="14.5" customHeight="1" x14ac:dyDescent="0.2">
      <c r="A557" t="s">
        <v>730</v>
      </c>
      <c r="B557" s="7">
        <v>1</v>
      </c>
      <c r="C557" s="17">
        <v>0</v>
      </c>
      <c r="D557" s="22" t="s">
        <v>919</v>
      </c>
      <c r="E557" s="22" t="s">
        <v>920</v>
      </c>
      <c r="F557" s="17">
        <v>2011</v>
      </c>
      <c r="G557" s="18">
        <v>40626</v>
      </c>
      <c r="H557" s="22" t="s">
        <v>733</v>
      </c>
      <c r="I557" s="7">
        <v>0</v>
      </c>
      <c r="J557" s="22"/>
      <c r="K557" s="17">
        <v>0</v>
      </c>
      <c r="L557" s="59">
        <v>1</v>
      </c>
      <c r="M557" t="s">
        <v>949</v>
      </c>
      <c r="N557" s="48" t="s">
        <v>2629</v>
      </c>
      <c r="P557" s="26" t="s">
        <v>951</v>
      </c>
      <c r="Q557" s="29" t="s">
        <v>952</v>
      </c>
      <c r="R557" s="95">
        <v>1</v>
      </c>
      <c r="S557" s="95">
        <v>0</v>
      </c>
      <c r="T557" s="95">
        <v>0</v>
      </c>
      <c r="V557" s="17">
        <v>0</v>
      </c>
      <c r="W557" s="17">
        <v>300</v>
      </c>
      <c r="X557" s="17">
        <v>293</v>
      </c>
      <c r="Y557" s="17">
        <v>2</v>
      </c>
      <c r="Z557" s="6">
        <f t="shared" si="60"/>
        <v>595</v>
      </c>
      <c r="AA557" s="11">
        <f t="shared" si="61"/>
        <v>0.50420168067226889</v>
      </c>
      <c r="AB557" s="11">
        <f t="shared" si="62"/>
        <v>0.49243697478991599</v>
      </c>
      <c r="AC557" s="66">
        <f t="shared" si="63"/>
        <v>0.50420168067226889</v>
      </c>
      <c r="AD557" s="67">
        <f t="shared" si="64"/>
        <v>0.25630252100840334</v>
      </c>
    </row>
    <row r="558" spans="1:30" ht="14.5" customHeight="1" x14ac:dyDescent="0.2">
      <c r="A558" t="s">
        <v>730</v>
      </c>
      <c r="B558" s="7">
        <v>1</v>
      </c>
      <c r="C558" s="17">
        <v>0</v>
      </c>
      <c r="D558" s="22" t="s">
        <v>919</v>
      </c>
      <c r="E558" s="22" t="s">
        <v>920</v>
      </c>
      <c r="F558" s="17">
        <v>2011</v>
      </c>
      <c r="G558" s="18">
        <v>40751</v>
      </c>
      <c r="H558" s="22" t="s">
        <v>738</v>
      </c>
      <c r="I558" s="7">
        <v>0</v>
      </c>
      <c r="J558" s="22"/>
      <c r="K558" s="17">
        <v>0</v>
      </c>
      <c r="L558" s="59">
        <v>1</v>
      </c>
      <c r="M558" s="22" t="s">
        <v>2916</v>
      </c>
      <c r="N558" s="22" t="s">
        <v>2637</v>
      </c>
      <c r="O558" s="22" t="s">
        <v>953</v>
      </c>
      <c r="P558" s="22" t="s">
        <v>954</v>
      </c>
      <c r="Q558" s="29" t="s">
        <v>955</v>
      </c>
      <c r="R558" s="95"/>
      <c r="S558" s="95"/>
      <c r="T558" s="95"/>
      <c r="V558" s="17">
        <v>1</v>
      </c>
      <c r="W558" s="17">
        <v>269</v>
      </c>
      <c r="X558" s="17">
        <v>12</v>
      </c>
      <c r="Y558" s="17">
        <v>1</v>
      </c>
      <c r="Z558" s="6">
        <f t="shared" si="60"/>
        <v>282</v>
      </c>
      <c r="AA558" s="11">
        <f t="shared" si="61"/>
        <v>0.95390070921985815</v>
      </c>
      <c r="AB558" s="11">
        <f t="shared" si="62"/>
        <v>4.2553191489361701E-2</v>
      </c>
      <c r="AC558" s="66">
        <f t="shared" si="63"/>
        <v>0.95390070921985815</v>
      </c>
      <c r="AD558" s="67">
        <f t="shared" si="64"/>
        <v>0.93085106382978722</v>
      </c>
    </row>
    <row r="559" spans="1:30" ht="14.5" customHeight="1" x14ac:dyDescent="0.2">
      <c r="A559" t="s">
        <v>730</v>
      </c>
      <c r="B559" s="7">
        <v>1</v>
      </c>
      <c r="C559" s="17">
        <v>0</v>
      </c>
      <c r="D559" s="22" t="s">
        <v>919</v>
      </c>
      <c r="E559" s="22" t="s">
        <v>920</v>
      </c>
      <c r="F559" s="17">
        <v>2011</v>
      </c>
      <c r="G559" s="18">
        <v>40757</v>
      </c>
      <c r="H559" s="22" t="s">
        <v>733</v>
      </c>
      <c r="I559" s="7">
        <v>0</v>
      </c>
      <c r="J559" s="22"/>
      <c r="K559" s="17">
        <v>0</v>
      </c>
      <c r="L559" s="59">
        <v>1</v>
      </c>
      <c r="M559" s="22" t="s">
        <v>2916</v>
      </c>
      <c r="N559" s="22" t="s">
        <v>2637</v>
      </c>
      <c r="O559" s="22" t="s">
        <v>953</v>
      </c>
      <c r="P559" s="22" t="s">
        <v>956</v>
      </c>
      <c r="Q559" s="29" t="s">
        <v>957</v>
      </c>
      <c r="R559" s="95"/>
      <c r="S559" s="95"/>
      <c r="T559" s="95"/>
      <c r="V559" s="17">
        <v>1</v>
      </c>
      <c r="W559" s="17">
        <v>493</v>
      </c>
      <c r="X559" s="17">
        <v>22</v>
      </c>
      <c r="Y559" s="17">
        <v>15</v>
      </c>
      <c r="Z559" s="6">
        <f t="shared" si="60"/>
        <v>530</v>
      </c>
      <c r="AA559" s="11">
        <f t="shared" si="61"/>
        <v>0.93018867924528303</v>
      </c>
      <c r="AB559" s="11">
        <f t="shared" si="62"/>
        <v>4.1509433962264149E-2</v>
      </c>
      <c r="AC559" s="66">
        <f t="shared" si="63"/>
        <v>0.93018867924528303</v>
      </c>
      <c r="AD559" s="67">
        <f t="shared" si="64"/>
        <v>0.8952830188679245</v>
      </c>
    </row>
    <row r="560" spans="1:30" ht="14.5" customHeight="1" x14ac:dyDescent="0.2">
      <c r="A560" t="s">
        <v>730</v>
      </c>
      <c r="B560" s="7">
        <v>1</v>
      </c>
      <c r="C560" s="17">
        <v>0</v>
      </c>
      <c r="D560" s="22" t="s">
        <v>958</v>
      </c>
      <c r="E560" s="22" t="s">
        <v>759</v>
      </c>
      <c r="F560" s="17">
        <v>2012</v>
      </c>
      <c r="G560" s="18">
        <v>40940</v>
      </c>
      <c r="H560" s="22" t="s">
        <v>733</v>
      </c>
      <c r="I560" s="7">
        <v>0</v>
      </c>
      <c r="J560" s="22"/>
      <c r="K560" s="17">
        <v>0</v>
      </c>
      <c r="L560" s="59">
        <v>1</v>
      </c>
      <c r="M560" s="22" t="s">
        <v>2917</v>
      </c>
      <c r="N560" s="22" t="s">
        <v>2637</v>
      </c>
      <c r="O560" s="22" t="s">
        <v>959</v>
      </c>
      <c r="P560" s="22" t="s">
        <v>960</v>
      </c>
      <c r="Q560" s="29" t="s">
        <v>961</v>
      </c>
      <c r="R560" s="95"/>
      <c r="S560" s="95"/>
      <c r="T560" s="95"/>
      <c r="V560" s="17">
        <v>1</v>
      </c>
      <c r="W560" s="17">
        <v>415</v>
      </c>
      <c r="X560" s="17">
        <v>72</v>
      </c>
      <c r="Y560" s="17">
        <v>11</v>
      </c>
      <c r="Z560" s="6">
        <f t="shared" si="60"/>
        <v>498</v>
      </c>
      <c r="AA560" s="11">
        <f t="shared" si="61"/>
        <v>0.83333333333333337</v>
      </c>
      <c r="AB560" s="11">
        <f t="shared" si="62"/>
        <v>0.14457831325301204</v>
      </c>
      <c r="AC560" s="66">
        <f t="shared" si="63"/>
        <v>0.83333333333333337</v>
      </c>
      <c r="AD560" s="67">
        <f t="shared" si="64"/>
        <v>0.75</v>
      </c>
    </row>
    <row r="561" spans="1:30" ht="14.5" customHeight="1" x14ac:dyDescent="0.2">
      <c r="A561" t="s">
        <v>730</v>
      </c>
      <c r="B561" s="7">
        <v>1</v>
      </c>
      <c r="C561" s="17">
        <v>0</v>
      </c>
      <c r="D561" s="22" t="s">
        <v>958</v>
      </c>
      <c r="E561" s="22" t="s">
        <v>759</v>
      </c>
      <c r="F561" s="17">
        <v>2012</v>
      </c>
      <c r="G561" s="18">
        <v>40961</v>
      </c>
      <c r="H561" s="22" t="s">
        <v>738</v>
      </c>
      <c r="I561" s="7">
        <v>0</v>
      </c>
      <c r="J561" s="22"/>
      <c r="K561" s="17">
        <v>0</v>
      </c>
      <c r="L561" s="59">
        <v>1</v>
      </c>
      <c r="M561" s="22" t="s">
        <v>2917</v>
      </c>
      <c r="N561" s="22" t="s">
        <v>2637</v>
      </c>
      <c r="O561" s="22" t="s">
        <v>959</v>
      </c>
      <c r="P561" s="22" t="s">
        <v>962</v>
      </c>
      <c r="Q561" s="29" t="s">
        <v>963</v>
      </c>
      <c r="R561" s="95"/>
      <c r="S561" s="95"/>
      <c r="T561" s="95"/>
      <c r="V561" s="17">
        <v>1</v>
      </c>
      <c r="W561" s="17">
        <v>223</v>
      </c>
      <c r="X561" s="17">
        <v>35</v>
      </c>
      <c r="Y561" s="17">
        <v>2</v>
      </c>
      <c r="Z561" s="6">
        <f t="shared" si="60"/>
        <v>260</v>
      </c>
      <c r="AA561" s="11">
        <f t="shared" si="61"/>
        <v>0.85769230769230764</v>
      </c>
      <c r="AB561" s="11">
        <f t="shared" si="62"/>
        <v>0.13461538461538461</v>
      </c>
      <c r="AC561" s="66">
        <f t="shared" si="63"/>
        <v>0.85769230769230764</v>
      </c>
      <c r="AD561" s="67">
        <f t="shared" si="64"/>
        <v>0.78653846153846152</v>
      </c>
    </row>
    <row r="562" spans="1:30" ht="14.5" customHeight="1" x14ac:dyDescent="0.2">
      <c r="A562" t="s">
        <v>730</v>
      </c>
      <c r="B562" s="7">
        <v>1</v>
      </c>
      <c r="C562" s="17">
        <v>0</v>
      </c>
      <c r="D562" s="22" t="s">
        <v>958</v>
      </c>
      <c r="E562" s="22" t="s">
        <v>759</v>
      </c>
      <c r="F562" s="17">
        <v>2012</v>
      </c>
      <c r="G562" s="18">
        <v>41074</v>
      </c>
      <c r="H562" s="22" t="s">
        <v>738</v>
      </c>
      <c r="I562" s="7">
        <v>0</v>
      </c>
      <c r="J562" s="22"/>
      <c r="K562" s="17">
        <v>0</v>
      </c>
      <c r="L562" s="59">
        <v>1</v>
      </c>
      <c r="M562" s="22" t="s">
        <v>2554</v>
      </c>
      <c r="N562" s="22" t="s">
        <v>2121</v>
      </c>
      <c r="P562" s="22" t="s">
        <v>964</v>
      </c>
      <c r="Q562" s="29" t="s">
        <v>965</v>
      </c>
      <c r="R562" s="95">
        <v>1</v>
      </c>
      <c r="S562" s="95">
        <v>0</v>
      </c>
      <c r="T562" s="95">
        <v>0</v>
      </c>
      <c r="V562" s="17">
        <v>0</v>
      </c>
      <c r="W562" s="17">
        <v>260</v>
      </c>
      <c r="X562" s="17">
        <v>0</v>
      </c>
      <c r="Y562" s="17">
        <v>1</v>
      </c>
      <c r="Z562" s="6">
        <f t="shared" si="60"/>
        <v>261</v>
      </c>
      <c r="AA562" s="11">
        <f t="shared" si="61"/>
        <v>0.99616858237547889</v>
      </c>
      <c r="AB562" s="11">
        <f t="shared" si="62"/>
        <v>0</v>
      </c>
      <c r="AC562" s="66">
        <f t="shared" si="63"/>
        <v>0.99616858237547889</v>
      </c>
      <c r="AD562" s="67">
        <f t="shared" si="64"/>
        <v>0.99425287356321834</v>
      </c>
    </row>
    <row r="563" spans="1:30" ht="14.5" customHeight="1" x14ac:dyDescent="0.2">
      <c r="A563" t="s">
        <v>730</v>
      </c>
      <c r="B563" s="7">
        <v>1</v>
      </c>
      <c r="C563" s="17">
        <v>0</v>
      </c>
      <c r="D563" s="22" t="s">
        <v>958</v>
      </c>
      <c r="E563" s="22" t="s">
        <v>759</v>
      </c>
      <c r="F563" s="17">
        <v>2012</v>
      </c>
      <c r="G563" s="18">
        <v>41094</v>
      </c>
      <c r="H563" s="22" t="s">
        <v>733</v>
      </c>
      <c r="I563" s="7">
        <v>0</v>
      </c>
      <c r="J563" s="22"/>
      <c r="K563" s="17">
        <v>0</v>
      </c>
      <c r="L563" s="59">
        <v>1</v>
      </c>
      <c r="M563" s="22" t="s">
        <v>2554</v>
      </c>
      <c r="N563" s="22" t="s">
        <v>2121</v>
      </c>
      <c r="P563" s="22" t="s">
        <v>966</v>
      </c>
      <c r="Q563" s="29" t="s">
        <v>967</v>
      </c>
      <c r="R563" s="95">
        <v>1</v>
      </c>
      <c r="S563" s="95">
        <v>0</v>
      </c>
      <c r="T563" s="95">
        <v>0</v>
      </c>
      <c r="V563" s="17">
        <v>0</v>
      </c>
      <c r="W563" s="17">
        <v>384</v>
      </c>
      <c r="X563" s="17">
        <v>63</v>
      </c>
      <c r="Y563" s="17">
        <v>11</v>
      </c>
      <c r="Z563" s="6">
        <f t="shared" si="60"/>
        <v>458</v>
      </c>
      <c r="AA563" s="11">
        <f t="shared" si="61"/>
        <v>0.83842794759825323</v>
      </c>
      <c r="AB563" s="11">
        <f t="shared" si="62"/>
        <v>0.13755458515283842</v>
      </c>
      <c r="AC563" s="66">
        <f t="shared" si="63"/>
        <v>0.83842794759825323</v>
      </c>
      <c r="AD563" s="67">
        <f t="shared" si="64"/>
        <v>0.75764192139737996</v>
      </c>
    </row>
    <row r="564" spans="1:30" ht="14.5" customHeight="1" x14ac:dyDescent="0.2">
      <c r="A564" t="s">
        <v>730</v>
      </c>
      <c r="B564" s="7">
        <v>1</v>
      </c>
      <c r="C564" s="17">
        <v>0</v>
      </c>
      <c r="D564" s="22" t="s">
        <v>958</v>
      </c>
      <c r="E564" s="22" t="s">
        <v>759</v>
      </c>
      <c r="F564" s="17">
        <v>2013</v>
      </c>
      <c r="G564" s="18">
        <v>41296</v>
      </c>
      <c r="H564" s="22" t="s">
        <v>733</v>
      </c>
      <c r="I564" s="7">
        <v>0</v>
      </c>
      <c r="J564" s="22"/>
      <c r="K564" s="17">
        <v>0</v>
      </c>
      <c r="L564" s="59">
        <v>1</v>
      </c>
      <c r="M564" s="22" t="s">
        <v>2918</v>
      </c>
      <c r="N564" s="22" t="s">
        <v>2637</v>
      </c>
      <c r="O564" s="22" t="s">
        <v>968</v>
      </c>
      <c r="P564" s="22" t="s">
        <v>969</v>
      </c>
      <c r="Q564" s="29" t="s">
        <v>970</v>
      </c>
      <c r="R564" s="95"/>
      <c r="S564" s="95"/>
      <c r="T564" s="95"/>
      <c r="V564" s="17">
        <v>1</v>
      </c>
      <c r="W564" s="17">
        <v>384</v>
      </c>
      <c r="X564" s="17">
        <v>24</v>
      </c>
      <c r="Y564" s="17">
        <v>13</v>
      </c>
      <c r="Z564" s="6">
        <f t="shared" si="60"/>
        <v>421</v>
      </c>
      <c r="AA564" s="11">
        <f t="shared" si="61"/>
        <v>0.91211401425178151</v>
      </c>
      <c r="AB564" s="11">
        <f t="shared" si="62"/>
        <v>5.7007125890736345E-2</v>
      </c>
      <c r="AC564" s="66">
        <f t="shared" si="63"/>
        <v>0.91211401425178151</v>
      </c>
      <c r="AD564" s="67">
        <f t="shared" si="64"/>
        <v>0.86817102137767221</v>
      </c>
    </row>
    <row r="565" spans="1:30" ht="14.5" customHeight="1" x14ac:dyDescent="0.2">
      <c r="A565" t="s">
        <v>730</v>
      </c>
      <c r="B565" s="7">
        <v>1</v>
      </c>
      <c r="C565" s="17">
        <v>0</v>
      </c>
      <c r="D565" s="22" t="s">
        <v>971</v>
      </c>
      <c r="E565" s="22" t="s">
        <v>972</v>
      </c>
      <c r="F565" s="17">
        <v>2013</v>
      </c>
      <c r="G565" s="18">
        <v>41612</v>
      </c>
      <c r="H565" s="22" t="s">
        <v>733</v>
      </c>
      <c r="I565" s="7">
        <v>0</v>
      </c>
      <c r="J565" s="22"/>
      <c r="K565" s="17">
        <v>0</v>
      </c>
      <c r="L565" s="59">
        <v>1</v>
      </c>
      <c r="M565" s="22" t="s">
        <v>2919</v>
      </c>
      <c r="N565" s="22" t="s">
        <v>2637</v>
      </c>
      <c r="O565" s="22" t="s">
        <v>973</v>
      </c>
      <c r="P565" s="22" t="s">
        <v>974</v>
      </c>
      <c r="Q565" s="29" t="s">
        <v>975</v>
      </c>
      <c r="R565" s="95"/>
      <c r="S565" s="95"/>
      <c r="T565" s="95"/>
      <c r="V565" s="17">
        <v>1</v>
      </c>
      <c r="W565" s="17">
        <v>324</v>
      </c>
      <c r="X565" s="17">
        <v>132</v>
      </c>
      <c r="Y565" s="17">
        <v>11</v>
      </c>
      <c r="Z565" s="6">
        <f t="shared" si="60"/>
        <v>467</v>
      </c>
      <c r="AA565" s="11">
        <f t="shared" si="61"/>
        <v>0.69379014989293364</v>
      </c>
      <c r="AB565" s="11">
        <f t="shared" si="62"/>
        <v>0.28265524625267668</v>
      </c>
      <c r="AC565" s="66">
        <f t="shared" si="63"/>
        <v>0.69379014989293364</v>
      </c>
      <c r="AD565" s="67">
        <f t="shared" si="64"/>
        <v>0.5406852248394004</v>
      </c>
    </row>
    <row r="566" spans="1:30" ht="14.5" customHeight="1" x14ac:dyDescent="0.2">
      <c r="A566" t="s">
        <v>730</v>
      </c>
      <c r="B566" s="7">
        <v>1</v>
      </c>
      <c r="C566" s="17">
        <v>0</v>
      </c>
      <c r="D566" s="22" t="s">
        <v>971</v>
      </c>
      <c r="E566" s="22" t="s">
        <v>972</v>
      </c>
      <c r="F566" s="17">
        <v>2013</v>
      </c>
      <c r="G566" s="18">
        <v>41613</v>
      </c>
      <c r="H566" s="22" t="s">
        <v>738</v>
      </c>
      <c r="I566" s="7">
        <v>0</v>
      </c>
      <c r="J566" s="22"/>
      <c r="K566" s="17">
        <v>0</v>
      </c>
      <c r="L566" s="59">
        <v>1</v>
      </c>
      <c r="M566" s="22" t="s">
        <v>2919</v>
      </c>
      <c r="N566" s="22" t="s">
        <v>2637</v>
      </c>
      <c r="O566" s="22" t="s">
        <v>973</v>
      </c>
      <c r="P566" s="22" t="s">
        <v>976</v>
      </c>
      <c r="Q566" s="29" t="s">
        <v>977</v>
      </c>
      <c r="R566" s="95"/>
      <c r="S566" s="95"/>
      <c r="T566" s="95"/>
      <c r="V566" s="17">
        <v>1</v>
      </c>
      <c r="W566" s="17">
        <v>159</v>
      </c>
      <c r="X566" s="17">
        <v>67</v>
      </c>
      <c r="Y566" s="17">
        <v>0</v>
      </c>
      <c r="Z566" s="6">
        <f t="shared" si="60"/>
        <v>226</v>
      </c>
      <c r="AA566" s="11">
        <f t="shared" si="61"/>
        <v>0.70353982300884954</v>
      </c>
      <c r="AB566" s="11">
        <f t="shared" si="62"/>
        <v>0.29646017699115046</v>
      </c>
      <c r="AC566" s="66">
        <f t="shared" si="63"/>
        <v>0.70353982300884954</v>
      </c>
      <c r="AD566" s="67">
        <f t="shared" si="64"/>
        <v>0.55530973451327437</v>
      </c>
    </row>
    <row r="567" spans="1:30" ht="14.5" customHeight="1" x14ac:dyDescent="0.2">
      <c r="A567" t="s">
        <v>730</v>
      </c>
      <c r="B567" s="7">
        <v>1</v>
      </c>
      <c r="C567" s="17">
        <v>0</v>
      </c>
      <c r="D567" s="22" t="s">
        <v>978</v>
      </c>
      <c r="E567" s="22" t="s">
        <v>979</v>
      </c>
      <c r="F567" s="17">
        <v>2014</v>
      </c>
      <c r="G567" s="18">
        <v>41697</v>
      </c>
      <c r="H567" s="22" t="s">
        <v>738</v>
      </c>
      <c r="I567" s="7">
        <v>0</v>
      </c>
      <c r="J567" s="22"/>
      <c r="K567" s="17">
        <v>0</v>
      </c>
      <c r="L567" s="59">
        <v>1</v>
      </c>
      <c r="M567" s="22" t="s">
        <v>2920</v>
      </c>
      <c r="N567" s="22" t="s">
        <v>2637</v>
      </c>
      <c r="O567" s="22" t="s">
        <v>980</v>
      </c>
      <c r="P567" s="22" t="s">
        <v>981</v>
      </c>
      <c r="Q567" s="29" t="s">
        <v>982</v>
      </c>
      <c r="R567" s="95"/>
      <c r="S567" s="95"/>
      <c r="T567" s="95"/>
      <c r="V567" s="17">
        <v>1</v>
      </c>
      <c r="W567" s="17">
        <v>176</v>
      </c>
      <c r="X567" s="17">
        <v>59</v>
      </c>
      <c r="Y567" s="17">
        <v>0</v>
      </c>
      <c r="Z567" s="6">
        <f t="shared" si="60"/>
        <v>235</v>
      </c>
      <c r="AA567" s="11">
        <f t="shared" si="61"/>
        <v>0.74893617021276593</v>
      </c>
      <c r="AB567" s="11">
        <f t="shared" si="62"/>
        <v>0.25106382978723402</v>
      </c>
      <c r="AC567" s="66">
        <f t="shared" si="63"/>
        <v>0.74893617021276593</v>
      </c>
      <c r="AD567" s="67">
        <f t="shared" si="64"/>
        <v>0.62340425531914889</v>
      </c>
    </row>
    <row r="568" spans="1:30" ht="14.5" customHeight="1" x14ac:dyDescent="0.2">
      <c r="A568" t="s">
        <v>730</v>
      </c>
      <c r="B568" s="7">
        <v>1</v>
      </c>
      <c r="C568" s="17">
        <v>0</v>
      </c>
      <c r="D568" s="22" t="s">
        <v>978</v>
      </c>
      <c r="E568" s="22" t="s">
        <v>979</v>
      </c>
      <c r="F568" s="17">
        <v>2014</v>
      </c>
      <c r="G568" s="18">
        <v>41711</v>
      </c>
      <c r="H568" s="22" t="s">
        <v>733</v>
      </c>
      <c r="I568" s="7">
        <v>0</v>
      </c>
      <c r="J568" s="22"/>
      <c r="K568" s="17">
        <v>0</v>
      </c>
      <c r="L568" s="59">
        <v>1</v>
      </c>
      <c r="M568" s="22" t="s">
        <v>2920</v>
      </c>
      <c r="N568" s="22" t="s">
        <v>2637</v>
      </c>
      <c r="O568" s="22" t="s">
        <v>980</v>
      </c>
      <c r="P568" s="22" t="s">
        <v>983</v>
      </c>
      <c r="Q568" s="29" t="s">
        <v>984</v>
      </c>
      <c r="R568" s="95"/>
      <c r="S568" s="95"/>
      <c r="T568" s="95"/>
      <c r="V568" s="17">
        <v>1</v>
      </c>
      <c r="W568" s="17">
        <v>283</v>
      </c>
      <c r="X568" s="17">
        <v>89</v>
      </c>
      <c r="Y568" s="17">
        <v>1</v>
      </c>
      <c r="Z568" s="6">
        <f t="shared" si="60"/>
        <v>373</v>
      </c>
      <c r="AA568" s="11">
        <f t="shared" si="61"/>
        <v>0.75871313672922247</v>
      </c>
      <c r="AB568" s="11">
        <f t="shared" si="62"/>
        <v>0.23860589812332439</v>
      </c>
      <c r="AC568" s="66">
        <f t="shared" si="63"/>
        <v>0.75871313672922247</v>
      </c>
      <c r="AD568" s="67">
        <f t="shared" si="64"/>
        <v>0.63806970509383376</v>
      </c>
    </row>
    <row r="569" spans="1:30" ht="14.5" customHeight="1" x14ac:dyDescent="0.2">
      <c r="A569" t="s">
        <v>730</v>
      </c>
      <c r="B569" s="7">
        <v>1</v>
      </c>
      <c r="C569" s="17">
        <v>0</v>
      </c>
      <c r="D569" s="22" t="s">
        <v>978</v>
      </c>
      <c r="E569" s="22" t="s">
        <v>979</v>
      </c>
      <c r="F569" s="17">
        <v>2014</v>
      </c>
      <c r="G569" s="18">
        <v>41899</v>
      </c>
      <c r="H569" s="22" t="s">
        <v>733</v>
      </c>
      <c r="I569" s="7">
        <v>0</v>
      </c>
      <c r="J569" s="22"/>
      <c r="K569" s="17">
        <v>0</v>
      </c>
      <c r="L569" s="59">
        <v>1</v>
      </c>
      <c r="M569" s="22" t="s">
        <v>2921</v>
      </c>
      <c r="N569" s="22" t="s">
        <v>2637</v>
      </c>
      <c r="O569" s="22" t="s">
        <v>985</v>
      </c>
      <c r="P569" s="22" t="s">
        <v>986</v>
      </c>
      <c r="Q569" s="29" t="s">
        <v>987</v>
      </c>
      <c r="R569" s="95"/>
      <c r="S569" s="95"/>
      <c r="T569" s="95"/>
      <c r="V569" s="17">
        <v>1</v>
      </c>
      <c r="W569" s="17">
        <v>315</v>
      </c>
      <c r="X569" s="17">
        <v>130</v>
      </c>
      <c r="Y569" s="17">
        <v>11</v>
      </c>
      <c r="Z569" s="6">
        <f t="shared" si="60"/>
        <v>456</v>
      </c>
      <c r="AA569" s="11">
        <f t="shared" si="61"/>
        <v>0.69078947368421051</v>
      </c>
      <c r="AB569" s="11">
        <f t="shared" si="62"/>
        <v>0.28508771929824561</v>
      </c>
      <c r="AC569" s="66">
        <f t="shared" si="63"/>
        <v>0.69078947368421051</v>
      </c>
      <c r="AD569" s="67">
        <f t="shared" si="64"/>
        <v>0.53618421052631582</v>
      </c>
    </row>
    <row r="570" spans="1:30" ht="14.5" customHeight="1" x14ac:dyDescent="0.2">
      <c r="A570" t="s">
        <v>730</v>
      </c>
      <c r="B570" s="7">
        <v>1</v>
      </c>
      <c r="C570" s="17">
        <v>0</v>
      </c>
      <c r="D570" s="22" t="s">
        <v>978</v>
      </c>
      <c r="E570" s="22" t="s">
        <v>979</v>
      </c>
      <c r="F570" s="17">
        <v>2014</v>
      </c>
      <c r="G570" s="18">
        <v>41913</v>
      </c>
      <c r="H570" s="22" t="s">
        <v>738</v>
      </c>
      <c r="I570" s="7">
        <v>0</v>
      </c>
      <c r="J570" s="22"/>
      <c r="K570" s="17">
        <v>0</v>
      </c>
      <c r="L570" s="59">
        <v>1</v>
      </c>
      <c r="M570" s="22" t="s">
        <v>2921</v>
      </c>
      <c r="N570" s="22" t="s">
        <v>2637</v>
      </c>
      <c r="O570" s="22" t="s">
        <v>985</v>
      </c>
      <c r="P570" s="22" t="s">
        <v>988</v>
      </c>
      <c r="Q570" s="29" t="s">
        <v>989</v>
      </c>
      <c r="R570" s="95"/>
      <c r="S570" s="95"/>
      <c r="T570" s="95"/>
      <c r="V570" s="17">
        <v>1</v>
      </c>
      <c r="W570" s="17">
        <v>190</v>
      </c>
      <c r="X570" s="17">
        <v>42</v>
      </c>
      <c r="Y570" s="17">
        <v>17</v>
      </c>
      <c r="Z570" s="6">
        <f t="shared" si="60"/>
        <v>249</v>
      </c>
      <c r="AA570" s="11">
        <f t="shared" si="61"/>
        <v>0.76305220883534142</v>
      </c>
      <c r="AB570" s="11">
        <f t="shared" si="62"/>
        <v>0.16867469879518071</v>
      </c>
      <c r="AC570" s="66">
        <f t="shared" si="63"/>
        <v>0.76305220883534142</v>
      </c>
      <c r="AD570" s="67">
        <f t="shared" si="64"/>
        <v>0.64457831325301207</v>
      </c>
    </row>
    <row r="571" spans="1:30" ht="14.5" customHeight="1" x14ac:dyDescent="0.2">
      <c r="A571" t="s">
        <v>730</v>
      </c>
      <c r="B571" s="7">
        <v>1</v>
      </c>
      <c r="C571" s="17">
        <v>0</v>
      </c>
      <c r="D571" s="22" t="s">
        <v>978</v>
      </c>
      <c r="E571" s="22" t="s">
        <v>979</v>
      </c>
      <c r="F571" s="17">
        <v>2015</v>
      </c>
      <c r="G571" s="18">
        <v>42094</v>
      </c>
      <c r="H571" s="22" t="s">
        <v>733</v>
      </c>
      <c r="I571" s="7">
        <v>0</v>
      </c>
      <c r="J571" s="22"/>
      <c r="K571" s="17">
        <v>0</v>
      </c>
      <c r="L571" s="59">
        <v>1</v>
      </c>
      <c r="M571" s="22" t="s">
        <v>2922</v>
      </c>
      <c r="N571" s="22" t="s">
        <v>2637</v>
      </c>
      <c r="O571" s="22" t="s">
        <v>990</v>
      </c>
      <c r="P571" s="22" t="s">
        <v>991</v>
      </c>
      <c r="Q571" s="29" t="s">
        <v>992</v>
      </c>
      <c r="R571" s="95"/>
      <c r="S571" s="95"/>
      <c r="T571" s="95"/>
      <c r="V571" s="17">
        <v>1</v>
      </c>
      <c r="W571" s="17">
        <v>253</v>
      </c>
      <c r="X571" s="17">
        <v>50</v>
      </c>
      <c r="Y571" s="17">
        <v>2</v>
      </c>
      <c r="Z571" s="6">
        <f t="shared" si="60"/>
        <v>305</v>
      </c>
      <c r="AA571" s="11">
        <f t="shared" si="61"/>
        <v>0.82950819672131149</v>
      </c>
      <c r="AB571" s="11">
        <f t="shared" si="62"/>
        <v>0.16393442622950818</v>
      </c>
      <c r="AC571" s="66">
        <f t="shared" si="63"/>
        <v>0.82950819672131149</v>
      </c>
      <c r="AD571" s="67">
        <f t="shared" si="64"/>
        <v>0.74426229508196717</v>
      </c>
    </row>
    <row r="572" spans="1:30" ht="14.5" customHeight="1" x14ac:dyDescent="0.2">
      <c r="A572" t="s">
        <v>730</v>
      </c>
      <c r="B572" s="7">
        <v>1</v>
      </c>
      <c r="C572" s="17">
        <v>0</v>
      </c>
      <c r="D572" s="22" t="s">
        <v>978</v>
      </c>
      <c r="E572" s="22" t="s">
        <v>979</v>
      </c>
      <c r="F572" s="17">
        <v>2015</v>
      </c>
      <c r="G572" s="18">
        <v>42109</v>
      </c>
      <c r="H572" s="22" t="s">
        <v>738</v>
      </c>
      <c r="I572" s="7">
        <v>0</v>
      </c>
      <c r="J572" s="22"/>
      <c r="K572" s="17">
        <v>0</v>
      </c>
      <c r="L572" s="59">
        <v>1</v>
      </c>
      <c r="M572" s="22" t="s">
        <v>2922</v>
      </c>
      <c r="N572" s="22" t="s">
        <v>2637</v>
      </c>
      <c r="O572" s="22" t="s">
        <v>990</v>
      </c>
      <c r="P572" s="22" t="s">
        <v>993</v>
      </c>
      <c r="Q572" s="29" t="s">
        <v>994</v>
      </c>
      <c r="R572" s="95"/>
      <c r="S572" s="95"/>
      <c r="T572" s="95"/>
      <c r="V572" s="17">
        <v>1</v>
      </c>
      <c r="W572" s="17">
        <v>161</v>
      </c>
      <c r="X572" s="17">
        <v>108</v>
      </c>
      <c r="Y572" s="17">
        <v>1</v>
      </c>
      <c r="Z572" s="6">
        <f t="shared" si="60"/>
        <v>270</v>
      </c>
      <c r="AA572" s="11">
        <f t="shared" si="61"/>
        <v>0.59629629629629632</v>
      </c>
      <c r="AB572" s="11">
        <f t="shared" si="62"/>
        <v>0.4</v>
      </c>
      <c r="AC572" s="66">
        <f t="shared" si="63"/>
        <v>0.59629629629629632</v>
      </c>
      <c r="AD572" s="67">
        <f t="shared" si="64"/>
        <v>0.39444444444444443</v>
      </c>
    </row>
    <row r="573" spans="1:30" ht="14.5" customHeight="1" x14ac:dyDescent="0.2">
      <c r="A573" t="s">
        <v>730</v>
      </c>
      <c r="B573" s="7">
        <v>1</v>
      </c>
      <c r="C573" s="17">
        <v>0</v>
      </c>
      <c r="D573" s="22" t="s">
        <v>978</v>
      </c>
      <c r="E573" s="22" t="s">
        <v>979</v>
      </c>
      <c r="F573" s="17">
        <v>2015</v>
      </c>
      <c r="G573" s="18">
        <v>42207</v>
      </c>
      <c r="H573" s="22" t="s">
        <v>738</v>
      </c>
      <c r="I573" s="7">
        <v>0</v>
      </c>
      <c r="J573" s="22"/>
      <c r="K573" s="17">
        <v>0</v>
      </c>
      <c r="L573" s="59">
        <v>1</v>
      </c>
      <c r="M573" s="5" t="s">
        <v>3033</v>
      </c>
      <c r="N573" s="22" t="s">
        <v>2627</v>
      </c>
      <c r="P573" s="96" t="s">
        <v>995</v>
      </c>
      <c r="Q573" s="29" t="s">
        <v>996</v>
      </c>
      <c r="R573" s="95">
        <v>1</v>
      </c>
      <c r="S573" s="95">
        <v>0</v>
      </c>
      <c r="T573" s="95">
        <v>0</v>
      </c>
      <c r="V573" s="17">
        <v>0</v>
      </c>
      <c r="W573" s="17">
        <v>145</v>
      </c>
      <c r="X573" s="17">
        <v>31</v>
      </c>
      <c r="Y573" s="17">
        <v>17</v>
      </c>
      <c r="Z573" s="6">
        <f t="shared" si="60"/>
        <v>193</v>
      </c>
      <c r="AA573" s="11">
        <f t="shared" si="61"/>
        <v>0.75129533678756477</v>
      </c>
      <c r="AB573" s="11">
        <f t="shared" si="62"/>
        <v>0.16062176165803108</v>
      </c>
      <c r="AC573" s="66">
        <f t="shared" si="63"/>
        <v>0.75129533678756477</v>
      </c>
      <c r="AD573" s="67">
        <f t="shared" si="64"/>
        <v>0.62694300518134716</v>
      </c>
    </row>
    <row r="574" spans="1:30" ht="14.5" customHeight="1" x14ac:dyDescent="0.2">
      <c r="A574" t="s">
        <v>730</v>
      </c>
      <c r="B574" s="7">
        <v>1</v>
      </c>
      <c r="C574" s="17">
        <v>0</v>
      </c>
      <c r="D574" s="22" t="s">
        <v>978</v>
      </c>
      <c r="E574" s="22" t="s">
        <v>979</v>
      </c>
      <c r="F574" s="17">
        <v>2015</v>
      </c>
      <c r="G574" s="18">
        <v>42215</v>
      </c>
      <c r="H574" s="22" t="s">
        <v>733</v>
      </c>
      <c r="I574" s="7">
        <v>0</v>
      </c>
      <c r="J574" s="22"/>
      <c r="K574" s="17">
        <v>0</v>
      </c>
      <c r="L574" s="59">
        <v>1</v>
      </c>
      <c r="M574" s="5" t="s">
        <v>3033</v>
      </c>
      <c r="N574" s="22" t="s">
        <v>2627</v>
      </c>
      <c r="P574" s="96" t="s">
        <v>997</v>
      </c>
      <c r="Q574" s="29" t="s">
        <v>998</v>
      </c>
      <c r="R574" s="95">
        <v>1</v>
      </c>
      <c r="S574" s="95">
        <v>0</v>
      </c>
      <c r="T574" s="95">
        <v>0</v>
      </c>
      <c r="V574" s="17">
        <v>0</v>
      </c>
      <c r="W574" s="17">
        <v>252</v>
      </c>
      <c r="X574" s="17">
        <v>100</v>
      </c>
      <c r="Y574" s="17">
        <v>11</v>
      </c>
      <c r="Z574" s="6">
        <f t="shared" si="60"/>
        <v>363</v>
      </c>
      <c r="AA574" s="11">
        <f t="shared" si="61"/>
        <v>0.69421487603305787</v>
      </c>
      <c r="AB574" s="11">
        <f t="shared" si="62"/>
        <v>0.27548209366391185</v>
      </c>
      <c r="AC574" s="66">
        <f t="shared" si="63"/>
        <v>0.69421487603305787</v>
      </c>
      <c r="AD574" s="67">
        <f t="shared" si="64"/>
        <v>0.54132231404958675</v>
      </c>
    </row>
    <row r="575" spans="1:30" ht="14.5" customHeight="1" x14ac:dyDescent="0.2">
      <c r="A575" t="s">
        <v>730</v>
      </c>
      <c r="B575" s="7">
        <v>1</v>
      </c>
      <c r="C575" s="17">
        <v>0</v>
      </c>
      <c r="D575" s="22" t="s">
        <v>978</v>
      </c>
      <c r="E575" s="22" t="s">
        <v>979</v>
      </c>
      <c r="F575" s="17">
        <v>2015</v>
      </c>
      <c r="G575" s="18">
        <v>42327</v>
      </c>
      <c r="H575" s="22" t="s">
        <v>733</v>
      </c>
      <c r="I575" s="7">
        <v>0</v>
      </c>
      <c r="J575" s="22"/>
      <c r="K575" s="17">
        <v>0</v>
      </c>
      <c r="L575" s="59">
        <v>1</v>
      </c>
      <c r="M575" s="22" t="s">
        <v>2923</v>
      </c>
      <c r="N575" s="22" t="s">
        <v>2637</v>
      </c>
      <c r="O575" s="22" t="s">
        <v>999</v>
      </c>
      <c r="P575" s="96" t="s">
        <v>1000</v>
      </c>
      <c r="Q575" s="29" t="s">
        <v>1001</v>
      </c>
      <c r="R575" s="95"/>
      <c r="S575" s="95"/>
      <c r="T575" s="95"/>
      <c r="V575" s="17">
        <v>1</v>
      </c>
      <c r="W575" s="17">
        <v>319</v>
      </c>
      <c r="X575" s="17">
        <v>103</v>
      </c>
      <c r="Y575" s="17">
        <v>13</v>
      </c>
      <c r="Z575" s="6">
        <f t="shared" si="60"/>
        <v>435</v>
      </c>
      <c r="AA575" s="11">
        <f t="shared" si="61"/>
        <v>0.73333333333333328</v>
      </c>
      <c r="AB575" s="11">
        <f t="shared" si="62"/>
        <v>0.23678160919540231</v>
      </c>
      <c r="AC575" s="66">
        <f t="shared" si="63"/>
        <v>0.73333333333333328</v>
      </c>
      <c r="AD575" s="67">
        <f t="shared" si="64"/>
        <v>0.6</v>
      </c>
    </row>
    <row r="576" spans="1:30" ht="14.5" customHeight="1" x14ac:dyDescent="0.2">
      <c r="A576" t="s">
        <v>730</v>
      </c>
      <c r="B576" s="7">
        <v>1</v>
      </c>
      <c r="C576" s="17">
        <v>0</v>
      </c>
      <c r="D576" s="22" t="s">
        <v>978</v>
      </c>
      <c r="E576" s="22" t="s">
        <v>979</v>
      </c>
      <c r="F576" s="17">
        <v>2015</v>
      </c>
      <c r="G576" s="18">
        <v>42341</v>
      </c>
      <c r="H576" s="22" t="s">
        <v>738</v>
      </c>
      <c r="I576" s="7">
        <v>0</v>
      </c>
      <c r="J576" s="22"/>
      <c r="K576" s="17">
        <v>0</v>
      </c>
      <c r="L576" s="59">
        <v>1</v>
      </c>
      <c r="M576" s="22" t="s">
        <v>2923</v>
      </c>
      <c r="N576" s="22" t="s">
        <v>2637</v>
      </c>
      <c r="O576" s="22" t="s">
        <v>999</v>
      </c>
      <c r="P576" s="96" t="s">
        <v>1002</v>
      </c>
      <c r="Q576" s="29" t="s">
        <v>1003</v>
      </c>
      <c r="R576" s="95"/>
      <c r="S576" s="95"/>
      <c r="T576" s="95"/>
      <c r="V576" s="17">
        <v>1</v>
      </c>
      <c r="W576" s="17">
        <v>149</v>
      </c>
      <c r="X576" s="17">
        <v>38</v>
      </c>
      <c r="Y576" s="17">
        <v>3</v>
      </c>
      <c r="Z576" s="6">
        <f t="shared" si="60"/>
        <v>190</v>
      </c>
      <c r="AA576" s="11">
        <f t="shared" si="61"/>
        <v>0.78421052631578947</v>
      </c>
      <c r="AB576" s="11">
        <f t="shared" si="62"/>
        <v>0.2</v>
      </c>
      <c r="AC576" s="66">
        <f t="shared" si="63"/>
        <v>0.78421052631578947</v>
      </c>
      <c r="AD576" s="67">
        <f t="shared" si="64"/>
        <v>0.6763157894736842</v>
      </c>
    </row>
    <row r="577" spans="1:30" ht="14.5" customHeight="1" x14ac:dyDescent="0.2">
      <c r="A577" t="s">
        <v>730</v>
      </c>
      <c r="B577" s="7">
        <v>1</v>
      </c>
      <c r="C577" s="17">
        <v>0</v>
      </c>
      <c r="D577" s="22" t="s">
        <v>978</v>
      </c>
      <c r="E577" s="22" t="s">
        <v>979</v>
      </c>
      <c r="F577" s="17">
        <v>2016</v>
      </c>
      <c r="G577" s="18">
        <v>42550</v>
      </c>
      <c r="H577" s="22" t="s">
        <v>738</v>
      </c>
      <c r="I577" s="7">
        <v>0</v>
      </c>
      <c r="J577" s="22"/>
      <c r="K577" s="17">
        <v>0</v>
      </c>
      <c r="L577" s="59">
        <v>1</v>
      </c>
      <c r="M577" s="22" t="s">
        <v>2924</v>
      </c>
      <c r="N577" s="22" t="s">
        <v>2637</v>
      </c>
      <c r="O577" s="22" t="s">
        <v>1004</v>
      </c>
      <c r="P577" s="96" t="s">
        <v>1005</v>
      </c>
      <c r="Q577" s="29" t="s">
        <v>1006</v>
      </c>
      <c r="R577" s="95"/>
      <c r="S577" s="95"/>
      <c r="T577" s="95"/>
      <c r="V577" s="17">
        <v>1</v>
      </c>
      <c r="W577" s="17">
        <v>158</v>
      </c>
      <c r="X577" s="17">
        <v>30</v>
      </c>
      <c r="Y577" s="17">
        <v>12</v>
      </c>
      <c r="Z577" s="6">
        <f t="shared" si="60"/>
        <v>200</v>
      </c>
      <c r="AA577" s="11">
        <f t="shared" si="61"/>
        <v>0.79</v>
      </c>
      <c r="AB577" s="11">
        <f t="shared" si="62"/>
        <v>0.15</v>
      </c>
      <c r="AC577" s="66">
        <f t="shared" si="63"/>
        <v>0.79</v>
      </c>
      <c r="AD577" s="67">
        <f t="shared" si="64"/>
        <v>0.68500000000000005</v>
      </c>
    </row>
    <row r="578" spans="1:30" ht="14.5" customHeight="1" x14ac:dyDescent="0.2">
      <c r="A578" t="s">
        <v>730</v>
      </c>
      <c r="B578" s="7">
        <v>1</v>
      </c>
      <c r="C578" s="17">
        <v>0</v>
      </c>
      <c r="D578" s="22" t="s">
        <v>978</v>
      </c>
      <c r="E578" s="22" t="s">
        <v>979</v>
      </c>
      <c r="F578" s="17">
        <v>2016</v>
      </c>
      <c r="G578" s="18">
        <v>42557</v>
      </c>
      <c r="H578" s="22" t="s">
        <v>733</v>
      </c>
      <c r="I578" s="7">
        <v>0</v>
      </c>
      <c r="J578" s="22"/>
      <c r="K578" s="17">
        <v>0</v>
      </c>
      <c r="L578" s="59">
        <v>1</v>
      </c>
      <c r="M578" s="22" t="s">
        <v>2924</v>
      </c>
      <c r="N578" s="22" t="s">
        <v>2637</v>
      </c>
      <c r="O578" s="22" t="s">
        <v>1004</v>
      </c>
      <c r="P578" s="96" t="s">
        <v>1007</v>
      </c>
      <c r="Q578" s="29" t="s">
        <v>1008</v>
      </c>
      <c r="R578" s="95"/>
      <c r="S578" s="95"/>
      <c r="T578" s="95"/>
      <c r="V578" s="17">
        <v>1</v>
      </c>
      <c r="W578" s="17">
        <v>225</v>
      </c>
      <c r="X578" s="17">
        <v>71</v>
      </c>
      <c r="Y578" s="17">
        <v>0</v>
      </c>
      <c r="Z578" s="6">
        <f t="shared" si="60"/>
        <v>296</v>
      </c>
      <c r="AA578" s="11">
        <f t="shared" si="61"/>
        <v>0.76013513513513509</v>
      </c>
      <c r="AB578" s="11">
        <f t="shared" si="62"/>
        <v>0.23986486486486486</v>
      </c>
      <c r="AC578" s="66">
        <f t="shared" si="63"/>
        <v>0.76013513513513509</v>
      </c>
      <c r="AD578" s="67">
        <f t="shared" si="64"/>
        <v>0.64020270270270274</v>
      </c>
    </row>
    <row r="579" spans="1:30" ht="14.5" customHeight="1" x14ac:dyDescent="0.2">
      <c r="A579" t="s">
        <v>730</v>
      </c>
      <c r="B579" s="7">
        <v>1</v>
      </c>
      <c r="C579" s="17">
        <v>1</v>
      </c>
      <c r="D579" s="22" t="s">
        <v>1009</v>
      </c>
      <c r="E579" s="22" t="s">
        <v>1010</v>
      </c>
      <c r="F579" s="17">
        <v>2017</v>
      </c>
      <c r="G579" s="18">
        <v>42802</v>
      </c>
      <c r="H579" s="22" t="s">
        <v>733</v>
      </c>
      <c r="I579" s="7">
        <v>0</v>
      </c>
      <c r="J579" s="22"/>
      <c r="K579" s="17">
        <v>0</v>
      </c>
      <c r="L579" s="59">
        <v>1</v>
      </c>
      <c r="M579" s="22" t="s">
        <v>2935</v>
      </c>
      <c r="N579" s="22" t="s">
        <v>2628</v>
      </c>
      <c r="O579" s="22" t="s">
        <v>1033</v>
      </c>
      <c r="P579" s="22" t="s">
        <v>1034</v>
      </c>
      <c r="Q579" s="29" t="s">
        <v>1018</v>
      </c>
      <c r="R579" s="95">
        <v>1</v>
      </c>
      <c r="S579" s="95">
        <v>0</v>
      </c>
      <c r="T579" s="95">
        <v>0</v>
      </c>
      <c r="V579" s="17">
        <v>1</v>
      </c>
      <c r="W579" s="17">
        <v>295</v>
      </c>
      <c r="X579" s="17">
        <v>129</v>
      </c>
      <c r="Y579" s="17">
        <v>14</v>
      </c>
      <c r="Z579" s="6">
        <f t="shared" si="60"/>
        <v>438</v>
      </c>
      <c r="AA579" s="11">
        <f t="shared" si="61"/>
        <v>0.67351598173515981</v>
      </c>
      <c r="AB579" s="11">
        <f t="shared" si="62"/>
        <v>0.29452054794520549</v>
      </c>
      <c r="AC579" s="66">
        <f t="shared" si="63"/>
        <v>0.67351598173515981</v>
      </c>
      <c r="AD579" s="67">
        <f t="shared" si="64"/>
        <v>0.51027397260273977</v>
      </c>
    </row>
    <row r="580" spans="1:30" ht="14.5" customHeight="1" x14ac:dyDescent="0.2">
      <c r="A580" t="s">
        <v>730</v>
      </c>
      <c r="B580" s="7">
        <v>1</v>
      </c>
      <c r="C580" s="17">
        <v>1</v>
      </c>
      <c r="D580" s="22" t="s">
        <v>1009</v>
      </c>
      <c r="E580" s="22" t="s">
        <v>1010</v>
      </c>
      <c r="F580" s="17">
        <v>2017</v>
      </c>
      <c r="G580" s="18">
        <v>42802</v>
      </c>
      <c r="H580" s="22" t="s">
        <v>733</v>
      </c>
      <c r="I580" s="7">
        <v>0</v>
      </c>
      <c r="J580" s="22"/>
      <c r="K580" s="17">
        <v>0</v>
      </c>
      <c r="L580" s="59">
        <v>1</v>
      </c>
      <c r="M580" s="22" t="s">
        <v>2936</v>
      </c>
      <c r="N580" s="22" t="s">
        <v>2628</v>
      </c>
      <c r="O580" s="22" t="s">
        <v>1035</v>
      </c>
      <c r="P580" s="22" t="s">
        <v>1036</v>
      </c>
      <c r="Q580" s="29" t="s">
        <v>1018</v>
      </c>
      <c r="R580" s="95">
        <v>1</v>
      </c>
      <c r="S580" s="95">
        <v>0</v>
      </c>
      <c r="T580" s="95">
        <v>0</v>
      </c>
      <c r="V580" s="17">
        <v>1</v>
      </c>
      <c r="W580" s="17">
        <v>322</v>
      </c>
      <c r="X580" s="17">
        <v>97</v>
      </c>
      <c r="Y580" s="17">
        <v>17</v>
      </c>
      <c r="Z580" s="6">
        <f t="shared" si="60"/>
        <v>436</v>
      </c>
      <c r="AA580" s="11">
        <f t="shared" si="61"/>
        <v>0.73853211009174313</v>
      </c>
      <c r="AB580" s="11">
        <f t="shared" si="62"/>
        <v>0.22247706422018348</v>
      </c>
      <c r="AC580" s="66">
        <f t="shared" si="63"/>
        <v>0.73853211009174313</v>
      </c>
      <c r="AD580" s="67">
        <f t="shared" si="64"/>
        <v>0.60779816513761464</v>
      </c>
    </row>
    <row r="581" spans="1:30" ht="14.5" customHeight="1" x14ac:dyDescent="0.2">
      <c r="A581" t="s">
        <v>730</v>
      </c>
      <c r="B581" s="7">
        <v>1</v>
      </c>
      <c r="C581" s="17">
        <v>1</v>
      </c>
      <c r="D581" s="22" t="s">
        <v>1009</v>
      </c>
      <c r="E581" s="22" t="s">
        <v>1010</v>
      </c>
      <c r="F581" s="17">
        <v>2017</v>
      </c>
      <c r="G581" s="18">
        <v>42802</v>
      </c>
      <c r="H581" s="22" t="s">
        <v>733</v>
      </c>
      <c r="I581" s="7">
        <v>0</v>
      </c>
      <c r="J581" s="22"/>
      <c r="K581" s="17">
        <v>0</v>
      </c>
      <c r="L581" s="59">
        <v>1</v>
      </c>
      <c r="M581" s="22" t="s">
        <v>2937</v>
      </c>
      <c r="N581" s="22" t="s">
        <v>2628</v>
      </c>
      <c r="O581" s="22" t="s">
        <v>1037</v>
      </c>
      <c r="P581" s="22" t="s">
        <v>1038</v>
      </c>
      <c r="Q581" s="29" t="s">
        <v>1018</v>
      </c>
      <c r="R581" s="95">
        <v>1</v>
      </c>
      <c r="S581" s="95">
        <v>0</v>
      </c>
      <c r="T581" s="95">
        <v>0</v>
      </c>
      <c r="V581" s="17">
        <v>1</v>
      </c>
      <c r="W581" s="17">
        <v>312</v>
      </c>
      <c r="X581" s="17">
        <v>97</v>
      </c>
      <c r="Y581" s="17">
        <v>16</v>
      </c>
      <c r="Z581" s="6">
        <f t="shared" si="60"/>
        <v>425</v>
      </c>
      <c r="AA581" s="11">
        <f t="shared" si="61"/>
        <v>0.73411764705882354</v>
      </c>
      <c r="AB581" s="11">
        <f t="shared" si="62"/>
        <v>0.22823529411764706</v>
      </c>
      <c r="AC581" s="66">
        <f t="shared" si="63"/>
        <v>0.73411764705882354</v>
      </c>
      <c r="AD581" s="67">
        <f t="shared" si="64"/>
        <v>0.60117647058823531</v>
      </c>
    </row>
    <row r="582" spans="1:30" ht="14.5" customHeight="1" x14ac:dyDescent="0.2">
      <c r="A582" t="s">
        <v>730</v>
      </c>
      <c r="B582" s="7">
        <v>1</v>
      </c>
      <c r="C582" s="17">
        <v>1</v>
      </c>
      <c r="D582" s="22" t="s">
        <v>1009</v>
      </c>
      <c r="E582" s="22" t="s">
        <v>1010</v>
      </c>
      <c r="F582" s="17">
        <v>2017</v>
      </c>
      <c r="G582" s="18">
        <v>42802</v>
      </c>
      <c r="H582" s="22" t="s">
        <v>733</v>
      </c>
      <c r="I582" s="7">
        <v>0</v>
      </c>
      <c r="J582" s="22"/>
      <c r="K582" s="17">
        <v>0</v>
      </c>
      <c r="L582" s="59">
        <v>1</v>
      </c>
      <c r="M582" s="22" t="s">
        <v>2925</v>
      </c>
      <c r="N582" s="22" t="s">
        <v>2637</v>
      </c>
      <c r="O582" s="22" t="s">
        <v>1011</v>
      </c>
      <c r="P582" s="22" t="s">
        <v>1012</v>
      </c>
      <c r="Q582" s="29" t="s">
        <v>1013</v>
      </c>
      <c r="R582" s="95"/>
      <c r="S582" s="95"/>
      <c r="T582" s="95"/>
      <c r="V582" s="17">
        <v>1</v>
      </c>
      <c r="W582" s="17">
        <v>422</v>
      </c>
      <c r="X582" s="17">
        <v>1</v>
      </c>
      <c r="Y582" s="17">
        <v>15</v>
      </c>
      <c r="Z582" s="6">
        <f t="shared" si="60"/>
        <v>438</v>
      </c>
      <c r="AA582" s="11">
        <f t="shared" si="61"/>
        <v>0.9634703196347032</v>
      </c>
      <c r="AB582" s="11">
        <f t="shared" si="62"/>
        <v>2.2831050228310501E-3</v>
      </c>
      <c r="AC582" s="66">
        <f t="shared" si="63"/>
        <v>0.9634703196347032</v>
      </c>
      <c r="AD582" s="67">
        <f t="shared" si="64"/>
        <v>0.9452054794520548</v>
      </c>
    </row>
    <row r="583" spans="1:30" ht="14.5" customHeight="1" x14ac:dyDescent="0.2">
      <c r="A583" t="s">
        <v>730</v>
      </c>
      <c r="B583" s="7">
        <v>1</v>
      </c>
      <c r="C583" s="17">
        <v>1</v>
      </c>
      <c r="D583" s="22" t="s">
        <v>1009</v>
      </c>
      <c r="E583" s="22" t="s">
        <v>1010</v>
      </c>
      <c r="F583" s="17">
        <v>2017</v>
      </c>
      <c r="G583" s="18">
        <v>42802</v>
      </c>
      <c r="H583" s="22" t="s">
        <v>733</v>
      </c>
      <c r="I583" s="7">
        <v>0</v>
      </c>
      <c r="J583" s="22"/>
      <c r="K583" s="17">
        <v>0</v>
      </c>
      <c r="L583" s="59">
        <v>1</v>
      </c>
      <c r="M583" s="22" t="s">
        <v>2926</v>
      </c>
      <c r="N583" s="22" t="s">
        <v>2637</v>
      </c>
      <c r="O583" s="22" t="s">
        <v>1014</v>
      </c>
      <c r="P583" s="22" t="s">
        <v>1015</v>
      </c>
      <c r="Q583" s="29" t="s">
        <v>1013</v>
      </c>
      <c r="R583" s="95"/>
      <c r="S583" s="95"/>
      <c r="T583" s="95"/>
      <c r="V583" s="17">
        <v>1</v>
      </c>
      <c r="W583" s="17">
        <v>337</v>
      </c>
      <c r="X583" s="17">
        <v>90</v>
      </c>
      <c r="Y583" s="17">
        <v>11</v>
      </c>
      <c r="Z583" s="6">
        <f t="shared" si="60"/>
        <v>438</v>
      </c>
      <c r="AA583" s="11">
        <f t="shared" si="61"/>
        <v>0.76940639269406397</v>
      </c>
      <c r="AB583" s="11">
        <f t="shared" si="62"/>
        <v>0.20547945205479451</v>
      </c>
      <c r="AC583" s="66">
        <f t="shared" si="63"/>
        <v>0.76940639269406397</v>
      </c>
      <c r="AD583" s="67">
        <f t="shared" si="64"/>
        <v>0.65410958904109584</v>
      </c>
    </row>
    <row r="584" spans="1:30" ht="14.5" customHeight="1" x14ac:dyDescent="0.2">
      <c r="A584" t="s">
        <v>730</v>
      </c>
      <c r="B584" s="7">
        <v>1</v>
      </c>
      <c r="C584" s="17">
        <v>1</v>
      </c>
      <c r="D584" s="22" t="s">
        <v>1009</v>
      </c>
      <c r="E584" s="22" t="s">
        <v>1010</v>
      </c>
      <c r="F584" s="17">
        <v>2017</v>
      </c>
      <c r="G584" s="18">
        <v>42802</v>
      </c>
      <c r="H584" s="22" t="s">
        <v>733</v>
      </c>
      <c r="I584" s="7">
        <v>0</v>
      </c>
      <c r="J584" s="22"/>
      <c r="K584" s="17">
        <v>0</v>
      </c>
      <c r="L584" s="59">
        <v>1</v>
      </c>
      <c r="M584" s="22" t="s">
        <v>2927</v>
      </c>
      <c r="N584" s="22" t="s">
        <v>2637</v>
      </c>
      <c r="O584" s="22" t="s">
        <v>1016</v>
      </c>
      <c r="P584" s="22" t="s">
        <v>1017</v>
      </c>
      <c r="Q584" s="29" t="s">
        <v>1018</v>
      </c>
      <c r="R584" s="95">
        <v>1</v>
      </c>
      <c r="S584" s="95">
        <v>0</v>
      </c>
      <c r="T584" s="95">
        <v>0</v>
      </c>
      <c r="V584" s="17">
        <v>1</v>
      </c>
      <c r="W584" s="17">
        <v>333</v>
      </c>
      <c r="X584" s="17">
        <v>101</v>
      </c>
      <c r="Y584" s="17">
        <v>0</v>
      </c>
      <c r="Z584" s="6">
        <f t="shared" si="60"/>
        <v>434</v>
      </c>
      <c r="AA584" s="11">
        <f t="shared" si="61"/>
        <v>0.76728110599078336</v>
      </c>
      <c r="AB584" s="11">
        <f t="shared" si="62"/>
        <v>0.23271889400921658</v>
      </c>
      <c r="AC584" s="66">
        <f t="shared" si="63"/>
        <v>0.76728110599078336</v>
      </c>
      <c r="AD584" s="67">
        <f t="shared" si="64"/>
        <v>0.65092165898617516</v>
      </c>
    </row>
    <row r="585" spans="1:30" ht="14.5" customHeight="1" x14ac:dyDescent="0.2">
      <c r="A585" t="s">
        <v>730</v>
      </c>
      <c r="B585" s="7">
        <v>1</v>
      </c>
      <c r="C585" s="17">
        <v>1</v>
      </c>
      <c r="D585" s="22" t="s">
        <v>1009</v>
      </c>
      <c r="E585" s="22" t="s">
        <v>1010</v>
      </c>
      <c r="F585" s="17">
        <v>2017</v>
      </c>
      <c r="G585" s="18">
        <v>42802</v>
      </c>
      <c r="H585" s="22" t="s">
        <v>733</v>
      </c>
      <c r="I585" s="7">
        <v>0</v>
      </c>
      <c r="J585" s="22"/>
      <c r="K585" s="17">
        <v>0</v>
      </c>
      <c r="L585" s="59">
        <v>1</v>
      </c>
      <c r="M585" s="22" t="s">
        <v>2928</v>
      </c>
      <c r="N585" s="22" t="s">
        <v>2637</v>
      </c>
      <c r="O585" s="22" t="s">
        <v>1019</v>
      </c>
      <c r="P585" s="22" t="s">
        <v>1020</v>
      </c>
      <c r="Q585" s="29" t="s">
        <v>1018</v>
      </c>
      <c r="R585" s="95">
        <v>1</v>
      </c>
      <c r="S585" s="95">
        <v>0</v>
      </c>
      <c r="T585" s="95">
        <v>0</v>
      </c>
      <c r="V585" s="17">
        <v>1</v>
      </c>
      <c r="W585" s="17">
        <v>414</v>
      </c>
      <c r="X585" s="17">
        <v>15</v>
      </c>
      <c r="Y585" s="17">
        <v>0</v>
      </c>
      <c r="Z585" s="6">
        <f t="shared" si="60"/>
        <v>429</v>
      </c>
      <c r="AA585" s="11">
        <f t="shared" si="61"/>
        <v>0.965034965034965</v>
      </c>
      <c r="AB585" s="11">
        <f t="shared" si="62"/>
        <v>3.4965034965034968E-2</v>
      </c>
      <c r="AC585" s="66">
        <f t="shared" si="63"/>
        <v>0.965034965034965</v>
      </c>
      <c r="AD585" s="67">
        <f t="shared" si="64"/>
        <v>0.94755244755244761</v>
      </c>
    </row>
    <row r="586" spans="1:30" ht="14.5" customHeight="1" x14ac:dyDescent="0.2">
      <c r="A586" t="s">
        <v>730</v>
      </c>
      <c r="B586" s="7">
        <v>1</v>
      </c>
      <c r="C586" s="17">
        <v>1</v>
      </c>
      <c r="D586" s="22" t="s">
        <v>1009</v>
      </c>
      <c r="E586" s="22" t="s">
        <v>1010</v>
      </c>
      <c r="F586" s="17">
        <v>2017</v>
      </c>
      <c r="G586" s="18">
        <v>42802</v>
      </c>
      <c r="H586" s="22" t="s">
        <v>733</v>
      </c>
      <c r="I586" s="7">
        <v>0</v>
      </c>
      <c r="J586" s="22"/>
      <c r="K586" s="17">
        <v>0</v>
      </c>
      <c r="L586" s="59">
        <v>1</v>
      </c>
      <c r="M586" s="22" t="s">
        <v>2929</v>
      </c>
      <c r="N586" s="22" t="s">
        <v>2637</v>
      </c>
      <c r="O586" s="22" t="s">
        <v>1021</v>
      </c>
      <c r="P586" s="22" t="s">
        <v>1022</v>
      </c>
      <c r="Q586" s="22" t="s">
        <v>1018</v>
      </c>
      <c r="R586" s="95">
        <v>1</v>
      </c>
      <c r="S586" s="95">
        <v>0</v>
      </c>
      <c r="T586" s="95">
        <v>0</v>
      </c>
      <c r="V586" s="17">
        <v>1</v>
      </c>
      <c r="W586" s="17">
        <v>324</v>
      </c>
      <c r="X586" s="17">
        <v>113</v>
      </c>
      <c r="Y586" s="17">
        <v>0</v>
      </c>
      <c r="Z586" s="6">
        <f t="shared" si="60"/>
        <v>437</v>
      </c>
      <c r="AA586" s="11">
        <f t="shared" si="61"/>
        <v>0.74141876430205955</v>
      </c>
      <c r="AB586" s="11">
        <f t="shared" si="62"/>
        <v>0.2585812356979405</v>
      </c>
      <c r="AC586" s="66">
        <f t="shared" si="63"/>
        <v>0.74141876430205955</v>
      </c>
      <c r="AD586" s="67">
        <f t="shared" si="64"/>
        <v>0.61212814645308922</v>
      </c>
    </row>
    <row r="587" spans="1:30" ht="14.5" customHeight="1" x14ac:dyDescent="0.2">
      <c r="A587" t="s">
        <v>730</v>
      </c>
      <c r="B587" s="7">
        <v>1</v>
      </c>
      <c r="C587" s="17">
        <v>1</v>
      </c>
      <c r="D587" s="22" t="s">
        <v>1009</v>
      </c>
      <c r="E587" s="22" t="s">
        <v>1010</v>
      </c>
      <c r="F587" s="17">
        <v>2017</v>
      </c>
      <c r="G587" s="18">
        <v>42802</v>
      </c>
      <c r="H587" s="22" t="s">
        <v>733</v>
      </c>
      <c r="I587" s="7">
        <v>0</v>
      </c>
      <c r="J587" s="22"/>
      <c r="K587" s="17">
        <v>0</v>
      </c>
      <c r="L587" s="59">
        <v>1</v>
      </c>
      <c r="M587" s="22" t="s">
        <v>2930</v>
      </c>
      <c r="N587" s="22" t="s">
        <v>2637</v>
      </c>
      <c r="O587" s="22" t="s">
        <v>1023</v>
      </c>
      <c r="P587" s="22" t="s">
        <v>1024</v>
      </c>
      <c r="Q587" s="29" t="s">
        <v>1018</v>
      </c>
      <c r="R587" s="95">
        <v>1</v>
      </c>
      <c r="S587" s="95">
        <v>0</v>
      </c>
      <c r="T587" s="95">
        <v>0</v>
      </c>
      <c r="V587" s="17">
        <v>1</v>
      </c>
      <c r="W587" s="17">
        <v>309</v>
      </c>
      <c r="X587" s="17">
        <v>105</v>
      </c>
      <c r="Y587" s="17">
        <v>16</v>
      </c>
      <c r="Z587" s="6">
        <f t="shared" si="60"/>
        <v>430</v>
      </c>
      <c r="AA587" s="11">
        <f t="shared" si="61"/>
        <v>0.71860465116279071</v>
      </c>
      <c r="AB587" s="11">
        <f t="shared" si="62"/>
        <v>0.2441860465116279</v>
      </c>
      <c r="AC587" s="66">
        <f t="shared" si="63"/>
        <v>0.71860465116279071</v>
      </c>
      <c r="AD587" s="67">
        <f t="shared" si="64"/>
        <v>0.57790697674418601</v>
      </c>
    </row>
    <row r="588" spans="1:30" ht="14.5" customHeight="1" x14ac:dyDescent="0.2">
      <c r="A588" t="s">
        <v>730</v>
      </c>
      <c r="B588" s="7">
        <v>1</v>
      </c>
      <c r="C588" s="17">
        <v>1</v>
      </c>
      <c r="D588" s="22" t="s">
        <v>1009</v>
      </c>
      <c r="E588" s="22" t="s">
        <v>1010</v>
      </c>
      <c r="F588" s="17">
        <v>2017</v>
      </c>
      <c r="G588" s="18">
        <v>42802</v>
      </c>
      <c r="H588" s="22" t="s">
        <v>733</v>
      </c>
      <c r="I588" s="7">
        <v>0</v>
      </c>
      <c r="J588" s="22"/>
      <c r="K588" s="17">
        <v>0</v>
      </c>
      <c r="L588" s="59">
        <v>1</v>
      </c>
      <c r="M588" s="22" t="s">
        <v>2931</v>
      </c>
      <c r="N588" s="22" t="s">
        <v>2637</v>
      </c>
      <c r="O588" s="22" t="s">
        <v>1025</v>
      </c>
      <c r="P588" s="22" t="s">
        <v>1026</v>
      </c>
      <c r="Q588" s="29" t="s">
        <v>1018</v>
      </c>
      <c r="R588" s="95">
        <v>1</v>
      </c>
      <c r="S588" s="95">
        <v>0</v>
      </c>
      <c r="T588" s="95">
        <v>0</v>
      </c>
      <c r="V588" s="17">
        <v>1</v>
      </c>
      <c r="W588" s="17">
        <v>321</v>
      </c>
      <c r="X588" s="17">
        <v>94</v>
      </c>
      <c r="Y588" s="17">
        <v>18</v>
      </c>
      <c r="Z588" s="6">
        <f t="shared" si="60"/>
        <v>433</v>
      </c>
      <c r="AA588" s="11">
        <f t="shared" si="61"/>
        <v>0.74133949191685911</v>
      </c>
      <c r="AB588" s="11">
        <f t="shared" si="62"/>
        <v>0.21709006928406466</v>
      </c>
      <c r="AC588" s="66">
        <f t="shared" si="63"/>
        <v>0.74133949191685911</v>
      </c>
      <c r="AD588" s="67">
        <f t="shared" si="64"/>
        <v>0.61200923787528871</v>
      </c>
    </row>
    <row r="589" spans="1:30" ht="14.5" customHeight="1" x14ac:dyDescent="0.2">
      <c r="A589" t="s">
        <v>730</v>
      </c>
      <c r="B589" s="7">
        <v>1</v>
      </c>
      <c r="C589" s="17">
        <v>1</v>
      </c>
      <c r="D589" s="22" t="s">
        <v>1009</v>
      </c>
      <c r="E589" s="22" t="s">
        <v>1010</v>
      </c>
      <c r="F589" s="17">
        <v>2017</v>
      </c>
      <c r="G589" s="18">
        <v>42802</v>
      </c>
      <c r="H589" s="22" t="s">
        <v>733</v>
      </c>
      <c r="I589" s="7">
        <v>0</v>
      </c>
      <c r="J589" s="22"/>
      <c r="K589" s="17">
        <v>0</v>
      </c>
      <c r="L589" s="59">
        <v>1</v>
      </c>
      <c r="M589" s="22" t="s">
        <v>2932</v>
      </c>
      <c r="N589" s="22" t="s">
        <v>2637</v>
      </c>
      <c r="O589" s="22" t="s">
        <v>1027</v>
      </c>
      <c r="P589" s="22" t="s">
        <v>1028</v>
      </c>
      <c r="Q589" s="29" t="s">
        <v>1018</v>
      </c>
      <c r="R589" s="95">
        <v>1</v>
      </c>
      <c r="S589" s="95">
        <v>0</v>
      </c>
      <c r="T589" s="95">
        <v>0</v>
      </c>
      <c r="V589" s="17">
        <v>1</v>
      </c>
      <c r="W589" s="17">
        <v>421</v>
      </c>
      <c r="X589" s="17">
        <v>16</v>
      </c>
      <c r="Y589" s="17">
        <v>0</v>
      </c>
      <c r="Z589" s="6">
        <f t="shared" si="60"/>
        <v>437</v>
      </c>
      <c r="AA589" s="11">
        <f t="shared" si="61"/>
        <v>0.96338672768878719</v>
      </c>
      <c r="AB589" s="11">
        <f t="shared" si="62"/>
        <v>3.6613272311212815E-2</v>
      </c>
      <c r="AC589" s="66">
        <f t="shared" si="63"/>
        <v>0.96338672768878719</v>
      </c>
      <c r="AD589" s="67">
        <f t="shared" si="64"/>
        <v>0.94508009153318073</v>
      </c>
    </row>
    <row r="590" spans="1:30" ht="14.5" customHeight="1" x14ac:dyDescent="0.2">
      <c r="A590" t="s">
        <v>730</v>
      </c>
      <c r="B590" s="7">
        <v>1</v>
      </c>
      <c r="C590" s="17">
        <v>1</v>
      </c>
      <c r="D590" s="22" t="s">
        <v>1009</v>
      </c>
      <c r="E590" s="22" t="s">
        <v>1010</v>
      </c>
      <c r="F590" s="17">
        <v>2017</v>
      </c>
      <c r="G590" s="18">
        <v>42802</v>
      </c>
      <c r="H590" s="22" t="s">
        <v>733</v>
      </c>
      <c r="I590" s="7">
        <v>0</v>
      </c>
      <c r="J590" s="22"/>
      <c r="K590" s="17">
        <v>0</v>
      </c>
      <c r="L590" s="59">
        <v>1</v>
      </c>
      <c r="M590" s="22" t="s">
        <v>2933</v>
      </c>
      <c r="N590" s="22" t="s">
        <v>2637</v>
      </c>
      <c r="O590" s="22" t="s">
        <v>1029</v>
      </c>
      <c r="P590" s="22" t="s">
        <v>1030</v>
      </c>
      <c r="Q590" s="29" t="s">
        <v>1018</v>
      </c>
      <c r="R590" s="95">
        <v>0</v>
      </c>
      <c r="S590" s="95">
        <v>1</v>
      </c>
      <c r="T590" s="95">
        <v>0</v>
      </c>
      <c r="V590" s="17">
        <v>1</v>
      </c>
      <c r="W590" s="17">
        <v>324</v>
      </c>
      <c r="X590" s="17">
        <v>95</v>
      </c>
      <c r="Y590" s="17">
        <v>16</v>
      </c>
      <c r="Z590" s="6">
        <f t="shared" si="60"/>
        <v>435</v>
      </c>
      <c r="AA590" s="11">
        <f t="shared" si="61"/>
        <v>0.7448275862068966</v>
      </c>
      <c r="AB590" s="11">
        <f t="shared" si="62"/>
        <v>0.21839080459770116</v>
      </c>
      <c r="AC590" s="66">
        <f t="shared" si="63"/>
        <v>0.7448275862068966</v>
      </c>
      <c r="AD590" s="67">
        <f t="shared" si="64"/>
        <v>0.61724137931034484</v>
      </c>
    </row>
    <row r="591" spans="1:30" ht="14.5" customHeight="1" x14ac:dyDescent="0.2">
      <c r="A591" t="s">
        <v>730</v>
      </c>
      <c r="B591" s="7">
        <v>1</v>
      </c>
      <c r="C591" s="17">
        <v>1</v>
      </c>
      <c r="D591" s="22" t="s">
        <v>1009</v>
      </c>
      <c r="E591" s="22" t="s">
        <v>1010</v>
      </c>
      <c r="F591" s="17">
        <v>2017</v>
      </c>
      <c r="G591" s="18">
        <v>42802</v>
      </c>
      <c r="H591" s="22" t="s">
        <v>733</v>
      </c>
      <c r="I591" s="7">
        <v>0</v>
      </c>
      <c r="J591" s="22"/>
      <c r="K591" s="17">
        <v>0</v>
      </c>
      <c r="L591" s="59">
        <v>1</v>
      </c>
      <c r="M591" s="22" t="s">
        <v>2934</v>
      </c>
      <c r="N591" s="22" t="s">
        <v>2637</v>
      </c>
      <c r="O591" s="22" t="s">
        <v>1031</v>
      </c>
      <c r="P591" s="22" t="s">
        <v>1032</v>
      </c>
      <c r="Q591" s="29" t="s">
        <v>1018</v>
      </c>
      <c r="R591" s="95"/>
      <c r="S591" s="95"/>
      <c r="T591" s="95"/>
      <c r="V591" s="17">
        <v>1</v>
      </c>
      <c r="W591" s="17">
        <v>321</v>
      </c>
      <c r="X591" s="17">
        <v>85</v>
      </c>
      <c r="Y591" s="17">
        <v>25</v>
      </c>
      <c r="Z591" s="6">
        <f t="shared" si="60"/>
        <v>431</v>
      </c>
      <c r="AA591" s="11">
        <f t="shared" si="61"/>
        <v>0.74477958236658937</v>
      </c>
      <c r="AB591" s="11">
        <f t="shared" si="62"/>
        <v>0.19721577726218098</v>
      </c>
      <c r="AC591" s="66">
        <f t="shared" si="63"/>
        <v>0.74477958236658937</v>
      </c>
      <c r="AD591" s="67">
        <f t="shared" si="64"/>
        <v>0.61716937354988399</v>
      </c>
    </row>
    <row r="592" spans="1:30" ht="14.5" customHeight="1" x14ac:dyDescent="0.2">
      <c r="A592" t="s">
        <v>730</v>
      </c>
      <c r="B592" s="17">
        <v>1</v>
      </c>
      <c r="C592" s="17">
        <v>0</v>
      </c>
      <c r="D592" s="22" t="s">
        <v>1009</v>
      </c>
      <c r="E592" s="22" t="s">
        <v>1010</v>
      </c>
      <c r="F592" s="17">
        <v>2018</v>
      </c>
      <c r="G592" s="18">
        <v>43117</v>
      </c>
      <c r="H592" s="22" t="s">
        <v>733</v>
      </c>
      <c r="I592" s="7">
        <v>0</v>
      </c>
      <c r="J592" s="22"/>
      <c r="K592" s="17">
        <v>0</v>
      </c>
      <c r="L592" s="59">
        <v>1</v>
      </c>
      <c r="M592" s="22" t="s">
        <v>2943</v>
      </c>
      <c r="N592" s="22" t="s">
        <v>2636</v>
      </c>
      <c r="O592" s="22" t="s">
        <v>1050</v>
      </c>
      <c r="P592" s="22" t="s">
        <v>1051</v>
      </c>
      <c r="Q592" s="29" t="s">
        <v>1041</v>
      </c>
      <c r="R592" s="95">
        <v>1</v>
      </c>
      <c r="S592" s="95">
        <v>0</v>
      </c>
      <c r="T592" s="95">
        <v>0</v>
      </c>
      <c r="V592" s="17">
        <v>1</v>
      </c>
      <c r="W592" s="17">
        <v>402</v>
      </c>
      <c r="X592" s="17">
        <v>80</v>
      </c>
      <c r="Y592" s="17">
        <v>24</v>
      </c>
      <c r="Z592" s="6">
        <f t="shared" si="60"/>
        <v>506</v>
      </c>
      <c r="AA592" s="11">
        <f t="shared" si="61"/>
        <v>0.7944664031620553</v>
      </c>
      <c r="AB592" s="11">
        <f t="shared" si="62"/>
        <v>0.15810276679841898</v>
      </c>
      <c r="AC592" s="66">
        <f t="shared" si="63"/>
        <v>0.7944664031620553</v>
      </c>
      <c r="AD592" s="67">
        <f t="shared" si="64"/>
        <v>0.69169960474308301</v>
      </c>
    </row>
    <row r="593" spans="1:30" ht="14.5" customHeight="1" x14ac:dyDescent="0.2">
      <c r="A593" t="s">
        <v>730</v>
      </c>
      <c r="B593" s="17">
        <v>1</v>
      </c>
      <c r="C593" s="17">
        <v>0</v>
      </c>
      <c r="D593" s="22" t="s">
        <v>1009</v>
      </c>
      <c r="E593" s="22" t="s">
        <v>1010</v>
      </c>
      <c r="F593" s="17">
        <v>2018</v>
      </c>
      <c r="G593" s="18">
        <v>43117</v>
      </c>
      <c r="H593" s="22" t="s">
        <v>733</v>
      </c>
      <c r="I593" s="7">
        <v>0</v>
      </c>
      <c r="J593" s="22"/>
      <c r="K593" s="17">
        <v>0</v>
      </c>
      <c r="L593" s="59">
        <v>1</v>
      </c>
      <c r="M593" s="22" t="s">
        <v>2938</v>
      </c>
      <c r="N593" s="22" t="s">
        <v>2637</v>
      </c>
      <c r="O593" s="22" t="s">
        <v>1039</v>
      </c>
      <c r="P593" s="22" t="s">
        <v>1040</v>
      </c>
      <c r="Q593" s="29" t="s">
        <v>1041</v>
      </c>
      <c r="R593" s="95"/>
      <c r="S593" s="95"/>
      <c r="T593" s="95"/>
      <c r="V593" s="17">
        <v>1</v>
      </c>
      <c r="W593" s="17">
        <v>351</v>
      </c>
      <c r="X593" s="17">
        <v>134</v>
      </c>
      <c r="Y593" s="17">
        <v>25</v>
      </c>
      <c r="Z593" s="6">
        <f t="shared" si="60"/>
        <v>510</v>
      </c>
      <c r="AA593" s="11">
        <f t="shared" si="61"/>
        <v>0.68823529411764706</v>
      </c>
      <c r="AB593" s="11">
        <f t="shared" si="62"/>
        <v>0.2627450980392157</v>
      </c>
      <c r="AC593" s="66">
        <f t="shared" si="63"/>
        <v>0.68823529411764706</v>
      </c>
      <c r="AD593" s="67">
        <f t="shared" si="64"/>
        <v>0.53235294117647058</v>
      </c>
    </row>
    <row r="594" spans="1:30" ht="14.5" customHeight="1" x14ac:dyDescent="0.2">
      <c r="A594" t="s">
        <v>730</v>
      </c>
      <c r="B594" s="17">
        <v>1</v>
      </c>
      <c r="C594" s="17">
        <v>0</v>
      </c>
      <c r="D594" s="22" t="s">
        <v>1009</v>
      </c>
      <c r="E594" s="22" t="s">
        <v>1010</v>
      </c>
      <c r="F594" s="17">
        <v>2018</v>
      </c>
      <c r="G594" s="18">
        <v>43117</v>
      </c>
      <c r="H594" s="22" t="s">
        <v>733</v>
      </c>
      <c r="I594" s="7">
        <v>0</v>
      </c>
      <c r="J594" s="22"/>
      <c r="K594" s="17">
        <v>0</v>
      </c>
      <c r="L594" s="59">
        <v>1</v>
      </c>
      <c r="M594" s="22" t="s">
        <v>2939</v>
      </c>
      <c r="N594" s="22" t="s">
        <v>2637</v>
      </c>
      <c r="O594" s="22" t="s">
        <v>1042</v>
      </c>
      <c r="P594" s="22" t="s">
        <v>1043</v>
      </c>
      <c r="Q594" s="22" t="s">
        <v>1041</v>
      </c>
      <c r="R594" s="95"/>
      <c r="S594" s="95"/>
      <c r="T594" s="95"/>
      <c r="V594" s="17">
        <v>1</v>
      </c>
      <c r="W594" s="17">
        <v>481</v>
      </c>
      <c r="X594" s="17">
        <v>2</v>
      </c>
      <c r="Y594" s="17">
        <v>25</v>
      </c>
      <c r="Z594" s="6">
        <f t="shared" si="60"/>
        <v>508</v>
      </c>
      <c r="AA594" s="11">
        <f t="shared" si="61"/>
        <v>0.94685039370078738</v>
      </c>
      <c r="AB594" s="11">
        <f t="shared" si="62"/>
        <v>3.937007874015748E-3</v>
      </c>
      <c r="AC594" s="66">
        <f t="shared" si="63"/>
        <v>0.94685039370078738</v>
      </c>
      <c r="AD594" s="67">
        <f t="shared" si="64"/>
        <v>0.92027559055118113</v>
      </c>
    </row>
    <row r="595" spans="1:30" ht="14.5" customHeight="1" x14ac:dyDescent="0.2">
      <c r="A595" t="s">
        <v>730</v>
      </c>
      <c r="B595" s="17">
        <v>1</v>
      </c>
      <c r="C595" s="17">
        <v>0</v>
      </c>
      <c r="D595" s="22" t="s">
        <v>1009</v>
      </c>
      <c r="E595" s="22" t="s">
        <v>1010</v>
      </c>
      <c r="F595" s="17">
        <v>2018</v>
      </c>
      <c r="G595" s="18">
        <v>43117</v>
      </c>
      <c r="H595" s="22" t="s">
        <v>733</v>
      </c>
      <c r="I595" s="7">
        <v>0</v>
      </c>
      <c r="J595" s="22"/>
      <c r="K595" s="17">
        <v>0</v>
      </c>
      <c r="L595" s="59">
        <v>1</v>
      </c>
      <c r="M595" s="22" t="s">
        <v>2940</v>
      </c>
      <c r="N595" s="22" t="s">
        <v>2637</v>
      </c>
      <c r="O595" s="22" t="s">
        <v>1044</v>
      </c>
      <c r="P595" s="22" t="s">
        <v>1045</v>
      </c>
      <c r="Q595" s="29" t="s">
        <v>1041</v>
      </c>
      <c r="R595" s="95"/>
      <c r="S595" s="95"/>
      <c r="T595" s="95"/>
      <c r="V595" s="17">
        <v>1</v>
      </c>
      <c r="W595" s="17">
        <v>432</v>
      </c>
      <c r="X595" s="17">
        <v>56</v>
      </c>
      <c r="Y595" s="17">
        <v>24</v>
      </c>
      <c r="Z595" s="6">
        <f t="shared" si="60"/>
        <v>512</v>
      </c>
      <c r="AA595" s="11">
        <f t="shared" si="61"/>
        <v>0.84375</v>
      </c>
      <c r="AB595" s="11">
        <f t="shared" si="62"/>
        <v>0.109375</v>
      </c>
      <c r="AC595" s="66">
        <f t="shared" si="63"/>
        <v>0.84375</v>
      </c>
      <c r="AD595" s="67">
        <f t="shared" si="64"/>
        <v>0.765625</v>
      </c>
    </row>
    <row r="596" spans="1:30" ht="14.5" customHeight="1" x14ac:dyDescent="0.2">
      <c r="A596" t="s">
        <v>730</v>
      </c>
      <c r="B596" s="17">
        <v>1</v>
      </c>
      <c r="C596" s="17">
        <v>0</v>
      </c>
      <c r="D596" s="22" t="s">
        <v>1009</v>
      </c>
      <c r="E596" s="22" t="s">
        <v>1010</v>
      </c>
      <c r="F596" s="17">
        <v>2018</v>
      </c>
      <c r="G596" s="18">
        <v>43117</v>
      </c>
      <c r="H596" s="22" t="s">
        <v>733</v>
      </c>
      <c r="I596" s="7">
        <v>0</v>
      </c>
      <c r="J596" s="22"/>
      <c r="K596" s="17">
        <v>0</v>
      </c>
      <c r="L596" s="59">
        <v>1</v>
      </c>
      <c r="M596" s="22" t="s">
        <v>2941</v>
      </c>
      <c r="N596" s="22" t="s">
        <v>2637</v>
      </c>
      <c r="O596" s="22" t="s">
        <v>1046</v>
      </c>
      <c r="P596" s="22" t="s">
        <v>1047</v>
      </c>
      <c r="Q596" s="29" t="s">
        <v>1041</v>
      </c>
      <c r="R596" s="95">
        <v>1</v>
      </c>
      <c r="S596" s="95">
        <v>0</v>
      </c>
      <c r="T596" s="95">
        <v>0</v>
      </c>
      <c r="V596" s="17">
        <v>1</v>
      </c>
      <c r="W596" s="17">
        <v>351</v>
      </c>
      <c r="X596" s="17">
        <v>132</v>
      </c>
      <c r="Y596" s="17">
        <v>25</v>
      </c>
      <c r="Z596" s="6">
        <f t="shared" ref="Z596:Z659" si="65">SUM(W596:Y596)</f>
        <v>508</v>
      </c>
      <c r="AA596" s="11">
        <f t="shared" ref="AA596:AA659" si="66">W596/Z596</f>
        <v>0.69094488188976377</v>
      </c>
      <c r="AB596" s="11">
        <f t="shared" ref="AB596:AB659" si="67">X596/Z596</f>
        <v>0.25984251968503935</v>
      </c>
      <c r="AC596" s="66">
        <f t="shared" ref="AC596:AC659" si="68">IF(K596=1,AB596,AA596)</f>
        <v>0.69094488188976377</v>
      </c>
      <c r="AD596" s="67">
        <f t="shared" ref="AD596:AD659" si="69">SUM((MAX(W596,X596,Y596)-0.5*(SUM(W596+X596+Y596)-MAX(W596,X596,Y596)))/SUM(W596+X596+Y596))</f>
        <v>0.53641732283464572</v>
      </c>
    </row>
    <row r="597" spans="1:30" ht="14.5" customHeight="1" x14ac:dyDescent="0.2">
      <c r="A597" t="s">
        <v>730</v>
      </c>
      <c r="B597" s="17">
        <v>1</v>
      </c>
      <c r="C597" s="17">
        <v>0</v>
      </c>
      <c r="D597" s="22" t="s">
        <v>1009</v>
      </c>
      <c r="E597" s="22" t="s">
        <v>1010</v>
      </c>
      <c r="F597" s="17">
        <v>2018</v>
      </c>
      <c r="G597" s="18">
        <v>43117</v>
      </c>
      <c r="H597" s="22" t="s">
        <v>733</v>
      </c>
      <c r="I597" s="7">
        <v>0</v>
      </c>
      <c r="J597" s="22"/>
      <c r="K597" s="17">
        <v>0</v>
      </c>
      <c r="L597" s="59">
        <v>1</v>
      </c>
      <c r="M597" s="22" t="s">
        <v>2942</v>
      </c>
      <c r="N597" s="22" t="s">
        <v>2637</v>
      </c>
      <c r="O597" s="22" t="s">
        <v>1048</v>
      </c>
      <c r="P597" s="22" t="s">
        <v>1049</v>
      </c>
      <c r="Q597" s="29" t="s">
        <v>1041</v>
      </c>
      <c r="R597" s="95">
        <v>1</v>
      </c>
      <c r="S597" s="95">
        <v>0</v>
      </c>
      <c r="T597" s="95">
        <v>0</v>
      </c>
      <c r="V597" s="17">
        <v>1</v>
      </c>
      <c r="W597" s="17">
        <v>355</v>
      </c>
      <c r="X597" s="17">
        <v>128</v>
      </c>
      <c r="Y597" s="17">
        <v>24</v>
      </c>
      <c r="Z597" s="6">
        <f t="shared" si="65"/>
        <v>507</v>
      </c>
      <c r="AA597" s="11">
        <f t="shared" si="66"/>
        <v>0.70019723865877714</v>
      </c>
      <c r="AB597" s="11">
        <f t="shared" si="67"/>
        <v>0.25246548323471402</v>
      </c>
      <c r="AC597" s="66">
        <f t="shared" si="68"/>
        <v>0.70019723865877714</v>
      </c>
      <c r="AD597" s="67">
        <f t="shared" si="69"/>
        <v>0.55029585798816572</v>
      </c>
    </row>
    <row r="598" spans="1:30" ht="14.5" customHeight="1" x14ac:dyDescent="0.2">
      <c r="A598" t="s">
        <v>730</v>
      </c>
      <c r="B598" s="17">
        <v>1</v>
      </c>
      <c r="C598" s="17">
        <v>0</v>
      </c>
      <c r="D598" s="22" t="s">
        <v>1052</v>
      </c>
      <c r="E598" s="22" t="s">
        <v>1053</v>
      </c>
      <c r="F598" s="17">
        <v>2019</v>
      </c>
      <c r="G598" s="18">
        <v>43649</v>
      </c>
      <c r="H598" s="22" t="s">
        <v>733</v>
      </c>
      <c r="I598" s="7">
        <v>0</v>
      </c>
      <c r="J598" s="22"/>
      <c r="K598" s="17">
        <v>0</v>
      </c>
      <c r="L598" s="59">
        <v>1</v>
      </c>
      <c r="M598" s="22" t="s">
        <v>2946</v>
      </c>
      <c r="N598" s="22" t="s">
        <v>2635</v>
      </c>
      <c r="O598" s="22" t="s">
        <v>1059</v>
      </c>
      <c r="P598" s="22" t="s">
        <v>1060</v>
      </c>
      <c r="Q598" s="29" t="s">
        <v>1056</v>
      </c>
      <c r="R598" s="95">
        <v>0</v>
      </c>
      <c r="S598" s="95">
        <v>1</v>
      </c>
      <c r="T598" s="95">
        <v>0</v>
      </c>
      <c r="V598" s="17">
        <v>1</v>
      </c>
      <c r="W598" s="17">
        <v>387</v>
      </c>
      <c r="X598" s="17">
        <v>16</v>
      </c>
      <c r="Y598" s="17">
        <v>3</v>
      </c>
      <c r="Z598" s="6">
        <f t="shared" si="65"/>
        <v>406</v>
      </c>
      <c r="AA598" s="11">
        <f t="shared" si="66"/>
        <v>0.95320197044334976</v>
      </c>
      <c r="AB598" s="11">
        <f t="shared" si="67"/>
        <v>3.9408866995073892E-2</v>
      </c>
      <c r="AC598" s="66">
        <f t="shared" si="68"/>
        <v>0.95320197044334976</v>
      </c>
      <c r="AD598" s="67">
        <f t="shared" si="69"/>
        <v>0.92980295566502458</v>
      </c>
    </row>
    <row r="599" spans="1:30" ht="14.5" customHeight="1" x14ac:dyDescent="0.2">
      <c r="A599" t="s">
        <v>730</v>
      </c>
      <c r="B599" s="17">
        <v>1</v>
      </c>
      <c r="C599" s="17">
        <v>0</v>
      </c>
      <c r="D599" s="22" t="s">
        <v>1052</v>
      </c>
      <c r="E599" s="22" t="s">
        <v>1053</v>
      </c>
      <c r="F599" s="17">
        <v>2019</v>
      </c>
      <c r="G599" s="18">
        <v>43649</v>
      </c>
      <c r="H599" s="22" t="s">
        <v>733</v>
      </c>
      <c r="I599" s="7">
        <v>0</v>
      </c>
      <c r="J599" s="22"/>
      <c r="K599" s="17">
        <v>0</v>
      </c>
      <c r="L599" s="59">
        <v>1</v>
      </c>
      <c r="M599" s="22" t="s">
        <v>2944</v>
      </c>
      <c r="N599" s="22" t="s">
        <v>2637</v>
      </c>
      <c r="O599" s="22" t="s">
        <v>1054</v>
      </c>
      <c r="P599" s="22" t="s">
        <v>1055</v>
      </c>
      <c r="Q599" s="29" t="s">
        <v>1056</v>
      </c>
      <c r="R599" s="95"/>
      <c r="S599" s="95"/>
      <c r="T599" s="95"/>
      <c r="V599" s="17">
        <v>1</v>
      </c>
      <c r="W599" s="17">
        <v>505</v>
      </c>
      <c r="X599" s="17">
        <v>0</v>
      </c>
      <c r="Y599" s="17">
        <v>0</v>
      </c>
      <c r="Z599" s="6">
        <f t="shared" si="65"/>
        <v>505</v>
      </c>
      <c r="AA599" s="11">
        <f t="shared" si="66"/>
        <v>1</v>
      </c>
      <c r="AB599" s="11">
        <f t="shared" si="67"/>
        <v>0</v>
      </c>
      <c r="AC599" s="66">
        <f t="shared" si="68"/>
        <v>1</v>
      </c>
      <c r="AD599" s="67">
        <f t="shared" si="69"/>
        <v>1</v>
      </c>
    </row>
    <row r="600" spans="1:30" ht="14.5" customHeight="1" x14ac:dyDescent="0.2">
      <c r="A600" t="s">
        <v>730</v>
      </c>
      <c r="B600" s="17">
        <v>1</v>
      </c>
      <c r="C600" s="17">
        <v>0</v>
      </c>
      <c r="D600" s="22" t="s">
        <v>1052</v>
      </c>
      <c r="E600" s="22" t="s">
        <v>1053</v>
      </c>
      <c r="F600" s="17">
        <v>2019</v>
      </c>
      <c r="G600" s="18">
        <v>43649</v>
      </c>
      <c r="H600" s="22" t="s">
        <v>733</v>
      </c>
      <c r="I600" s="7">
        <v>0</v>
      </c>
      <c r="J600" s="22"/>
      <c r="K600" s="17">
        <v>0</v>
      </c>
      <c r="L600" s="59">
        <v>1</v>
      </c>
      <c r="M600" s="22" t="s">
        <v>2945</v>
      </c>
      <c r="N600" s="22" t="s">
        <v>2637</v>
      </c>
      <c r="O600" s="22" t="s">
        <v>1057</v>
      </c>
      <c r="P600" s="22" t="s">
        <v>1058</v>
      </c>
      <c r="Q600" s="22" t="s">
        <v>1056</v>
      </c>
      <c r="R600" s="95"/>
      <c r="S600" s="95"/>
      <c r="T600" s="95"/>
      <c r="V600" s="17">
        <v>1</v>
      </c>
      <c r="W600" s="17">
        <v>494</v>
      </c>
      <c r="X600" s="17">
        <v>13</v>
      </c>
      <c r="Y600" s="17">
        <v>0</v>
      </c>
      <c r="Z600" s="6">
        <f t="shared" si="65"/>
        <v>507</v>
      </c>
      <c r="AA600" s="11">
        <f t="shared" si="66"/>
        <v>0.97435897435897434</v>
      </c>
      <c r="AB600" s="11">
        <f t="shared" si="67"/>
        <v>2.564102564102564E-2</v>
      </c>
      <c r="AC600" s="66">
        <f t="shared" si="68"/>
        <v>0.97435897435897434</v>
      </c>
      <c r="AD600" s="67">
        <f t="shared" si="69"/>
        <v>0.96153846153846156</v>
      </c>
    </row>
    <row r="601" spans="1:30" ht="14.5" customHeight="1" x14ac:dyDescent="0.2">
      <c r="A601" t="s">
        <v>730</v>
      </c>
      <c r="B601" s="17">
        <v>1</v>
      </c>
      <c r="C601" s="17">
        <v>0</v>
      </c>
      <c r="D601" s="22" t="s">
        <v>1052</v>
      </c>
      <c r="E601" s="22" t="s">
        <v>1053</v>
      </c>
      <c r="F601" s="17">
        <v>2019</v>
      </c>
      <c r="G601" s="18">
        <v>43655</v>
      </c>
      <c r="H601" s="22" t="s">
        <v>738</v>
      </c>
      <c r="I601" s="7">
        <v>0</v>
      </c>
      <c r="J601" s="22"/>
      <c r="K601" s="17">
        <v>0</v>
      </c>
      <c r="L601" s="59">
        <v>1</v>
      </c>
      <c r="M601" s="22" t="s">
        <v>2947</v>
      </c>
      <c r="N601" s="22" t="s">
        <v>2637</v>
      </c>
      <c r="O601" s="22" t="s">
        <v>1061</v>
      </c>
      <c r="P601" s="22" t="s">
        <v>1062</v>
      </c>
      <c r="Q601" s="29" t="s">
        <v>1063</v>
      </c>
      <c r="V601" s="17">
        <v>1</v>
      </c>
      <c r="W601" s="17">
        <v>243</v>
      </c>
      <c r="X601" s="17">
        <v>14</v>
      </c>
      <c r="Y601" s="17">
        <v>7</v>
      </c>
      <c r="Z601" s="6">
        <f t="shared" si="65"/>
        <v>264</v>
      </c>
      <c r="AA601" s="11">
        <f t="shared" si="66"/>
        <v>0.92045454545454541</v>
      </c>
      <c r="AB601" s="11">
        <f t="shared" si="67"/>
        <v>5.3030303030303032E-2</v>
      </c>
      <c r="AC601" s="66">
        <f t="shared" si="68"/>
        <v>0.92045454545454541</v>
      </c>
      <c r="AD601" s="67">
        <f t="shared" si="69"/>
        <v>0.88068181818181823</v>
      </c>
    </row>
    <row r="602" spans="1:30" ht="14.5" customHeight="1" x14ac:dyDescent="0.2">
      <c r="A602" s="54" t="s">
        <v>1064</v>
      </c>
      <c r="B602" s="17">
        <v>1</v>
      </c>
      <c r="C602" s="17">
        <v>0</v>
      </c>
      <c r="D602" s="22" t="s">
        <v>1065</v>
      </c>
      <c r="E602" s="22" t="s">
        <v>3008</v>
      </c>
      <c r="F602" s="17">
        <v>2001</v>
      </c>
      <c r="G602" s="42">
        <v>37222</v>
      </c>
      <c r="H602" s="22" t="s">
        <v>1066</v>
      </c>
      <c r="I602" s="17">
        <v>0</v>
      </c>
      <c r="J602" s="22" t="s">
        <v>1067</v>
      </c>
      <c r="K602" s="17">
        <v>0</v>
      </c>
      <c r="L602" s="59">
        <v>1</v>
      </c>
      <c r="M602" s="54" t="s">
        <v>2599</v>
      </c>
      <c r="N602" s="54" t="s">
        <v>2631</v>
      </c>
      <c r="P602" s="22" t="s">
        <v>1068</v>
      </c>
      <c r="Q602" s="22" t="s">
        <v>2515</v>
      </c>
      <c r="R602" s="59">
        <v>1</v>
      </c>
      <c r="S602" s="59">
        <v>0</v>
      </c>
      <c r="T602" s="59">
        <v>0</v>
      </c>
      <c r="U602" s="17">
        <v>1</v>
      </c>
      <c r="V602" s="17">
        <v>0</v>
      </c>
      <c r="W602" s="17">
        <v>385</v>
      </c>
      <c r="X602" s="17">
        <v>73</v>
      </c>
      <c r="Y602" s="17">
        <v>9</v>
      </c>
      <c r="Z602" s="59">
        <f t="shared" si="65"/>
        <v>467</v>
      </c>
      <c r="AA602" s="11">
        <f t="shared" si="66"/>
        <v>0.82441113490364026</v>
      </c>
      <c r="AB602" s="11">
        <f t="shared" si="67"/>
        <v>0.15631691648822268</v>
      </c>
      <c r="AC602" s="66">
        <f t="shared" si="68"/>
        <v>0.82441113490364026</v>
      </c>
      <c r="AD602" s="67">
        <f t="shared" si="69"/>
        <v>0.7366167023554604</v>
      </c>
    </row>
    <row r="603" spans="1:30" ht="14.5" customHeight="1" x14ac:dyDescent="0.2">
      <c r="A603" s="54" t="s">
        <v>1064</v>
      </c>
      <c r="B603" s="17">
        <v>1</v>
      </c>
      <c r="C603" s="17">
        <v>0</v>
      </c>
      <c r="D603" s="22" t="s">
        <v>1065</v>
      </c>
      <c r="E603" s="22" t="s">
        <v>3008</v>
      </c>
      <c r="F603" s="17">
        <v>2001</v>
      </c>
      <c r="G603" s="42">
        <v>37225</v>
      </c>
      <c r="H603" s="22" t="s">
        <v>1069</v>
      </c>
      <c r="I603" s="17">
        <v>0</v>
      </c>
      <c r="J603" s="22" t="s">
        <v>1067</v>
      </c>
      <c r="K603" s="17">
        <v>0</v>
      </c>
      <c r="L603" s="59">
        <v>1</v>
      </c>
      <c r="M603" s="54" t="s">
        <v>2599</v>
      </c>
      <c r="N603" s="54" t="s">
        <v>2631</v>
      </c>
      <c r="P603" s="19" t="s">
        <v>1070</v>
      </c>
      <c r="Q603" s="22" t="s">
        <v>1071</v>
      </c>
      <c r="R603" s="59">
        <v>1</v>
      </c>
      <c r="S603" s="59">
        <v>0</v>
      </c>
      <c r="T603" s="59">
        <v>0</v>
      </c>
      <c r="U603" s="17">
        <v>1</v>
      </c>
      <c r="V603" s="17">
        <v>0</v>
      </c>
      <c r="W603" s="17">
        <v>191</v>
      </c>
      <c r="X603" s="17">
        <v>41</v>
      </c>
      <c r="Y603" s="17">
        <v>14</v>
      </c>
      <c r="Z603" s="59">
        <f t="shared" si="65"/>
        <v>246</v>
      </c>
      <c r="AA603" s="11">
        <f t="shared" si="66"/>
        <v>0.77642276422764223</v>
      </c>
      <c r="AB603" s="11">
        <f t="shared" si="67"/>
        <v>0.16666666666666666</v>
      </c>
      <c r="AC603" s="66">
        <f t="shared" si="68"/>
        <v>0.77642276422764223</v>
      </c>
      <c r="AD603" s="67">
        <f t="shared" si="69"/>
        <v>0.66463414634146345</v>
      </c>
    </row>
    <row r="604" spans="1:30" ht="14.5" customHeight="1" x14ac:dyDescent="0.2">
      <c r="A604" s="54" t="s">
        <v>1064</v>
      </c>
      <c r="B604" s="17">
        <v>1</v>
      </c>
      <c r="C604" s="17">
        <v>0</v>
      </c>
      <c r="D604" s="22" t="s">
        <v>1065</v>
      </c>
      <c r="E604" s="22" t="s">
        <v>3008</v>
      </c>
      <c r="F604" s="17">
        <v>2003</v>
      </c>
      <c r="G604" s="42">
        <v>37806</v>
      </c>
      <c r="H604" s="22" t="s">
        <v>1066</v>
      </c>
      <c r="I604" s="17">
        <v>0</v>
      </c>
      <c r="J604" s="22" t="s">
        <v>1072</v>
      </c>
      <c r="K604" s="17">
        <v>0</v>
      </c>
      <c r="L604" s="59">
        <v>1</v>
      </c>
      <c r="M604" s="22" t="s">
        <v>30</v>
      </c>
      <c r="N604" t="s">
        <v>2121</v>
      </c>
      <c r="P604" s="22" t="s">
        <v>1073</v>
      </c>
      <c r="Q604" s="22" t="s">
        <v>1074</v>
      </c>
      <c r="R604" s="59">
        <v>1</v>
      </c>
      <c r="S604" s="59">
        <v>0</v>
      </c>
      <c r="T604" s="59">
        <v>0</v>
      </c>
      <c r="U604" s="17">
        <v>1</v>
      </c>
      <c r="V604" s="17">
        <v>0</v>
      </c>
      <c r="W604" s="97">
        <v>270</v>
      </c>
      <c r="X604" s="97">
        <v>179</v>
      </c>
      <c r="Y604" s="17">
        <v>3</v>
      </c>
      <c r="Z604" s="59">
        <f t="shared" si="65"/>
        <v>452</v>
      </c>
      <c r="AA604" s="11">
        <f t="shared" si="66"/>
        <v>0.59734513274336287</v>
      </c>
      <c r="AB604" s="11">
        <f t="shared" si="67"/>
        <v>0.39601769911504425</v>
      </c>
      <c r="AC604" s="66">
        <f t="shared" si="68"/>
        <v>0.59734513274336287</v>
      </c>
      <c r="AD604" s="67">
        <f t="shared" si="69"/>
        <v>0.39601769911504425</v>
      </c>
    </row>
    <row r="605" spans="1:30" ht="14.5" customHeight="1" x14ac:dyDescent="0.2">
      <c r="A605" s="54" t="s">
        <v>1064</v>
      </c>
      <c r="B605" s="17">
        <v>1</v>
      </c>
      <c r="C605" s="17">
        <v>0</v>
      </c>
      <c r="D605" s="22" t="s">
        <v>1065</v>
      </c>
      <c r="E605" s="22" t="s">
        <v>3008</v>
      </c>
      <c r="F605" s="17">
        <v>2003</v>
      </c>
      <c r="G605" s="42">
        <v>37828</v>
      </c>
      <c r="H605" s="22" t="s">
        <v>1069</v>
      </c>
      <c r="I605" s="17">
        <v>0</v>
      </c>
      <c r="J605" s="22" t="s">
        <v>1072</v>
      </c>
      <c r="K605" s="17">
        <v>0</v>
      </c>
      <c r="L605" s="59">
        <v>1</v>
      </c>
      <c r="M605" s="22" t="s">
        <v>30</v>
      </c>
      <c r="N605" t="s">
        <v>2121</v>
      </c>
      <c r="P605" s="22" t="s">
        <v>1075</v>
      </c>
      <c r="Q605" s="22" t="s">
        <v>1076</v>
      </c>
      <c r="R605" s="59">
        <v>1</v>
      </c>
      <c r="S605" s="59">
        <v>0</v>
      </c>
      <c r="T605" s="59">
        <v>0</v>
      </c>
      <c r="U605" s="17">
        <v>1</v>
      </c>
      <c r="V605" s="17">
        <v>0</v>
      </c>
      <c r="W605" s="97">
        <v>136</v>
      </c>
      <c r="X605" s="97">
        <v>102</v>
      </c>
      <c r="Y605" s="97">
        <v>8</v>
      </c>
      <c r="Z605" s="59">
        <f t="shared" si="65"/>
        <v>246</v>
      </c>
      <c r="AA605" s="11">
        <f t="shared" si="66"/>
        <v>0.55284552845528456</v>
      </c>
      <c r="AB605" s="11">
        <f t="shared" si="67"/>
        <v>0.41463414634146339</v>
      </c>
      <c r="AC605" s="66">
        <f t="shared" si="68"/>
        <v>0.55284552845528456</v>
      </c>
      <c r="AD605" s="67">
        <f t="shared" si="69"/>
        <v>0.32926829268292684</v>
      </c>
    </row>
    <row r="606" spans="1:30" ht="14.5" customHeight="1" x14ac:dyDescent="0.2">
      <c r="A606" s="54" t="s">
        <v>1064</v>
      </c>
      <c r="B606" s="17">
        <v>1</v>
      </c>
      <c r="C606" s="17">
        <v>0</v>
      </c>
      <c r="D606" s="22" t="s">
        <v>1065</v>
      </c>
      <c r="E606" s="22" t="s">
        <v>3008</v>
      </c>
      <c r="F606" s="17">
        <v>2003</v>
      </c>
      <c r="G606" s="42">
        <v>37897</v>
      </c>
      <c r="H606" s="22" t="s">
        <v>1066</v>
      </c>
      <c r="I606" s="17">
        <v>0</v>
      </c>
      <c r="J606" s="22" t="s">
        <v>1067</v>
      </c>
      <c r="K606" s="17">
        <v>0</v>
      </c>
      <c r="L606" s="59">
        <v>1</v>
      </c>
      <c r="M606" s="54" t="s">
        <v>2599</v>
      </c>
      <c r="N606" s="54" t="s">
        <v>2631</v>
      </c>
      <c r="P606" s="22" t="s">
        <v>1077</v>
      </c>
      <c r="Q606" s="22" t="s">
        <v>1074</v>
      </c>
      <c r="R606" s="59">
        <v>1</v>
      </c>
      <c r="S606" s="59">
        <v>0</v>
      </c>
      <c r="T606" s="59">
        <v>0</v>
      </c>
      <c r="U606" s="17">
        <v>0</v>
      </c>
      <c r="V606" s="17">
        <v>1</v>
      </c>
      <c r="W606" s="17">
        <v>282</v>
      </c>
      <c r="X606" s="17">
        <v>176</v>
      </c>
      <c r="Y606" s="17">
        <v>3</v>
      </c>
      <c r="Z606" s="59">
        <f t="shared" si="65"/>
        <v>461</v>
      </c>
      <c r="AA606" s="11">
        <f t="shared" si="66"/>
        <v>0.61171366594360088</v>
      </c>
      <c r="AB606" s="11">
        <f t="shared" si="67"/>
        <v>0.38177874186550975</v>
      </c>
      <c r="AC606" s="66">
        <f t="shared" si="68"/>
        <v>0.61171366594360088</v>
      </c>
      <c r="AD606" s="67">
        <f t="shared" si="69"/>
        <v>0.41757049891540132</v>
      </c>
    </row>
    <row r="607" spans="1:30" ht="14.5" customHeight="1" x14ac:dyDescent="0.2">
      <c r="A607" s="54" t="s">
        <v>1064</v>
      </c>
      <c r="B607" s="17">
        <v>1</v>
      </c>
      <c r="C607" s="17">
        <v>0</v>
      </c>
      <c r="D607" s="22" t="s">
        <v>1065</v>
      </c>
      <c r="E607" s="22" t="s">
        <v>3008</v>
      </c>
      <c r="F607" s="17">
        <v>2003</v>
      </c>
      <c r="G607" s="42">
        <v>37904</v>
      </c>
      <c r="H607" s="22" t="s">
        <v>1069</v>
      </c>
      <c r="I607" s="17">
        <v>0</v>
      </c>
      <c r="J607" s="22" t="s">
        <v>1067</v>
      </c>
      <c r="K607" s="17">
        <v>0</v>
      </c>
      <c r="L607" s="59">
        <v>1</v>
      </c>
      <c r="M607" s="54" t="s">
        <v>2599</v>
      </c>
      <c r="N607" s="54" t="s">
        <v>2631</v>
      </c>
      <c r="P607" s="22" t="s">
        <v>1077</v>
      </c>
      <c r="Q607" s="22" t="s">
        <v>1078</v>
      </c>
      <c r="R607" s="59">
        <v>1</v>
      </c>
      <c r="S607" s="59">
        <v>0</v>
      </c>
      <c r="T607" s="59">
        <v>0</v>
      </c>
      <c r="U607" s="17">
        <v>0</v>
      </c>
      <c r="V607" s="17">
        <v>1</v>
      </c>
      <c r="W607" s="97">
        <v>137</v>
      </c>
      <c r="X607" s="97">
        <v>100</v>
      </c>
      <c r="Y607" s="97">
        <v>9</v>
      </c>
      <c r="Z607" s="59">
        <f t="shared" si="65"/>
        <v>246</v>
      </c>
      <c r="AA607" s="11">
        <f t="shared" si="66"/>
        <v>0.55691056910569103</v>
      </c>
      <c r="AB607" s="11">
        <f t="shared" si="67"/>
        <v>0.4065040650406504</v>
      </c>
      <c r="AC607" s="66">
        <f t="shared" si="68"/>
        <v>0.55691056910569103</v>
      </c>
      <c r="AD607" s="67">
        <f t="shared" si="69"/>
        <v>0.33536585365853661</v>
      </c>
    </row>
    <row r="608" spans="1:30" ht="14.5" customHeight="1" x14ac:dyDescent="0.2">
      <c r="A608" s="54" t="s">
        <v>1064</v>
      </c>
      <c r="B608" s="17">
        <v>1</v>
      </c>
      <c r="C608" s="17">
        <v>0</v>
      </c>
      <c r="D608" s="22" t="s">
        <v>1079</v>
      </c>
      <c r="E608" s="22" t="s">
        <v>3009</v>
      </c>
      <c r="F608" s="17">
        <v>2004</v>
      </c>
      <c r="G608" s="42">
        <v>38017</v>
      </c>
      <c r="H608" s="22" t="s">
        <v>1066</v>
      </c>
      <c r="I608" s="17">
        <v>0</v>
      </c>
      <c r="J608" s="22" t="s">
        <v>1072</v>
      </c>
      <c r="K608" s="17">
        <v>0</v>
      </c>
      <c r="L608" s="59">
        <v>1</v>
      </c>
      <c r="M608" s="22" t="s">
        <v>30</v>
      </c>
      <c r="N608" t="s">
        <v>2121</v>
      </c>
      <c r="P608" s="22" t="s">
        <v>1080</v>
      </c>
      <c r="Q608" s="22" t="s">
        <v>1074</v>
      </c>
      <c r="R608" s="59">
        <v>1</v>
      </c>
      <c r="S608" s="59">
        <v>0</v>
      </c>
      <c r="T608" s="59">
        <v>0</v>
      </c>
      <c r="U608" s="17">
        <v>1</v>
      </c>
      <c r="V608" s="17">
        <v>0</v>
      </c>
      <c r="W608" s="97">
        <v>278</v>
      </c>
      <c r="X608" s="97">
        <v>0</v>
      </c>
      <c r="Y608" s="17">
        <v>198</v>
      </c>
      <c r="Z608" s="59">
        <f t="shared" si="65"/>
        <v>476</v>
      </c>
      <c r="AA608" s="11">
        <f t="shared" si="66"/>
        <v>0.58403361344537819</v>
      </c>
      <c r="AB608" s="11">
        <f t="shared" si="67"/>
        <v>0</v>
      </c>
      <c r="AC608" s="66">
        <f t="shared" si="68"/>
        <v>0.58403361344537819</v>
      </c>
      <c r="AD608" s="67">
        <f t="shared" si="69"/>
        <v>0.37605042016806722</v>
      </c>
    </row>
    <row r="609" spans="1:33" ht="14.5" customHeight="1" x14ac:dyDescent="0.2">
      <c r="A609" s="54" t="s">
        <v>1064</v>
      </c>
      <c r="B609" s="17">
        <v>1</v>
      </c>
      <c r="C609" s="17">
        <v>0</v>
      </c>
      <c r="D609" s="22" t="s">
        <v>1079</v>
      </c>
      <c r="E609" s="22" t="s">
        <v>3009</v>
      </c>
      <c r="F609" s="17">
        <v>2004</v>
      </c>
      <c r="G609" s="42">
        <v>38026</v>
      </c>
      <c r="H609" s="22" t="s">
        <v>1069</v>
      </c>
      <c r="I609" s="17">
        <v>0</v>
      </c>
      <c r="J609" s="22" t="s">
        <v>1072</v>
      </c>
      <c r="K609" s="17">
        <v>0</v>
      </c>
      <c r="L609" s="59">
        <v>1</v>
      </c>
      <c r="M609" s="22" t="s">
        <v>30</v>
      </c>
      <c r="N609" t="s">
        <v>2121</v>
      </c>
      <c r="P609" s="22" t="s">
        <v>1081</v>
      </c>
      <c r="Q609" s="22" t="s">
        <v>1082</v>
      </c>
      <c r="R609" s="59">
        <v>1</v>
      </c>
      <c r="S609" s="59">
        <v>0</v>
      </c>
      <c r="T609" s="59">
        <v>0</v>
      </c>
      <c r="U609" s="17">
        <v>1</v>
      </c>
      <c r="V609" s="17">
        <v>0</v>
      </c>
      <c r="W609" s="97">
        <v>138</v>
      </c>
      <c r="X609" s="97">
        <v>103</v>
      </c>
      <c r="Y609" s="97">
        <v>4</v>
      </c>
      <c r="Z609" s="59">
        <f t="shared" si="65"/>
        <v>245</v>
      </c>
      <c r="AA609" s="11">
        <f t="shared" si="66"/>
        <v>0.56326530612244896</v>
      </c>
      <c r="AB609" s="11">
        <f t="shared" si="67"/>
        <v>0.42040816326530611</v>
      </c>
      <c r="AC609" s="66">
        <f t="shared" si="68"/>
        <v>0.56326530612244896</v>
      </c>
      <c r="AD609" s="67">
        <f t="shared" si="69"/>
        <v>0.3448979591836735</v>
      </c>
      <c r="AG609" s="36"/>
    </row>
    <row r="610" spans="1:33" ht="14.5" customHeight="1" x14ac:dyDescent="0.2">
      <c r="A610" s="54" t="s">
        <v>1064</v>
      </c>
      <c r="B610" s="17">
        <v>1</v>
      </c>
      <c r="C610" s="17">
        <v>1</v>
      </c>
      <c r="D610" s="22" t="s">
        <v>1079</v>
      </c>
      <c r="E610" s="22" t="s">
        <v>3009</v>
      </c>
      <c r="F610" s="17">
        <v>2005</v>
      </c>
      <c r="G610" s="42">
        <v>38643</v>
      </c>
      <c r="H610" s="22" t="s">
        <v>1066</v>
      </c>
      <c r="I610" s="17">
        <v>0</v>
      </c>
      <c r="J610" s="22" t="s">
        <v>1067</v>
      </c>
      <c r="K610" s="17">
        <v>0</v>
      </c>
      <c r="L610" s="59">
        <v>1</v>
      </c>
      <c r="M610" s="54" t="s">
        <v>2599</v>
      </c>
      <c r="N610" s="54" t="s">
        <v>2631</v>
      </c>
      <c r="P610" s="22" t="s">
        <v>1077</v>
      </c>
      <c r="Q610" s="22" t="s">
        <v>1074</v>
      </c>
      <c r="R610" s="59">
        <v>1</v>
      </c>
      <c r="S610" s="59">
        <v>0</v>
      </c>
      <c r="T610" s="59">
        <v>0</v>
      </c>
      <c r="U610" s="17">
        <v>0</v>
      </c>
      <c r="V610" s="17">
        <v>1</v>
      </c>
      <c r="W610" s="97">
        <v>327</v>
      </c>
      <c r="X610" s="97">
        <v>136</v>
      </c>
      <c r="Y610" s="17">
        <v>0</v>
      </c>
      <c r="Z610" s="59">
        <f t="shared" si="65"/>
        <v>463</v>
      </c>
      <c r="AA610" s="11">
        <f t="shared" si="66"/>
        <v>0.70626349892008644</v>
      </c>
      <c r="AB610" s="11">
        <f t="shared" si="67"/>
        <v>0.29373650107991361</v>
      </c>
      <c r="AC610" s="66">
        <f t="shared" si="68"/>
        <v>0.70626349892008644</v>
      </c>
      <c r="AD610" s="67">
        <f t="shared" si="69"/>
        <v>0.55939524838012955</v>
      </c>
    </row>
    <row r="611" spans="1:33" ht="14.5" customHeight="1" x14ac:dyDescent="0.2">
      <c r="A611" s="54" t="s">
        <v>1064</v>
      </c>
      <c r="B611" s="17">
        <v>1</v>
      </c>
      <c r="C611" s="17">
        <v>1</v>
      </c>
      <c r="D611" s="22" t="s">
        <v>1079</v>
      </c>
      <c r="E611" s="22" t="s">
        <v>3009</v>
      </c>
      <c r="F611" s="17">
        <v>2005</v>
      </c>
      <c r="G611" s="42">
        <v>38651</v>
      </c>
      <c r="H611" s="22" t="s">
        <v>1069</v>
      </c>
      <c r="I611" s="17">
        <v>0</v>
      </c>
      <c r="J611" s="22" t="s">
        <v>1067</v>
      </c>
      <c r="K611" s="17">
        <v>0</v>
      </c>
      <c r="L611" s="59">
        <v>1</v>
      </c>
      <c r="M611" s="54" t="s">
        <v>2599</v>
      </c>
      <c r="N611" s="54" t="s">
        <v>2631</v>
      </c>
      <c r="P611" s="22" t="s">
        <v>1077</v>
      </c>
      <c r="Q611" s="22" t="s">
        <v>1083</v>
      </c>
      <c r="R611" s="59">
        <v>1</v>
      </c>
      <c r="S611" s="59">
        <v>0</v>
      </c>
      <c r="T611" s="59">
        <v>0</v>
      </c>
      <c r="U611" s="17">
        <v>0</v>
      </c>
      <c r="V611" s="17">
        <v>1</v>
      </c>
      <c r="W611" s="17">
        <v>131</v>
      </c>
      <c r="X611" s="17">
        <v>99</v>
      </c>
      <c r="Y611" s="17">
        <v>12</v>
      </c>
      <c r="Z611" s="59">
        <f t="shared" si="65"/>
        <v>242</v>
      </c>
      <c r="AA611" s="11">
        <f t="shared" si="66"/>
        <v>0.54132231404958675</v>
      </c>
      <c r="AB611" s="11">
        <f t="shared" si="67"/>
        <v>0.40909090909090912</v>
      </c>
      <c r="AC611" s="66">
        <f t="shared" si="68"/>
        <v>0.54132231404958675</v>
      </c>
      <c r="AD611" s="67">
        <f t="shared" si="69"/>
        <v>0.31198347107438018</v>
      </c>
    </row>
    <row r="612" spans="1:33" ht="14.5" customHeight="1" x14ac:dyDescent="0.2">
      <c r="A612" s="54" t="s">
        <v>1064</v>
      </c>
      <c r="B612" s="17">
        <v>1</v>
      </c>
      <c r="C612" s="17">
        <v>1</v>
      </c>
      <c r="D612" s="22" t="s">
        <v>1084</v>
      </c>
      <c r="E612" s="22" t="s">
        <v>3009</v>
      </c>
      <c r="F612" s="17">
        <v>2006</v>
      </c>
      <c r="G612" s="42">
        <v>39009</v>
      </c>
      <c r="H612" s="22" t="s">
        <v>1066</v>
      </c>
      <c r="I612" s="17">
        <v>0</v>
      </c>
      <c r="J612" s="22" t="s">
        <v>1067</v>
      </c>
      <c r="K612" s="17">
        <v>0</v>
      </c>
      <c r="L612" s="59">
        <v>1</v>
      </c>
      <c r="M612" s="54" t="s">
        <v>2599</v>
      </c>
      <c r="N612" s="54" t="s">
        <v>2631</v>
      </c>
      <c r="P612" s="22" t="s">
        <v>1077</v>
      </c>
      <c r="Q612" s="22" t="s">
        <v>1074</v>
      </c>
      <c r="R612" s="59">
        <v>1</v>
      </c>
      <c r="S612" s="59">
        <v>0</v>
      </c>
      <c r="T612" s="59">
        <v>0</v>
      </c>
      <c r="U612" s="17">
        <v>0</v>
      </c>
      <c r="V612" s="17">
        <v>1</v>
      </c>
      <c r="W612" s="97">
        <v>323</v>
      </c>
      <c r="X612" s="97">
        <v>135</v>
      </c>
      <c r="Y612" s="17">
        <v>0</v>
      </c>
      <c r="Z612" s="59">
        <f t="shared" si="65"/>
        <v>458</v>
      </c>
      <c r="AA612" s="11">
        <f t="shared" si="66"/>
        <v>0.70524017467248912</v>
      </c>
      <c r="AB612" s="11">
        <f t="shared" si="67"/>
        <v>0.29475982532751094</v>
      </c>
      <c r="AC612" s="66">
        <f t="shared" si="68"/>
        <v>0.70524017467248912</v>
      </c>
      <c r="AD612" s="67">
        <f t="shared" si="69"/>
        <v>0.55786026200873362</v>
      </c>
    </row>
    <row r="613" spans="1:33" ht="14.5" customHeight="1" x14ac:dyDescent="0.2">
      <c r="A613" s="54" t="s">
        <v>1064</v>
      </c>
      <c r="B613" s="17">
        <v>1</v>
      </c>
      <c r="C613" s="17">
        <v>1</v>
      </c>
      <c r="D613" s="22" t="s">
        <v>1084</v>
      </c>
      <c r="E613" s="22" t="s">
        <v>3009</v>
      </c>
      <c r="F613" s="17">
        <v>2006</v>
      </c>
      <c r="G613" s="42">
        <v>39017</v>
      </c>
      <c r="H613" s="22" t="s">
        <v>1069</v>
      </c>
      <c r="I613" s="17">
        <v>0</v>
      </c>
      <c r="J613" s="22" t="s">
        <v>1067</v>
      </c>
      <c r="K613" s="17">
        <v>0</v>
      </c>
      <c r="L613" s="59">
        <v>1</v>
      </c>
      <c r="M613" s="54" t="s">
        <v>2599</v>
      </c>
      <c r="N613" s="54" t="s">
        <v>2631</v>
      </c>
      <c r="P613" s="22" t="s">
        <v>1077</v>
      </c>
      <c r="Q613" s="22" t="s">
        <v>1085</v>
      </c>
      <c r="R613" s="59">
        <v>1</v>
      </c>
      <c r="S613" s="59">
        <v>0</v>
      </c>
      <c r="T613" s="59">
        <v>0</v>
      </c>
      <c r="U613" s="17">
        <v>0</v>
      </c>
      <c r="V613" s="17">
        <v>1</v>
      </c>
      <c r="W613" s="97">
        <v>113</v>
      </c>
      <c r="X613" s="97">
        <v>96</v>
      </c>
      <c r="Y613" s="97">
        <v>31</v>
      </c>
      <c r="Z613" s="59">
        <f t="shared" si="65"/>
        <v>240</v>
      </c>
      <c r="AA613" s="11">
        <f t="shared" si="66"/>
        <v>0.47083333333333333</v>
      </c>
      <c r="AB613" s="11">
        <f t="shared" si="67"/>
        <v>0.4</v>
      </c>
      <c r="AC613" s="66">
        <f t="shared" si="68"/>
        <v>0.47083333333333333</v>
      </c>
      <c r="AD613" s="67">
        <f t="shared" si="69"/>
        <v>0.20624999999999999</v>
      </c>
    </row>
    <row r="614" spans="1:33" ht="14.5" customHeight="1" x14ac:dyDescent="0.2">
      <c r="A614" s="54" t="s">
        <v>1064</v>
      </c>
      <c r="B614" s="17">
        <v>1</v>
      </c>
      <c r="C614" s="17">
        <v>0</v>
      </c>
      <c r="D614" s="22" t="s">
        <v>1084</v>
      </c>
      <c r="E614" s="22" t="s">
        <v>3009</v>
      </c>
      <c r="F614" s="17">
        <v>2007</v>
      </c>
      <c r="G614" s="42">
        <v>39217</v>
      </c>
      <c r="H614" s="22" t="s">
        <v>1066</v>
      </c>
      <c r="I614" s="17">
        <v>0</v>
      </c>
      <c r="J614" s="22" t="s">
        <v>1072</v>
      </c>
      <c r="K614" s="17">
        <v>0</v>
      </c>
      <c r="L614" s="59">
        <v>1</v>
      </c>
      <c r="M614" s="22" t="s">
        <v>30</v>
      </c>
      <c r="N614" t="s">
        <v>2121</v>
      </c>
      <c r="P614" s="22" t="s">
        <v>1086</v>
      </c>
      <c r="Q614" s="22" t="s">
        <v>1074</v>
      </c>
      <c r="R614" s="59">
        <v>1</v>
      </c>
      <c r="S614" s="59">
        <v>0</v>
      </c>
      <c r="T614" s="59">
        <v>0</v>
      </c>
      <c r="U614" s="17">
        <v>0</v>
      </c>
      <c r="V614" s="17">
        <v>1</v>
      </c>
      <c r="W614" s="97">
        <v>337</v>
      </c>
      <c r="X614" s="97">
        <v>134</v>
      </c>
      <c r="Y614" s="17">
        <v>0</v>
      </c>
      <c r="Z614" s="59">
        <f t="shared" si="65"/>
        <v>471</v>
      </c>
      <c r="AA614" s="11">
        <f t="shared" si="66"/>
        <v>0.71549893842887469</v>
      </c>
      <c r="AB614" s="11">
        <f t="shared" si="67"/>
        <v>0.28450106157112526</v>
      </c>
      <c r="AC614" s="66">
        <f t="shared" si="68"/>
        <v>0.71549893842887469</v>
      </c>
      <c r="AD614" s="67">
        <f t="shared" si="69"/>
        <v>0.57324840764331209</v>
      </c>
    </row>
    <row r="615" spans="1:33" ht="14.5" customHeight="1" x14ac:dyDescent="0.2">
      <c r="A615" s="54" t="s">
        <v>1064</v>
      </c>
      <c r="B615" s="17">
        <v>1</v>
      </c>
      <c r="C615" s="17">
        <v>0</v>
      </c>
      <c r="D615" s="22" t="s">
        <v>1084</v>
      </c>
      <c r="E615" s="22" t="s">
        <v>3009</v>
      </c>
      <c r="F615" s="17">
        <v>2007</v>
      </c>
      <c r="G615" s="42">
        <v>39253</v>
      </c>
      <c r="H615" s="22" t="s">
        <v>1069</v>
      </c>
      <c r="I615" s="17">
        <v>0</v>
      </c>
      <c r="J615" s="22" t="s">
        <v>1072</v>
      </c>
      <c r="K615" s="17">
        <v>0</v>
      </c>
      <c r="L615" s="59">
        <v>1</v>
      </c>
      <c r="M615" s="22" t="s">
        <v>30</v>
      </c>
      <c r="N615" t="s">
        <v>2121</v>
      </c>
      <c r="P615" s="22" t="s">
        <v>1087</v>
      </c>
      <c r="Q615" s="22" t="s">
        <v>1088</v>
      </c>
      <c r="R615" s="59">
        <v>1</v>
      </c>
      <c r="S615" s="59">
        <v>0</v>
      </c>
      <c r="T615" s="59">
        <v>0</v>
      </c>
      <c r="U615" s="17">
        <v>0</v>
      </c>
      <c r="V615" s="17">
        <v>1</v>
      </c>
      <c r="W615" s="97">
        <v>124</v>
      </c>
      <c r="X615" s="97">
        <v>98</v>
      </c>
      <c r="Y615" s="97">
        <v>18</v>
      </c>
      <c r="Z615" s="59">
        <f t="shared" si="65"/>
        <v>240</v>
      </c>
      <c r="AA615" s="11">
        <f t="shared" si="66"/>
        <v>0.51666666666666672</v>
      </c>
      <c r="AB615" s="11">
        <f t="shared" si="67"/>
        <v>0.40833333333333333</v>
      </c>
      <c r="AC615" s="66">
        <f t="shared" si="68"/>
        <v>0.51666666666666672</v>
      </c>
      <c r="AD615" s="67">
        <f t="shared" si="69"/>
        <v>0.27500000000000002</v>
      </c>
    </row>
    <row r="616" spans="1:33" ht="14.5" customHeight="1" x14ac:dyDescent="0.2">
      <c r="A616" s="54" t="s">
        <v>1064</v>
      </c>
      <c r="B616" s="17">
        <v>1</v>
      </c>
      <c r="C616" s="17">
        <v>0</v>
      </c>
      <c r="D616" s="22" t="s">
        <v>1089</v>
      </c>
      <c r="E616" s="22" t="s">
        <v>3009</v>
      </c>
      <c r="F616" s="17">
        <v>2008</v>
      </c>
      <c r="G616" s="42">
        <v>39742</v>
      </c>
      <c r="H616" s="22" t="s">
        <v>1066</v>
      </c>
      <c r="I616" s="17">
        <v>0</v>
      </c>
      <c r="J616" s="22" t="s">
        <v>1090</v>
      </c>
      <c r="K616" s="17">
        <v>0</v>
      </c>
      <c r="L616" s="59">
        <v>1</v>
      </c>
      <c r="M616" s="54" t="s">
        <v>2599</v>
      </c>
      <c r="N616" s="54" t="s">
        <v>2631</v>
      </c>
      <c r="P616" s="22" t="s">
        <v>1091</v>
      </c>
      <c r="Q616" s="22" t="s">
        <v>2516</v>
      </c>
      <c r="R616" s="59">
        <v>1</v>
      </c>
      <c r="S616" s="59">
        <v>0</v>
      </c>
      <c r="T616" s="59">
        <v>0</v>
      </c>
      <c r="U616" s="17">
        <v>1</v>
      </c>
      <c r="V616" s="17">
        <v>0</v>
      </c>
      <c r="W616" s="97">
        <v>334</v>
      </c>
      <c r="X616" s="97">
        <v>137</v>
      </c>
      <c r="Y616" s="17">
        <v>0</v>
      </c>
      <c r="Z616" s="59">
        <f t="shared" si="65"/>
        <v>471</v>
      </c>
      <c r="AA616" s="11">
        <f t="shared" si="66"/>
        <v>0.70912951167728233</v>
      </c>
      <c r="AB616" s="11">
        <f t="shared" si="67"/>
        <v>0.29087048832271761</v>
      </c>
      <c r="AC616" s="66">
        <f t="shared" si="68"/>
        <v>0.70912951167728233</v>
      </c>
      <c r="AD616" s="67">
        <f t="shared" si="69"/>
        <v>0.56369426751592355</v>
      </c>
    </row>
    <row r="617" spans="1:33" ht="14.5" customHeight="1" x14ac:dyDescent="0.2">
      <c r="A617" s="54" t="s">
        <v>1064</v>
      </c>
      <c r="B617" s="17">
        <v>1</v>
      </c>
      <c r="C617" s="17">
        <v>0</v>
      </c>
      <c r="D617" s="22" t="s">
        <v>1089</v>
      </c>
      <c r="E617" s="22" t="s">
        <v>3009</v>
      </c>
      <c r="F617" s="17">
        <v>2008</v>
      </c>
      <c r="G617" s="42">
        <v>39794</v>
      </c>
      <c r="H617" s="22" t="s">
        <v>1069</v>
      </c>
      <c r="I617" s="17">
        <v>0</v>
      </c>
      <c r="J617" s="22" t="s">
        <v>1090</v>
      </c>
      <c r="K617" s="17">
        <v>0</v>
      </c>
      <c r="L617" s="59">
        <v>1</v>
      </c>
      <c r="M617" s="54" t="s">
        <v>2599</v>
      </c>
      <c r="N617" s="54" t="s">
        <v>2631</v>
      </c>
      <c r="P617" s="22" t="s">
        <v>1091</v>
      </c>
      <c r="Q617" s="22" t="s">
        <v>1092</v>
      </c>
      <c r="R617" s="59">
        <v>1</v>
      </c>
      <c r="S617" s="59">
        <v>0</v>
      </c>
      <c r="T617" s="59">
        <v>0</v>
      </c>
      <c r="U617" s="17">
        <v>1</v>
      </c>
      <c r="V617" s="17">
        <v>0</v>
      </c>
      <c r="W617" s="97">
        <v>108</v>
      </c>
      <c r="X617" s="97">
        <v>132</v>
      </c>
      <c r="Y617" s="97">
        <v>0</v>
      </c>
      <c r="Z617" s="59">
        <f t="shared" si="65"/>
        <v>240</v>
      </c>
      <c r="AA617" s="11">
        <f t="shared" si="66"/>
        <v>0.45</v>
      </c>
      <c r="AB617" s="11">
        <f t="shared" si="67"/>
        <v>0.55000000000000004</v>
      </c>
      <c r="AC617" s="66">
        <f t="shared" si="68"/>
        <v>0.45</v>
      </c>
      <c r="AD617" s="67">
        <f t="shared" si="69"/>
        <v>0.32500000000000001</v>
      </c>
    </row>
    <row r="618" spans="1:33" ht="14.5" customHeight="1" x14ac:dyDescent="0.2">
      <c r="A618" s="54" t="s">
        <v>1064</v>
      </c>
      <c r="B618" s="17">
        <v>1</v>
      </c>
      <c r="C618" s="17">
        <v>1</v>
      </c>
      <c r="D618" s="22" t="s">
        <v>1089</v>
      </c>
      <c r="E618" s="22" t="s">
        <v>3009</v>
      </c>
      <c r="F618" s="17">
        <v>2009</v>
      </c>
      <c r="G618" s="42">
        <v>39926</v>
      </c>
      <c r="H618" s="22" t="s">
        <v>1066</v>
      </c>
      <c r="I618" s="17">
        <v>0</v>
      </c>
      <c r="J618" s="22" t="s">
        <v>1093</v>
      </c>
      <c r="K618" s="17">
        <v>0</v>
      </c>
      <c r="L618" s="59">
        <v>1</v>
      </c>
      <c r="M618" s="54" t="s">
        <v>2858</v>
      </c>
      <c r="N618" s="54" t="s">
        <v>2631</v>
      </c>
      <c r="P618" s="22" t="s">
        <v>1094</v>
      </c>
      <c r="Q618" s="22" t="s">
        <v>2517</v>
      </c>
      <c r="R618" s="59">
        <v>1</v>
      </c>
      <c r="S618" s="59">
        <v>0</v>
      </c>
      <c r="T618" s="59">
        <v>0</v>
      </c>
      <c r="U618" s="17">
        <v>1</v>
      </c>
      <c r="V618" s="17">
        <v>0</v>
      </c>
      <c r="W618" s="97">
        <v>335</v>
      </c>
      <c r="X618" s="97">
        <v>136</v>
      </c>
      <c r="Y618" s="17">
        <v>0</v>
      </c>
      <c r="Z618" s="59">
        <f t="shared" si="65"/>
        <v>471</v>
      </c>
      <c r="AA618" s="11">
        <f t="shared" si="66"/>
        <v>0.71125265392781312</v>
      </c>
      <c r="AB618" s="11">
        <f t="shared" si="67"/>
        <v>0.28874734607218683</v>
      </c>
      <c r="AC618" s="66">
        <f t="shared" si="68"/>
        <v>0.71125265392781312</v>
      </c>
      <c r="AD618" s="67">
        <f t="shared" si="69"/>
        <v>0.56687898089171973</v>
      </c>
    </row>
    <row r="619" spans="1:33" ht="14.5" customHeight="1" x14ac:dyDescent="0.2">
      <c r="A619" s="54" t="s">
        <v>1064</v>
      </c>
      <c r="B619" s="17">
        <v>1</v>
      </c>
      <c r="C619" s="17">
        <v>1</v>
      </c>
      <c r="D619" s="22" t="s">
        <v>1089</v>
      </c>
      <c r="E619" s="22" t="s">
        <v>3009</v>
      </c>
      <c r="F619" s="17">
        <v>2009</v>
      </c>
      <c r="G619" s="42">
        <v>39983</v>
      </c>
      <c r="H619" s="22" t="s">
        <v>1069</v>
      </c>
      <c r="I619" s="17">
        <v>0</v>
      </c>
      <c r="J619" s="22" t="s">
        <v>1093</v>
      </c>
      <c r="K619" s="17">
        <v>0</v>
      </c>
      <c r="L619" s="59">
        <v>1</v>
      </c>
      <c r="M619" s="54" t="s">
        <v>2858</v>
      </c>
      <c r="N619" s="54" t="s">
        <v>2631</v>
      </c>
      <c r="P619" s="22" t="s">
        <v>1094</v>
      </c>
      <c r="Q619" s="22" t="s">
        <v>1095</v>
      </c>
      <c r="R619" s="59">
        <v>1</v>
      </c>
      <c r="S619" s="59">
        <v>0</v>
      </c>
      <c r="T619" s="59">
        <v>0</v>
      </c>
      <c r="U619" s="17">
        <v>1</v>
      </c>
      <c r="V619" s="17">
        <v>0</v>
      </c>
      <c r="W619" s="97">
        <v>99</v>
      </c>
      <c r="X619" s="97">
        <v>131</v>
      </c>
      <c r="Y619" s="97">
        <v>11</v>
      </c>
      <c r="Z619" s="59">
        <f t="shared" si="65"/>
        <v>241</v>
      </c>
      <c r="AA619" s="11">
        <f t="shared" si="66"/>
        <v>0.41078838174273857</v>
      </c>
      <c r="AB619" s="11">
        <f t="shared" si="67"/>
        <v>0.54356846473029041</v>
      </c>
      <c r="AC619" s="66">
        <f t="shared" si="68"/>
        <v>0.41078838174273857</v>
      </c>
      <c r="AD619" s="67">
        <f t="shared" si="69"/>
        <v>0.31535269709543567</v>
      </c>
    </row>
    <row r="620" spans="1:33" ht="14.5" customHeight="1" x14ac:dyDescent="0.2">
      <c r="A620" s="54" t="s">
        <v>1064</v>
      </c>
      <c r="B620" s="17">
        <v>1</v>
      </c>
      <c r="C620" s="17">
        <v>1</v>
      </c>
      <c r="D620" s="22" t="s">
        <v>1089</v>
      </c>
      <c r="E620" s="22" t="s">
        <v>3009</v>
      </c>
      <c r="F620" s="17">
        <v>2009</v>
      </c>
      <c r="G620" s="42">
        <v>39983</v>
      </c>
      <c r="H620" s="22" t="s">
        <v>1066</v>
      </c>
      <c r="I620" s="17">
        <v>0</v>
      </c>
      <c r="J620" s="22" t="s">
        <v>1093</v>
      </c>
      <c r="K620" s="17">
        <v>0</v>
      </c>
      <c r="L620" s="59">
        <v>1</v>
      </c>
      <c r="M620" s="54" t="s">
        <v>2858</v>
      </c>
      <c r="N620" s="54" t="s">
        <v>2631</v>
      </c>
      <c r="P620" s="22" t="s">
        <v>1094</v>
      </c>
      <c r="Q620" s="22" t="s">
        <v>1096</v>
      </c>
      <c r="R620" s="59">
        <v>1</v>
      </c>
      <c r="S620" s="59">
        <v>0</v>
      </c>
      <c r="T620" s="59">
        <v>0</v>
      </c>
      <c r="U620" s="17">
        <v>1</v>
      </c>
      <c r="V620" s="17">
        <v>0</v>
      </c>
      <c r="W620" s="97">
        <v>335</v>
      </c>
      <c r="X620" s="97">
        <v>136</v>
      </c>
      <c r="Y620" s="17">
        <v>0</v>
      </c>
      <c r="Z620" s="59">
        <f t="shared" si="65"/>
        <v>471</v>
      </c>
      <c r="AA620" s="11">
        <f t="shared" si="66"/>
        <v>0.71125265392781312</v>
      </c>
      <c r="AB620" s="11">
        <f t="shared" si="67"/>
        <v>0.28874734607218683</v>
      </c>
      <c r="AC620" s="66">
        <f t="shared" si="68"/>
        <v>0.71125265392781312</v>
      </c>
      <c r="AD620" s="67">
        <f t="shared" si="69"/>
        <v>0.56687898089171973</v>
      </c>
    </row>
    <row r="621" spans="1:33" ht="14.5" customHeight="1" x14ac:dyDescent="0.2">
      <c r="A621" s="21" t="s">
        <v>2972</v>
      </c>
      <c r="B621" s="17">
        <v>0</v>
      </c>
      <c r="C621" s="17">
        <v>0</v>
      </c>
      <c r="D621" s="8" t="s">
        <v>1097</v>
      </c>
      <c r="E621" s="8" t="s">
        <v>1098</v>
      </c>
      <c r="F621" s="17">
        <f t="shared" ref="F621:F684" si="70">YEAR(G621)</f>
        <v>1994</v>
      </c>
      <c r="G621" s="18">
        <v>34534</v>
      </c>
      <c r="H621" s="12" t="s">
        <v>2980</v>
      </c>
      <c r="I621" s="4">
        <v>0</v>
      </c>
      <c r="J621" s="22" t="s">
        <v>1099</v>
      </c>
      <c r="K621" s="17">
        <v>0</v>
      </c>
      <c r="L621" s="59">
        <v>1</v>
      </c>
      <c r="M621" s="5" t="s">
        <v>2558</v>
      </c>
      <c r="N621" s="5" t="s">
        <v>2630</v>
      </c>
      <c r="O621" s="8"/>
      <c r="P621" s="8" t="s">
        <v>1100</v>
      </c>
      <c r="Q621" s="22" t="s">
        <v>1101</v>
      </c>
      <c r="R621" s="9">
        <v>1</v>
      </c>
      <c r="S621" s="9">
        <v>0</v>
      </c>
      <c r="T621" s="9">
        <v>0</v>
      </c>
      <c r="U621" s="7">
        <v>1</v>
      </c>
      <c r="V621" s="7">
        <v>0</v>
      </c>
      <c r="W621" s="17">
        <v>56</v>
      </c>
      <c r="X621" s="17">
        <v>9</v>
      </c>
      <c r="Y621" s="17">
        <v>8</v>
      </c>
      <c r="Z621" s="6">
        <f t="shared" si="65"/>
        <v>73</v>
      </c>
      <c r="AA621" s="11">
        <f t="shared" si="66"/>
        <v>0.76712328767123283</v>
      </c>
      <c r="AB621" s="11">
        <f t="shared" si="67"/>
        <v>0.12328767123287671</v>
      </c>
      <c r="AC621" s="66">
        <f t="shared" si="68"/>
        <v>0.76712328767123283</v>
      </c>
      <c r="AD621" s="67">
        <f t="shared" si="69"/>
        <v>0.65068493150684936</v>
      </c>
    </row>
    <row r="622" spans="1:33" ht="14.5" customHeight="1" x14ac:dyDescent="0.2">
      <c r="A622" s="21" t="s">
        <v>2972</v>
      </c>
      <c r="B622" s="17">
        <v>0</v>
      </c>
      <c r="C622" s="17">
        <v>0</v>
      </c>
      <c r="D622" s="8" t="s">
        <v>1097</v>
      </c>
      <c r="E622" s="8" t="s">
        <v>1098</v>
      </c>
      <c r="F622" s="17">
        <f t="shared" si="70"/>
        <v>1994</v>
      </c>
      <c r="G622" s="18">
        <v>34696</v>
      </c>
      <c r="H622" s="12" t="s">
        <v>2980</v>
      </c>
      <c r="I622" s="4">
        <v>0</v>
      </c>
      <c r="J622" s="22" t="s">
        <v>1102</v>
      </c>
      <c r="K622" s="17">
        <v>0</v>
      </c>
      <c r="L622" s="59">
        <v>1</v>
      </c>
      <c r="M622" s="5" t="s">
        <v>2558</v>
      </c>
      <c r="N622" s="5" t="s">
        <v>2630</v>
      </c>
      <c r="O622" s="8"/>
      <c r="P622" s="8" t="s">
        <v>1103</v>
      </c>
      <c r="Q622" s="22" t="s">
        <v>1104</v>
      </c>
      <c r="R622" s="9">
        <v>1</v>
      </c>
      <c r="S622" s="9">
        <v>0</v>
      </c>
      <c r="T622" s="9">
        <v>0</v>
      </c>
      <c r="U622" s="7">
        <v>1</v>
      </c>
      <c r="V622" s="7">
        <v>1</v>
      </c>
      <c r="W622" s="17">
        <v>61</v>
      </c>
      <c r="X622" s="17">
        <v>8</v>
      </c>
      <c r="Y622" s="17">
        <v>3</v>
      </c>
      <c r="Z622" s="6">
        <f t="shared" si="65"/>
        <v>72</v>
      </c>
      <c r="AA622" s="11">
        <f t="shared" si="66"/>
        <v>0.84722222222222221</v>
      </c>
      <c r="AB622" s="11">
        <f t="shared" si="67"/>
        <v>0.1111111111111111</v>
      </c>
      <c r="AC622" s="66">
        <f t="shared" si="68"/>
        <v>0.84722222222222221</v>
      </c>
      <c r="AD622" s="67">
        <f t="shared" si="69"/>
        <v>0.77083333333333337</v>
      </c>
    </row>
    <row r="623" spans="1:33" ht="14.5" customHeight="1" x14ac:dyDescent="0.2">
      <c r="A623" s="21" t="s">
        <v>2972</v>
      </c>
      <c r="B623" s="17">
        <v>0</v>
      </c>
      <c r="C623" s="17">
        <v>0</v>
      </c>
      <c r="D623" s="8" t="s">
        <v>1097</v>
      </c>
      <c r="E623" s="8" t="s">
        <v>1098</v>
      </c>
      <c r="F623" s="17">
        <f t="shared" si="70"/>
        <v>1995</v>
      </c>
      <c r="G623" s="18">
        <v>34856</v>
      </c>
      <c r="H623" s="12" t="s">
        <v>2980</v>
      </c>
      <c r="I623" s="4">
        <v>0</v>
      </c>
      <c r="J623" s="22" t="s">
        <v>1105</v>
      </c>
      <c r="K623" s="17">
        <v>0</v>
      </c>
      <c r="L623" s="59">
        <v>1</v>
      </c>
      <c r="M623" s="5" t="s">
        <v>2558</v>
      </c>
      <c r="N623" s="5" t="s">
        <v>2630</v>
      </c>
      <c r="P623" s="22">
        <v>929</v>
      </c>
      <c r="Q623" s="22" t="s">
        <v>1106</v>
      </c>
      <c r="R623" s="17">
        <v>1</v>
      </c>
      <c r="S623" s="17">
        <v>0</v>
      </c>
      <c r="T623" s="17">
        <v>0</v>
      </c>
      <c r="U623" s="17">
        <v>1</v>
      </c>
      <c r="V623" s="17">
        <v>1</v>
      </c>
      <c r="W623" s="17">
        <v>52</v>
      </c>
      <c r="X623" s="17">
        <v>5</v>
      </c>
      <c r="Y623" s="17">
        <v>2</v>
      </c>
      <c r="Z623" s="6">
        <f t="shared" si="65"/>
        <v>59</v>
      </c>
      <c r="AA623" s="11">
        <f t="shared" si="66"/>
        <v>0.88135593220338981</v>
      </c>
      <c r="AB623" s="11">
        <f t="shared" si="67"/>
        <v>8.4745762711864403E-2</v>
      </c>
      <c r="AC623" s="66">
        <f t="shared" si="68"/>
        <v>0.88135593220338981</v>
      </c>
      <c r="AD623" s="67">
        <f t="shared" si="69"/>
        <v>0.82203389830508478</v>
      </c>
    </row>
    <row r="624" spans="1:33" ht="14.5" customHeight="1" x14ac:dyDescent="0.2">
      <c r="A624" s="21" t="s">
        <v>2972</v>
      </c>
      <c r="B624" s="17">
        <v>0</v>
      </c>
      <c r="C624" s="17">
        <v>0</v>
      </c>
      <c r="D624" s="8" t="s">
        <v>1097</v>
      </c>
      <c r="E624" s="8" t="s">
        <v>1098</v>
      </c>
      <c r="F624" s="17">
        <f t="shared" si="70"/>
        <v>1995</v>
      </c>
      <c r="G624" s="18">
        <v>35053</v>
      </c>
      <c r="H624" s="12" t="s">
        <v>2980</v>
      </c>
      <c r="I624" s="4">
        <v>0</v>
      </c>
      <c r="J624" s="22" t="s">
        <v>1107</v>
      </c>
      <c r="K624" s="17">
        <v>0</v>
      </c>
      <c r="L624" s="59">
        <v>1</v>
      </c>
      <c r="M624" s="22" t="s">
        <v>2564</v>
      </c>
      <c r="N624" s="22" t="s">
        <v>2630</v>
      </c>
      <c r="P624" s="22" t="s">
        <v>1108</v>
      </c>
      <c r="Q624" s="22" t="s">
        <v>1109</v>
      </c>
      <c r="R624" s="17">
        <v>1</v>
      </c>
      <c r="S624" s="17">
        <v>0</v>
      </c>
      <c r="T624" s="17">
        <v>0</v>
      </c>
      <c r="U624" s="17">
        <v>1</v>
      </c>
      <c r="V624" s="17">
        <v>0</v>
      </c>
      <c r="W624" s="17">
        <v>67</v>
      </c>
      <c r="X624" s="17">
        <v>6</v>
      </c>
      <c r="Y624" s="17">
        <v>8</v>
      </c>
      <c r="Z624" s="6">
        <f t="shared" si="65"/>
        <v>81</v>
      </c>
      <c r="AA624" s="11">
        <f t="shared" si="66"/>
        <v>0.8271604938271605</v>
      </c>
      <c r="AB624" s="11">
        <f t="shared" si="67"/>
        <v>7.407407407407407E-2</v>
      </c>
      <c r="AC624" s="66">
        <f t="shared" si="68"/>
        <v>0.8271604938271605</v>
      </c>
      <c r="AD624" s="67">
        <f t="shared" si="69"/>
        <v>0.7407407407407407</v>
      </c>
    </row>
    <row r="625" spans="1:30" ht="14.5" customHeight="1" x14ac:dyDescent="0.2">
      <c r="A625" s="21" t="s">
        <v>2972</v>
      </c>
      <c r="B625" s="17">
        <v>0</v>
      </c>
      <c r="C625" s="17">
        <v>0</v>
      </c>
      <c r="D625" s="22" t="s">
        <v>1110</v>
      </c>
      <c r="E625" s="22" t="s">
        <v>1098</v>
      </c>
      <c r="F625" s="17">
        <f t="shared" si="70"/>
        <v>1996</v>
      </c>
      <c r="G625" s="18">
        <v>35220</v>
      </c>
      <c r="H625" s="12" t="s">
        <v>2980</v>
      </c>
      <c r="I625" s="4">
        <v>0</v>
      </c>
      <c r="J625" s="22" t="s">
        <v>1111</v>
      </c>
      <c r="K625" s="17">
        <v>0</v>
      </c>
      <c r="L625" s="59">
        <v>1</v>
      </c>
      <c r="M625" s="22" t="s">
        <v>2564</v>
      </c>
      <c r="N625" s="22" t="s">
        <v>2630</v>
      </c>
      <c r="P625" s="22" t="s">
        <v>1112</v>
      </c>
      <c r="Q625" s="22" t="s">
        <v>1113</v>
      </c>
      <c r="R625" s="17">
        <v>1</v>
      </c>
      <c r="S625" s="17">
        <v>0</v>
      </c>
      <c r="T625" s="17">
        <v>0</v>
      </c>
      <c r="U625" s="17">
        <v>1</v>
      </c>
      <c r="V625" s="17">
        <v>1</v>
      </c>
      <c r="W625" s="17">
        <v>46</v>
      </c>
      <c r="X625" s="17">
        <v>7</v>
      </c>
      <c r="Y625" s="17">
        <v>7</v>
      </c>
      <c r="Z625" s="6">
        <f t="shared" si="65"/>
        <v>60</v>
      </c>
      <c r="AA625" s="11">
        <f t="shared" si="66"/>
        <v>0.76666666666666672</v>
      </c>
      <c r="AB625" s="11">
        <f t="shared" si="67"/>
        <v>0.11666666666666667</v>
      </c>
      <c r="AC625" s="66">
        <f t="shared" si="68"/>
        <v>0.76666666666666672</v>
      </c>
      <c r="AD625" s="67">
        <f t="shared" si="69"/>
        <v>0.65</v>
      </c>
    </row>
    <row r="626" spans="1:30" ht="14.5" customHeight="1" x14ac:dyDescent="0.2">
      <c r="A626" s="21" t="s">
        <v>2972</v>
      </c>
      <c r="B626" s="17">
        <v>0</v>
      </c>
      <c r="C626" s="17">
        <v>0</v>
      </c>
      <c r="D626" s="22" t="s">
        <v>1114</v>
      </c>
      <c r="E626" s="22" t="s">
        <v>1115</v>
      </c>
      <c r="F626" s="17">
        <f t="shared" si="70"/>
        <v>1997</v>
      </c>
      <c r="G626" s="18">
        <v>35444</v>
      </c>
      <c r="H626" s="12" t="s">
        <v>2980</v>
      </c>
      <c r="I626" s="4">
        <v>0</v>
      </c>
      <c r="J626" s="22" t="s">
        <v>1116</v>
      </c>
      <c r="K626" s="17">
        <v>0</v>
      </c>
      <c r="L626" s="59">
        <v>1</v>
      </c>
      <c r="M626" s="22" t="s">
        <v>2559</v>
      </c>
      <c r="N626" s="22" t="s">
        <v>2630</v>
      </c>
      <c r="P626" s="22" t="s">
        <v>1117</v>
      </c>
      <c r="Q626" s="22" t="s">
        <v>1118</v>
      </c>
      <c r="R626" s="17">
        <v>1</v>
      </c>
      <c r="S626" s="17">
        <v>0</v>
      </c>
      <c r="T626" s="17">
        <v>0</v>
      </c>
      <c r="U626" s="17">
        <v>1</v>
      </c>
      <c r="V626" s="17">
        <v>0</v>
      </c>
      <c r="W626" s="17">
        <v>76</v>
      </c>
      <c r="X626" s="17">
        <v>1</v>
      </c>
      <c r="Y626" s="17">
        <v>2</v>
      </c>
      <c r="Z626" s="6">
        <f t="shared" si="65"/>
        <v>79</v>
      </c>
      <c r="AA626" s="11">
        <f t="shared" si="66"/>
        <v>0.96202531645569622</v>
      </c>
      <c r="AB626" s="11">
        <f t="shared" si="67"/>
        <v>1.2658227848101266E-2</v>
      </c>
      <c r="AC626" s="66">
        <f t="shared" si="68"/>
        <v>0.96202531645569622</v>
      </c>
      <c r="AD626" s="67">
        <f t="shared" si="69"/>
        <v>0.94303797468354433</v>
      </c>
    </row>
    <row r="627" spans="1:30" ht="14.5" customHeight="1" x14ac:dyDescent="0.2">
      <c r="A627" s="21" t="s">
        <v>2972</v>
      </c>
      <c r="B627" s="17">
        <v>0</v>
      </c>
      <c r="C627" s="17">
        <v>0</v>
      </c>
      <c r="D627" s="22" t="s">
        <v>1114</v>
      </c>
      <c r="E627" s="22" t="s">
        <v>1115</v>
      </c>
      <c r="F627" s="17">
        <f t="shared" si="70"/>
        <v>1997</v>
      </c>
      <c r="G627" s="18">
        <v>35479</v>
      </c>
      <c r="H627" s="12" t="s">
        <v>2980</v>
      </c>
      <c r="I627" s="4">
        <v>0</v>
      </c>
      <c r="J627" s="22" t="s">
        <v>1119</v>
      </c>
      <c r="K627" s="17">
        <v>0</v>
      </c>
      <c r="L627" s="59">
        <v>1</v>
      </c>
      <c r="M627" s="22" t="s">
        <v>2559</v>
      </c>
      <c r="N627" s="22" t="s">
        <v>2630</v>
      </c>
      <c r="P627" s="22" t="s">
        <v>1120</v>
      </c>
      <c r="Q627" s="22" t="s">
        <v>1121</v>
      </c>
      <c r="R627" s="17">
        <v>1</v>
      </c>
      <c r="S627" s="17">
        <v>0</v>
      </c>
      <c r="T627" s="17">
        <v>0</v>
      </c>
      <c r="U627" s="17">
        <v>1</v>
      </c>
      <c r="V627" s="17">
        <v>1</v>
      </c>
      <c r="W627" s="17">
        <v>56</v>
      </c>
      <c r="X627" s="17">
        <v>0</v>
      </c>
      <c r="Y627" s="17">
        <v>0</v>
      </c>
      <c r="Z627" s="6">
        <f t="shared" si="65"/>
        <v>56</v>
      </c>
      <c r="AA627" s="11">
        <f t="shared" si="66"/>
        <v>1</v>
      </c>
      <c r="AB627" s="11">
        <f t="shared" si="67"/>
        <v>0</v>
      </c>
      <c r="AC627" s="66">
        <f t="shared" si="68"/>
        <v>1</v>
      </c>
      <c r="AD627" s="67">
        <f t="shared" si="69"/>
        <v>1</v>
      </c>
    </row>
    <row r="628" spans="1:30" ht="14.5" customHeight="1" x14ac:dyDescent="0.2">
      <c r="A628" s="21" t="s">
        <v>2972</v>
      </c>
      <c r="B628" s="17">
        <v>0</v>
      </c>
      <c r="C628" s="17">
        <v>0</v>
      </c>
      <c r="D628" s="22" t="s">
        <v>1114</v>
      </c>
      <c r="E628" s="22" t="s">
        <v>1115</v>
      </c>
      <c r="F628" s="17">
        <f t="shared" si="70"/>
        <v>1997</v>
      </c>
      <c r="G628" s="18">
        <v>35696</v>
      </c>
      <c r="H628" s="12" t="s">
        <v>2980</v>
      </c>
      <c r="I628" s="4">
        <v>0</v>
      </c>
      <c r="J628" s="22" t="s">
        <v>1122</v>
      </c>
      <c r="K628" s="17">
        <v>0</v>
      </c>
      <c r="L628" s="59">
        <v>1</v>
      </c>
      <c r="M628" s="22" t="s">
        <v>2559</v>
      </c>
      <c r="N628" s="22" t="s">
        <v>2630</v>
      </c>
      <c r="P628" s="22" t="s">
        <v>1123</v>
      </c>
      <c r="Q628" s="22" t="s">
        <v>1121</v>
      </c>
      <c r="R628" s="17">
        <v>1</v>
      </c>
      <c r="S628" s="17">
        <v>0</v>
      </c>
      <c r="T628" s="17">
        <v>0</v>
      </c>
      <c r="U628" s="17">
        <v>1</v>
      </c>
      <c r="V628" s="17">
        <v>1</v>
      </c>
      <c r="W628" s="17">
        <v>66</v>
      </c>
      <c r="X628" s="17">
        <v>1</v>
      </c>
      <c r="Y628" s="17">
        <v>3</v>
      </c>
      <c r="Z628" s="6">
        <f t="shared" si="65"/>
        <v>70</v>
      </c>
      <c r="AA628" s="11">
        <f t="shared" si="66"/>
        <v>0.94285714285714284</v>
      </c>
      <c r="AB628" s="11">
        <f t="shared" si="67"/>
        <v>1.4285714285714285E-2</v>
      </c>
      <c r="AC628" s="66">
        <f t="shared" si="68"/>
        <v>0.94285714285714284</v>
      </c>
      <c r="AD628" s="67">
        <f t="shared" si="69"/>
        <v>0.91428571428571426</v>
      </c>
    </row>
    <row r="629" spans="1:30" ht="14.5" customHeight="1" x14ac:dyDescent="0.2">
      <c r="A629" s="21" t="s">
        <v>2972</v>
      </c>
      <c r="B629" s="17">
        <v>0</v>
      </c>
      <c r="C629" s="17">
        <v>0</v>
      </c>
      <c r="D629" s="22" t="s">
        <v>1114</v>
      </c>
      <c r="E629" s="22" t="s">
        <v>1115</v>
      </c>
      <c r="F629" s="17">
        <f t="shared" si="70"/>
        <v>1998</v>
      </c>
      <c r="G629" s="18">
        <v>35850</v>
      </c>
      <c r="H629" s="12" t="s">
        <v>2980</v>
      </c>
      <c r="I629" s="4">
        <v>0</v>
      </c>
      <c r="J629" s="22" t="s">
        <v>1124</v>
      </c>
      <c r="K629" s="17">
        <v>0</v>
      </c>
      <c r="L629" s="59">
        <v>1</v>
      </c>
      <c r="M629" s="22" t="s">
        <v>2559</v>
      </c>
      <c r="N629" s="22" t="s">
        <v>2630</v>
      </c>
      <c r="P629" s="22" t="s">
        <v>1125</v>
      </c>
      <c r="Q629" s="22" t="s">
        <v>1126</v>
      </c>
      <c r="R629" s="17">
        <v>1</v>
      </c>
      <c r="S629" s="17">
        <v>0</v>
      </c>
      <c r="T629" s="17">
        <v>0</v>
      </c>
      <c r="U629" s="17">
        <v>1</v>
      </c>
      <c r="V629" s="17">
        <v>1</v>
      </c>
      <c r="W629" s="17">
        <v>69</v>
      </c>
      <c r="X629" s="17">
        <v>3</v>
      </c>
      <c r="Y629" s="17">
        <v>1</v>
      </c>
      <c r="Z629" s="6">
        <f t="shared" si="65"/>
        <v>73</v>
      </c>
      <c r="AA629" s="11">
        <f t="shared" si="66"/>
        <v>0.9452054794520548</v>
      </c>
      <c r="AB629" s="11">
        <f t="shared" si="67"/>
        <v>4.1095890410958902E-2</v>
      </c>
      <c r="AC629" s="66">
        <f t="shared" si="68"/>
        <v>0.9452054794520548</v>
      </c>
      <c r="AD629" s="67">
        <f t="shared" si="69"/>
        <v>0.9178082191780822</v>
      </c>
    </row>
    <row r="630" spans="1:30" ht="14.5" customHeight="1" x14ac:dyDescent="0.2">
      <c r="A630" s="21" t="s">
        <v>2972</v>
      </c>
      <c r="B630" s="17">
        <v>0</v>
      </c>
      <c r="C630" s="17">
        <v>0</v>
      </c>
      <c r="D630" s="22" t="s">
        <v>1127</v>
      </c>
      <c r="E630" s="22" t="s">
        <v>1115</v>
      </c>
      <c r="F630" s="17">
        <f t="shared" si="70"/>
        <v>1998</v>
      </c>
      <c r="G630" s="18">
        <v>36081</v>
      </c>
      <c r="H630" s="12" t="s">
        <v>2980</v>
      </c>
      <c r="I630" s="4">
        <v>0</v>
      </c>
      <c r="J630" s="22" t="s">
        <v>1128</v>
      </c>
      <c r="K630" s="17">
        <v>0</v>
      </c>
      <c r="L630" s="59">
        <v>1</v>
      </c>
      <c r="M630" s="22" t="s">
        <v>2559</v>
      </c>
      <c r="N630" s="22" t="s">
        <v>2630</v>
      </c>
      <c r="P630" s="22" t="s">
        <v>1129</v>
      </c>
      <c r="Q630" s="22" t="s">
        <v>1130</v>
      </c>
      <c r="R630" s="17">
        <v>1</v>
      </c>
      <c r="S630" s="17">
        <v>0</v>
      </c>
      <c r="T630" s="17">
        <v>0</v>
      </c>
      <c r="U630" s="17">
        <v>1</v>
      </c>
      <c r="V630" s="17">
        <v>1</v>
      </c>
      <c r="W630" s="17">
        <v>74</v>
      </c>
      <c r="X630" s="17">
        <v>0</v>
      </c>
      <c r="Y630" s="17">
        <v>3</v>
      </c>
      <c r="Z630" s="6">
        <f t="shared" si="65"/>
        <v>77</v>
      </c>
      <c r="AA630" s="11">
        <f t="shared" si="66"/>
        <v>0.96103896103896103</v>
      </c>
      <c r="AB630" s="11">
        <f t="shared" si="67"/>
        <v>0</v>
      </c>
      <c r="AC630" s="66">
        <f t="shared" si="68"/>
        <v>0.96103896103896103</v>
      </c>
      <c r="AD630" s="67">
        <f t="shared" si="69"/>
        <v>0.94155844155844159</v>
      </c>
    </row>
    <row r="631" spans="1:30" ht="14.5" customHeight="1" x14ac:dyDescent="0.2">
      <c r="A631" s="21" t="s">
        <v>2972</v>
      </c>
      <c r="B631" s="17">
        <v>0</v>
      </c>
      <c r="C631" s="17">
        <v>0</v>
      </c>
      <c r="D631" s="22" t="s">
        <v>1127</v>
      </c>
      <c r="E631" s="22" t="s">
        <v>1115</v>
      </c>
      <c r="F631" s="17">
        <f t="shared" si="70"/>
        <v>1999</v>
      </c>
      <c r="G631" s="18">
        <v>36256</v>
      </c>
      <c r="H631" s="12" t="s">
        <v>2980</v>
      </c>
      <c r="I631" s="4">
        <v>0</v>
      </c>
      <c r="J631" s="22" t="s">
        <v>1131</v>
      </c>
      <c r="K631" s="17">
        <v>0</v>
      </c>
      <c r="L631" s="59">
        <v>1</v>
      </c>
      <c r="M631" s="22" t="s">
        <v>2559</v>
      </c>
      <c r="N631" s="22" t="s">
        <v>2630</v>
      </c>
      <c r="P631" s="22" t="s">
        <v>1132</v>
      </c>
      <c r="Q631" s="22" t="s">
        <v>1133</v>
      </c>
      <c r="R631" s="17">
        <v>1</v>
      </c>
      <c r="S631" s="17">
        <v>0</v>
      </c>
      <c r="T631" s="17">
        <v>0</v>
      </c>
      <c r="U631" s="17">
        <v>1</v>
      </c>
      <c r="V631" s="17">
        <v>1</v>
      </c>
      <c r="W631" s="17">
        <v>60</v>
      </c>
      <c r="X631" s="17">
        <v>4</v>
      </c>
      <c r="Y631" s="17">
        <v>17</v>
      </c>
      <c r="Z631" s="6">
        <f t="shared" si="65"/>
        <v>81</v>
      </c>
      <c r="AA631" s="11">
        <f t="shared" si="66"/>
        <v>0.7407407407407407</v>
      </c>
      <c r="AB631" s="11">
        <f t="shared" si="67"/>
        <v>4.9382716049382713E-2</v>
      </c>
      <c r="AC631" s="66">
        <f t="shared" si="68"/>
        <v>0.7407407407407407</v>
      </c>
      <c r="AD631" s="67">
        <f t="shared" si="69"/>
        <v>0.61111111111111116</v>
      </c>
    </row>
    <row r="632" spans="1:30" ht="14.5" customHeight="1" x14ac:dyDescent="0.2">
      <c r="A632" s="21" t="s">
        <v>2972</v>
      </c>
      <c r="B632" s="17">
        <v>0</v>
      </c>
      <c r="C632" s="17">
        <v>0</v>
      </c>
      <c r="D632" s="22" t="s">
        <v>1127</v>
      </c>
      <c r="E632" s="22" t="s">
        <v>1115</v>
      </c>
      <c r="F632" s="17">
        <f t="shared" si="70"/>
        <v>1999</v>
      </c>
      <c r="G632" s="18">
        <v>36272</v>
      </c>
      <c r="H632" s="12" t="s">
        <v>2980</v>
      </c>
      <c r="I632" s="4">
        <v>0</v>
      </c>
      <c r="J632" s="22" t="s">
        <v>1134</v>
      </c>
      <c r="K632" s="17">
        <v>0</v>
      </c>
      <c r="L632" s="59">
        <v>1</v>
      </c>
      <c r="M632" t="s">
        <v>109</v>
      </c>
      <c r="N632" s="22" t="s">
        <v>2630</v>
      </c>
      <c r="P632" s="22" t="s">
        <v>1135</v>
      </c>
      <c r="Q632" s="22" t="s">
        <v>1136</v>
      </c>
      <c r="R632" s="17">
        <v>1</v>
      </c>
      <c r="S632" s="17">
        <v>0</v>
      </c>
      <c r="T632" s="17">
        <v>0</v>
      </c>
      <c r="U632" s="17">
        <v>1</v>
      </c>
      <c r="V632" s="17">
        <v>0</v>
      </c>
      <c r="W632" s="17">
        <v>50</v>
      </c>
      <c r="X632" s="17">
        <v>0</v>
      </c>
      <c r="Y632" s="17">
        <v>1</v>
      </c>
      <c r="Z632" s="6">
        <f t="shared" si="65"/>
        <v>51</v>
      </c>
      <c r="AA632" s="11">
        <f t="shared" si="66"/>
        <v>0.98039215686274506</v>
      </c>
      <c r="AB632" s="11">
        <f t="shared" si="67"/>
        <v>0</v>
      </c>
      <c r="AC632" s="66">
        <f t="shared" si="68"/>
        <v>0.98039215686274506</v>
      </c>
      <c r="AD632" s="67">
        <f t="shared" si="69"/>
        <v>0.97058823529411764</v>
      </c>
    </row>
    <row r="633" spans="1:30" ht="15" customHeight="1" x14ac:dyDescent="0.2">
      <c r="A633" s="21" t="s">
        <v>2972</v>
      </c>
      <c r="B633" s="17">
        <v>0</v>
      </c>
      <c r="C633" s="17">
        <v>0</v>
      </c>
      <c r="D633" s="22" t="s">
        <v>1137</v>
      </c>
      <c r="E633" s="22" t="s">
        <v>1138</v>
      </c>
      <c r="F633" s="17">
        <f t="shared" si="70"/>
        <v>1999</v>
      </c>
      <c r="G633" s="18">
        <v>36340</v>
      </c>
      <c r="H633" s="12" t="s">
        <v>2980</v>
      </c>
      <c r="I633" s="4">
        <v>0</v>
      </c>
      <c r="J633" s="22" t="s">
        <v>1139</v>
      </c>
      <c r="K633" s="17">
        <v>0</v>
      </c>
      <c r="L633" s="59">
        <v>1</v>
      </c>
      <c r="M633" s="22" t="s">
        <v>165</v>
      </c>
      <c r="N633" s="24" t="s">
        <v>2630</v>
      </c>
      <c r="O633" s="22" t="s">
        <v>1140</v>
      </c>
      <c r="P633" s="22" t="s">
        <v>1141</v>
      </c>
      <c r="Q633" s="22" t="s">
        <v>1142</v>
      </c>
      <c r="R633" s="17">
        <v>1</v>
      </c>
      <c r="S633" s="17">
        <v>0</v>
      </c>
      <c r="T633" s="17">
        <v>0</v>
      </c>
      <c r="U633" s="17">
        <v>1</v>
      </c>
      <c r="V633" s="17">
        <v>0</v>
      </c>
      <c r="W633" s="17">
        <v>60</v>
      </c>
      <c r="X633" s="17">
        <v>2</v>
      </c>
      <c r="Y633" s="17">
        <v>7</v>
      </c>
      <c r="Z633" s="6">
        <f t="shared" si="65"/>
        <v>69</v>
      </c>
      <c r="AA633" s="11">
        <f t="shared" si="66"/>
        <v>0.86956521739130432</v>
      </c>
      <c r="AB633" s="11">
        <f t="shared" si="67"/>
        <v>2.8985507246376812E-2</v>
      </c>
      <c r="AC633" s="66">
        <f t="shared" si="68"/>
        <v>0.86956521739130432</v>
      </c>
      <c r="AD633" s="67">
        <f t="shared" si="69"/>
        <v>0.80434782608695654</v>
      </c>
    </row>
    <row r="634" spans="1:30" ht="15" customHeight="1" x14ac:dyDescent="0.2">
      <c r="A634" s="21" t="s">
        <v>2972</v>
      </c>
      <c r="B634" s="17">
        <v>0</v>
      </c>
      <c r="C634" s="17">
        <v>0</v>
      </c>
      <c r="D634" s="22" t="s">
        <v>1137</v>
      </c>
      <c r="E634" s="22" t="s">
        <v>1138</v>
      </c>
      <c r="F634" s="17">
        <f t="shared" si="70"/>
        <v>1999</v>
      </c>
      <c r="G634" s="18">
        <v>36447</v>
      </c>
      <c r="H634" s="12" t="s">
        <v>2980</v>
      </c>
      <c r="I634" s="4">
        <v>0</v>
      </c>
      <c r="J634" s="22" t="s">
        <v>1143</v>
      </c>
      <c r="K634" s="17">
        <v>0</v>
      </c>
      <c r="L634" s="59">
        <v>1</v>
      </c>
      <c r="M634" s="22" t="s">
        <v>165</v>
      </c>
      <c r="N634" s="24" t="s">
        <v>2630</v>
      </c>
      <c r="P634" s="22" t="s">
        <v>1144</v>
      </c>
      <c r="Q634" s="22" t="s">
        <v>1145</v>
      </c>
      <c r="R634" s="17">
        <v>1</v>
      </c>
      <c r="S634" s="17">
        <v>0</v>
      </c>
      <c r="T634" s="17">
        <v>0</v>
      </c>
      <c r="U634" s="17">
        <v>1</v>
      </c>
      <c r="V634" s="17">
        <v>1</v>
      </c>
      <c r="W634" s="17">
        <v>46</v>
      </c>
      <c r="X634" s="17">
        <v>0</v>
      </c>
      <c r="Y634" s="17">
        <v>3</v>
      </c>
      <c r="Z634" s="6">
        <f t="shared" si="65"/>
        <v>49</v>
      </c>
      <c r="AA634" s="11">
        <f t="shared" si="66"/>
        <v>0.93877551020408168</v>
      </c>
      <c r="AB634" s="11">
        <f t="shared" si="67"/>
        <v>0</v>
      </c>
      <c r="AC634" s="66">
        <f t="shared" si="68"/>
        <v>0.93877551020408168</v>
      </c>
      <c r="AD634" s="67">
        <f t="shared" si="69"/>
        <v>0.90816326530612246</v>
      </c>
    </row>
    <row r="635" spans="1:30" ht="13.5" customHeight="1" x14ac:dyDescent="0.2">
      <c r="A635" s="21" t="s">
        <v>2972</v>
      </c>
      <c r="B635" s="17">
        <v>0</v>
      </c>
      <c r="C635" s="17">
        <v>0</v>
      </c>
      <c r="D635" s="22" t="s">
        <v>1137</v>
      </c>
      <c r="E635" s="22" t="s">
        <v>1138</v>
      </c>
      <c r="F635" s="17">
        <f t="shared" si="70"/>
        <v>1999</v>
      </c>
      <c r="G635" s="18">
        <v>36461</v>
      </c>
      <c r="H635" s="12" t="s">
        <v>2980</v>
      </c>
      <c r="I635" s="4">
        <v>0</v>
      </c>
      <c r="J635" s="22" t="s">
        <v>1128</v>
      </c>
      <c r="K635" s="17">
        <v>0</v>
      </c>
      <c r="L635" s="59">
        <v>1</v>
      </c>
      <c r="M635" s="22" t="s">
        <v>2559</v>
      </c>
      <c r="N635" s="22" t="s">
        <v>2630</v>
      </c>
      <c r="P635" s="22" t="s">
        <v>1146</v>
      </c>
      <c r="Q635" s="22" t="s">
        <v>1147</v>
      </c>
      <c r="R635" s="17">
        <v>1</v>
      </c>
      <c r="S635" s="17">
        <v>0</v>
      </c>
      <c r="T635" s="17">
        <v>0</v>
      </c>
      <c r="U635" s="17">
        <v>1</v>
      </c>
      <c r="V635" s="17">
        <v>1</v>
      </c>
      <c r="W635" s="17">
        <v>51</v>
      </c>
      <c r="X635" s="17">
        <v>1</v>
      </c>
      <c r="Y635" s="17">
        <v>2</v>
      </c>
      <c r="Z635" s="6">
        <f t="shared" si="65"/>
        <v>54</v>
      </c>
      <c r="AA635" s="11">
        <f t="shared" si="66"/>
        <v>0.94444444444444442</v>
      </c>
      <c r="AB635" s="11">
        <f t="shared" si="67"/>
        <v>1.8518518518518517E-2</v>
      </c>
      <c r="AC635" s="66">
        <f t="shared" si="68"/>
        <v>0.94444444444444442</v>
      </c>
      <c r="AD635" s="67">
        <f t="shared" si="69"/>
        <v>0.91666666666666663</v>
      </c>
    </row>
    <row r="636" spans="1:30" ht="13.5" customHeight="1" x14ac:dyDescent="0.2">
      <c r="A636" s="21" t="s">
        <v>2972</v>
      </c>
      <c r="B636" s="17">
        <v>0</v>
      </c>
      <c r="C636" s="17">
        <v>0</v>
      </c>
      <c r="D636" s="22" t="s">
        <v>1148</v>
      </c>
      <c r="E636" s="22" t="s">
        <v>1138</v>
      </c>
      <c r="F636" s="17">
        <f t="shared" si="70"/>
        <v>2000</v>
      </c>
      <c r="G636" s="18">
        <v>36613</v>
      </c>
      <c r="H636" s="12" t="s">
        <v>2980</v>
      </c>
      <c r="I636" s="4">
        <v>0</v>
      </c>
      <c r="J636" s="22" t="s">
        <v>1143</v>
      </c>
      <c r="K636" s="17">
        <v>0</v>
      </c>
      <c r="L636" s="59">
        <v>1</v>
      </c>
      <c r="M636" s="22" t="s">
        <v>165</v>
      </c>
      <c r="N636" s="24" t="s">
        <v>2630</v>
      </c>
      <c r="P636" s="22" t="s">
        <v>1152</v>
      </c>
      <c r="Q636" s="22" t="s">
        <v>1153</v>
      </c>
      <c r="R636" s="17">
        <v>1</v>
      </c>
      <c r="S636" s="17">
        <v>0</v>
      </c>
      <c r="T636" s="17">
        <v>0</v>
      </c>
      <c r="U636" s="17">
        <v>1</v>
      </c>
      <c r="V636" s="17">
        <v>1</v>
      </c>
      <c r="W636" s="17">
        <v>47</v>
      </c>
      <c r="X636" s="17">
        <v>0</v>
      </c>
      <c r="Y636" s="17">
        <v>3</v>
      </c>
      <c r="Z636" s="6">
        <f t="shared" si="65"/>
        <v>50</v>
      </c>
      <c r="AA636" s="11">
        <f t="shared" si="66"/>
        <v>0.94</v>
      </c>
      <c r="AB636" s="11">
        <f t="shared" si="67"/>
        <v>0</v>
      </c>
      <c r="AC636" s="66">
        <f t="shared" si="68"/>
        <v>0.94</v>
      </c>
      <c r="AD636" s="67">
        <f t="shared" si="69"/>
        <v>0.91</v>
      </c>
    </row>
    <row r="637" spans="1:30" ht="13.5" customHeight="1" x14ac:dyDescent="0.2">
      <c r="A637" s="21" t="s">
        <v>2972</v>
      </c>
      <c r="B637" s="17">
        <v>0</v>
      </c>
      <c r="C637" s="17">
        <v>0</v>
      </c>
      <c r="D637" s="22" t="s">
        <v>1148</v>
      </c>
      <c r="E637" s="22" t="s">
        <v>1138</v>
      </c>
      <c r="F637" s="17">
        <f t="shared" si="70"/>
        <v>2000</v>
      </c>
      <c r="G637" s="18">
        <v>36613</v>
      </c>
      <c r="H637" s="12" t="s">
        <v>2980</v>
      </c>
      <c r="I637" s="4">
        <v>0</v>
      </c>
      <c r="J637" s="22" t="s">
        <v>1149</v>
      </c>
      <c r="K637" s="17">
        <v>0</v>
      </c>
      <c r="L637" s="59">
        <v>1</v>
      </c>
      <c r="M637" s="22" t="s">
        <v>2559</v>
      </c>
      <c r="N637" s="22" t="s">
        <v>2630</v>
      </c>
      <c r="P637" s="22" t="s">
        <v>1150</v>
      </c>
      <c r="Q637" s="22" t="s">
        <v>1151</v>
      </c>
      <c r="R637" s="17">
        <v>1</v>
      </c>
      <c r="S637" s="17">
        <v>0</v>
      </c>
      <c r="T637" s="17">
        <v>0</v>
      </c>
      <c r="U637" s="17">
        <v>1</v>
      </c>
      <c r="V637" s="17">
        <v>1</v>
      </c>
      <c r="W637" s="17">
        <v>42</v>
      </c>
      <c r="X637" s="17">
        <v>0</v>
      </c>
      <c r="Y637" s="17">
        <v>4</v>
      </c>
      <c r="Z637" s="6">
        <f t="shared" si="65"/>
        <v>46</v>
      </c>
      <c r="AA637" s="11">
        <f t="shared" si="66"/>
        <v>0.91304347826086951</v>
      </c>
      <c r="AB637" s="11">
        <f t="shared" si="67"/>
        <v>0</v>
      </c>
      <c r="AC637" s="66">
        <f t="shared" si="68"/>
        <v>0.91304347826086951</v>
      </c>
      <c r="AD637" s="67">
        <f t="shared" si="69"/>
        <v>0.86956521739130432</v>
      </c>
    </row>
    <row r="638" spans="1:30" ht="13.5" customHeight="1" x14ac:dyDescent="0.2">
      <c r="A638" s="21" t="s">
        <v>2972</v>
      </c>
      <c r="B638" s="17">
        <v>0</v>
      </c>
      <c r="C638" s="17">
        <v>0</v>
      </c>
      <c r="D638" s="22" t="s">
        <v>1154</v>
      </c>
      <c r="E638" s="22" t="s">
        <v>1155</v>
      </c>
      <c r="F638" s="17">
        <f t="shared" si="70"/>
        <v>2000</v>
      </c>
      <c r="G638" s="18">
        <v>36851</v>
      </c>
      <c r="H638" s="12" t="s">
        <v>2980</v>
      </c>
      <c r="I638" s="4">
        <v>0</v>
      </c>
      <c r="J638" s="22" t="s">
        <v>1156</v>
      </c>
      <c r="K638" s="17">
        <v>0</v>
      </c>
      <c r="L638" s="59">
        <v>1</v>
      </c>
      <c r="M638" s="22" t="s">
        <v>2559</v>
      </c>
      <c r="N638" s="22" t="s">
        <v>2630</v>
      </c>
      <c r="P638" s="22" t="s">
        <v>1157</v>
      </c>
      <c r="Q638" s="22" t="s">
        <v>1158</v>
      </c>
      <c r="R638" s="17">
        <v>1</v>
      </c>
      <c r="S638" s="17">
        <v>0</v>
      </c>
      <c r="T638" s="17">
        <v>0</v>
      </c>
      <c r="U638" s="17">
        <v>1</v>
      </c>
      <c r="V638" s="17">
        <v>1</v>
      </c>
      <c r="W638" s="17">
        <v>47</v>
      </c>
      <c r="X638" s="17">
        <v>18</v>
      </c>
      <c r="Y638" s="17">
        <v>16</v>
      </c>
      <c r="Z638" s="6">
        <f t="shared" si="65"/>
        <v>81</v>
      </c>
      <c r="AA638" s="11">
        <f t="shared" si="66"/>
        <v>0.58024691358024694</v>
      </c>
      <c r="AB638" s="11">
        <f t="shared" si="67"/>
        <v>0.22222222222222221</v>
      </c>
      <c r="AC638" s="66">
        <f t="shared" si="68"/>
        <v>0.58024691358024694</v>
      </c>
      <c r="AD638" s="67">
        <f t="shared" si="69"/>
        <v>0.37037037037037035</v>
      </c>
    </row>
    <row r="639" spans="1:30" ht="14.5" customHeight="1" x14ac:dyDescent="0.2">
      <c r="A639" s="21" t="s">
        <v>2972</v>
      </c>
      <c r="B639" s="17">
        <v>0</v>
      </c>
      <c r="C639" s="17">
        <v>0</v>
      </c>
      <c r="D639" s="22" t="s">
        <v>1154</v>
      </c>
      <c r="E639" s="22" t="s">
        <v>1155</v>
      </c>
      <c r="F639" s="17">
        <f t="shared" si="70"/>
        <v>2000</v>
      </c>
      <c r="G639" s="18">
        <v>36853</v>
      </c>
      <c r="H639" s="12" t="s">
        <v>2980</v>
      </c>
      <c r="I639" s="4">
        <v>0</v>
      </c>
      <c r="J639" s="22" t="s">
        <v>1143</v>
      </c>
      <c r="K639" s="17">
        <v>0</v>
      </c>
      <c r="L639" s="59">
        <v>1</v>
      </c>
      <c r="M639" s="22" t="s">
        <v>165</v>
      </c>
      <c r="N639" s="24" t="s">
        <v>2630</v>
      </c>
      <c r="P639" s="22" t="s">
        <v>1159</v>
      </c>
      <c r="Q639" s="22" t="s">
        <v>1160</v>
      </c>
      <c r="R639" s="17">
        <v>1</v>
      </c>
      <c r="S639" s="17">
        <v>0</v>
      </c>
      <c r="T639" s="17">
        <v>0</v>
      </c>
      <c r="U639" s="17">
        <v>1</v>
      </c>
      <c r="V639" s="17">
        <v>1</v>
      </c>
      <c r="W639" s="17">
        <v>64</v>
      </c>
      <c r="X639" s="17">
        <v>10</v>
      </c>
      <c r="Y639" s="17">
        <v>12</v>
      </c>
      <c r="Z639" s="6">
        <f t="shared" si="65"/>
        <v>86</v>
      </c>
      <c r="AA639" s="11">
        <f t="shared" si="66"/>
        <v>0.7441860465116279</v>
      </c>
      <c r="AB639" s="11">
        <f t="shared" si="67"/>
        <v>0.11627906976744186</v>
      </c>
      <c r="AC639" s="66">
        <f t="shared" si="68"/>
        <v>0.7441860465116279</v>
      </c>
      <c r="AD639" s="67">
        <f t="shared" si="69"/>
        <v>0.61627906976744184</v>
      </c>
    </row>
    <row r="640" spans="1:30" ht="14.5" customHeight="1" x14ac:dyDescent="0.2">
      <c r="A640" s="21" t="s">
        <v>2972</v>
      </c>
      <c r="B640" s="17">
        <v>0</v>
      </c>
      <c r="C640" s="17">
        <v>0</v>
      </c>
      <c r="D640" s="22" t="s">
        <v>1154</v>
      </c>
      <c r="E640" s="22" t="s">
        <v>1155</v>
      </c>
      <c r="F640" s="17">
        <f t="shared" si="70"/>
        <v>2001</v>
      </c>
      <c r="G640" s="18">
        <v>36977</v>
      </c>
      <c r="H640" s="12" t="s">
        <v>2980</v>
      </c>
      <c r="I640" s="4">
        <v>0</v>
      </c>
      <c r="J640" s="22" t="s">
        <v>1161</v>
      </c>
      <c r="K640" s="17">
        <v>0</v>
      </c>
      <c r="L640" s="59">
        <v>1</v>
      </c>
      <c r="M640" s="22" t="s">
        <v>119</v>
      </c>
      <c r="N640" s="22" t="s">
        <v>2630</v>
      </c>
      <c r="O640" s="22" t="s">
        <v>1163</v>
      </c>
      <c r="P640" s="22" t="s">
        <v>1164</v>
      </c>
      <c r="Q640" s="22" t="s">
        <v>1165</v>
      </c>
      <c r="R640" s="17">
        <v>1</v>
      </c>
      <c r="S640" s="17">
        <v>0</v>
      </c>
      <c r="T640" s="17">
        <v>0</v>
      </c>
      <c r="U640" s="17">
        <v>1</v>
      </c>
      <c r="V640" s="17">
        <v>1</v>
      </c>
      <c r="W640" s="17">
        <v>73</v>
      </c>
      <c r="X640" s="17">
        <v>5</v>
      </c>
      <c r="Y640" s="17">
        <v>11</v>
      </c>
      <c r="Z640" s="6">
        <f t="shared" si="65"/>
        <v>89</v>
      </c>
      <c r="AA640" s="11">
        <f t="shared" si="66"/>
        <v>0.8202247191011236</v>
      </c>
      <c r="AB640" s="11">
        <f t="shared" si="67"/>
        <v>5.6179775280898875E-2</v>
      </c>
      <c r="AC640" s="66">
        <f t="shared" si="68"/>
        <v>0.8202247191011236</v>
      </c>
      <c r="AD640" s="67">
        <f t="shared" si="69"/>
        <v>0.7303370786516854</v>
      </c>
    </row>
    <row r="641" spans="1:30" ht="14.5" customHeight="1" x14ac:dyDescent="0.2">
      <c r="A641" s="21" t="s">
        <v>2972</v>
      </c>
      <c r="B641" s="17">
        <v>0</v>
      </c>
      <c r="C641" s="17">
        <v>0</v>
      </c>
      <c r="D641" s="22" t="s">
        <v>1154</v>
      </c>
      <c r="E641" s="22" t="s">
        <v>1155</v>
      </c>
      <c r="F641" s="17">
        <f t="shared" si="70"/>
        <v>2001</v>
      </c>
      <c r="G641" s="18">
        <v>36993</v>
      </c>
      <c r="H641" s="12" t="s">
        <v>2980</v>
      </c>
      <c r="I641" s="4">
        <v>0</v>
      </c>
      <c r="J641" s="22" t="s">
        <v>1143</v>
      </c>
      <c r="K641" s="17">
        <v>0</v>
      </c>
      <c r="L641" s="59">
        <v>1</v>
      </c>
      <c r="M641" s="22" t="s">
        <v>165</v>
      </c>
      <c r="N641" s="24" t="s">
        <v>2630</v>
      </c>
      <c r="P641" s="22" t="s">
        <v>1168</v>
      </c>
      <c r="Q641" s="22" t="s">
        <v>1169</v>
      </c>
      <c r="R641" s="17">
        <v>1</v>
      </c>
      <c r="S641" s="17">
        <v>0</v>
      </c>
      <c r="T641" s="17">
        <v>0</v>
      </c>
      <c r="U641" s="17">
        <v>1</v>
      </c>
      <c r="V641" s="17">
        <v>1</v>
      </c>
      <c r="W641" s="17">
        <v>24</v>
      </c>
      <c r="X641" s="17">
        <v>0</v>
      </c>
      <c r="Y641" s="17">
        <v>4</v>
      </c>
      <c r="Z641" s="6">
        <f t="shared" si="65"/>
        <v>28</v>
      </c>
      <c r="AA641" s="11">
        <f t="shared" si="66"/>
        <v>0.8571428571428571</v>
      </c>
      <c r="AB641" s="11">
        <f t="shared" si="67"/>
        <v>0</v>
      </c>
      <c r="AC641" s="66">
        <f t="shared" si="68"/>
        <v>0.8571428571428571</v>
      </c>
      <c r="AD641" s="67">
        <f t="shared" si="69"/>
        <v>0.7857142857142857</v>
      </c>
    </row>
    <row r="642" spans="1:30" ht="14.5" customHeight="1" x14ac:dyDescent="0.2">
      <c r="A642" s="21" t="s">
        <v>2972</v>
      </c>
      <c r="B642" s="17">
        <v>0</v>
      </c>
      <c r="C642" s="17">
        <v>0</v>
      </c>
      <c r="D642" s="22" t="s">
        <v>1154</v>
      </c>
      <c r="E642" s="22" t="s">
        <v>1155</v>
      </c>
      <c r="F642" s="17">
        <f t="shared" si="70"/>
        <v>2001</v>
      </c>
      <c r="G642" s="18">
        <v>36993</v>
      </c>
      <c r="H642" s="12" t="s">
        <v>2980</v>
      </c>
      <c r="I642" s="4">
        <v>0</v>
      </c>
      <c r="J642" s="22" t="s">
        <v>1156</v>
      </c>
      <c r="K642" s="17">
        <v>0</v>
      </c>
      <c r="L642" s="59">
        <v>1</v>
      </c>
      <c r="M642" s="22" t="s">
        <v>2559</v>
      </c>
      <c r="N642" s="22" t="s">
        <v>2630</v>
      </c>
      <c r="P642" s="22" t="s">
        <v>1166</v>
      </c>
      <c r="Q642" s="22" t="s">
        <v>1167</v>
      </c>
      <c r="R642" s="17">
        <v>1</v>
      </c>
      <c r="S642" s="17">
        <v>0</v>
      </c>
      <c r="T642" s="17">
        <v>0</v>
      </c>
      <c r="U642" s="17">
        <v>1</v>
      </c>
      <c r="V642" s="17">
        <v>1</v>
      </c>
      <c r="W642" s="17">
        <v>19</v>
      </c>
      <c r="X642" s="17">
        <v>0</v>
      </c>
      <c r="Y642" s="17">
        <v>3</v>
      </c>
      <c r="Z642" s="6">
        <f t="shared" si="65"/>
        <v>22</v>
      </c>
      <c r="AA642" s="11">
        <f t="shared" si="66"/>
        <v>0.86363636363636365</v>
      </c>
      <c r="AB642" s="11">
        <f t="shared" si="67"/>
        <v>0</v>
      </c>
      <c r="AC642" s="66">
        <f t="shared" si="68"/>
        <v>0.86363636363636365</v>
      </c>
      <c r="AD642" s="67">
        <f t="shared" si="69"/>
        <v>0.79545454545454541</v>
      </c>
    </row>
    <row r="643" spans="1:30" ht="14.5" customHeight="1" x14ac:dyDescent="0.2">
      <c r="A643" s="21" t="s">
        <v>2972</v>
      </c>
      <c r="B643" s="17">
        <v>0</v>
      </c>
      <c r="C643" s="17">
        <v>0</v>
      </c>
      <c r="D643" s="22" t="s">
        <v>1170</v>
      </c>
      <c r="E643" s="22" t="s">
        <v>3010</v>
      </c>
      <c r="F643" s="17">
        <f t="shared" si="70"/>
        <v>2001</v>
      </c>
      <c r="G643" s="18">
        <v>37147</v>
      </c>
      <c r="H643" s="12" t="s">
        <v>2980</v>
      </c>
      <c r="I643" s="4">
        <v>0</v>
      </c>
      <c r="J643" s="22" t="s">
        <v>1171</v>
      </c>
      <c r="K643" s="17">
        <v>0</v>
      </c>
      <c r="L643" s="59">
        <v>1</v>
      </c>
      <c r="M643" s="22" t="s">
        <v>119</v>
      </c>
      <c r="N643" s="22" t="s">
        <v>2630</v>
      </c>
      <c r="O643" s="22" t="s">
        <v>1163</v>
      </c>
      <c r="P643" s="22" t="s">
        <v>1172</v>
      </c>
      <c r="Q643" s="22" t="s">
        <v>1173</v>
      </c>
      <c r="R643" s="17">
        <v>1</v>
      </c>
      <c r="S643" s="17">
        <v>0</v>
      </c>
      <c r="T643" s="17">
        <v>0</v>
      </c>
      <c r="U643" s="17">
        <v>1</v>
      </c>
      <c r="V643" s="17">
        <v>1</v>
      </c>
      <c r="W643" s="17">
        <v>40</v>
      </c>
      <c r="X643" s="17">
        <v>0</v>
      </c>
      <c r="Y643" s="17">
        <v>1</v>
      </c>
      <c r="Z643" s="6">
        <f t="shared" si="65"/>
        <v>41</v>
      </c>
      <c r="AA643" s="11">
        <f t="shared" si="66"/>
        <v>0.97560975609756095</v>
      </c>
      <c r="AB643" s="11">
        <f t="shared" si="67"/>
        <v>0</v>
      </c>
      <c r="AC643" s="66">
        <f t="shared" si="68"/>
        <v>0.97560975609756095</v>
      </c>
      <c r="AD643" s="67">
        <f t="shared" si="69"/>
        <v>0.96341463414634143</v>
      </c>
    </row>
    <row r="644" spans="1:30" ht="14.5" customHeight="1" x14ac:dyDescent="0.2">
      <c r="A644" s="21" t="s">
        <v>2972</v>
      </c>
      <c r="B644" s="17">
        <v>0</v>
      </c>
      <c r="C644" s="17">
        <v>0</v>
      </c>
      <c r="D644" s="22" t="s">
        <v>1170</v>
      </c>
      <c r="E644" s="22" t="s">
        <v>3010</v>
      </c>
      <c r="F644" s="17">
        <f t="shared" si="70"/>
        <v>2002</v>
      </c>
      <c r="G644" s="18">
        <v>37268</v>
      </c>
      <c r="H644" s="12" t="s">
        <v>2980</v>
      </c>
      <c r="I644" s="4">
        <v>0</v>
      </c>
      <c r="J644" s="22" t="s">
        <v>1143</v>
      </c>
      <c r="K644" s="17">
        <v>0</v>
      </c>
      <c r="L644" s="59">
        <v>1</v>
      </c>
      <c r="M644" s="22" t="s">
        <v>165</v>
      </c>
      <c r="N644" s="24" t="s">
        <v>2630</v>
      </c>
      <c r="P644" s="22" t="s">
        <v>1174</v>
      </c>
      <c r="Q644" s="22" t="s">
        <v>1175</v>
      </c>
      <c r="R644" s="17">
        <v>1</v>
      </c>
      <c r="S644" s="17">
        <v>0</v>
      </c>
      <c r="T644" s="17">
        <v>0</v>
      </c>
      <c r="U644" s="17">
        <v>1</v>
      </c>
      <c r="V644" s="17">
        <v>1</v>
      </c>
      <c r="W644" s="17">
        <v>33</v>
      </c>
      <c r="X644" s="17">
        <v>1</v>
      </c>
      <c r="Y644" s="17">
        <v>11</v>
      </c>
      <c r="Z644" s="6">
        <f t="shared" si="65"/>
        <v>45</v>
      </c>
      <c r="AA644" s="11">
        <f t="shared" si="66"/>
        <v>0.73333333333333328</v>
      </c>
      <c r="AB644" s="11">
        <f t="shared" si="67"/>
        <v>2.2222222222222223E-2</v>
      </c>
      <c r="AC644" s="66">
        <f t="shared" si="68"/>
        <v>0.73333333333333328</v>
      </c>
      <c r="AD644" s="67">
        <f t="shared" si="69"/>
        <v>0.6</v>
      </c>
    </row>
    <row r="645" spans="1:30" ht="14.5" customHeight="1" x14ac:dyDescent="0.2">
      <c r="A645" s="21" t="s">
        <v>2972</v>
      </c>
      <c r="B645" s="17">
        <v>0</v>
      </c>
      <c r="C645" s="17">
        <v>0</v>
      </c>
      <c r="D645" s="22" t="s">
        <v>1170</v>
      </c>
      <c r="E645" s="22" t="s">
        <v>3010</v>
      </c>
      <c r="F645" s="17">
        <f t="shared" si="70"/>
        <v>2002</v>
      </c>
      <c r="G645" s="18">
        <v>37273</v>
      </c>
      <c r="H645" s="12" t="s">
        <v>2980</v>
      </c>
      <c r="I645" s="4">
        <v>0</v>
      </c>
      <c r="J645" s="22" t="s">
        <v>1176</v>
      </c>
      <c r="K645" s="17">
        <v>0</v>
      </c>
      <c r="L645" s="59">
        <v>1</v>
      </c>
      <c r="M645" s="22" t="s">
        <v>2559</v>
      </c>
      <c r="N645" s="22" t="s">
        <v>2630</v>
      </c>
      <c r="P645" s="22" t="s">
        <v>1177</v>
      </c>
      <c r="Q645" s="22" t="s">
        <v>1178</v>
      </c>
      <c r="R645" s="17">
        <v>1</v>
      </c>
      <c r="S645" s="17">
        <v>0</v>
      </c>
      <c r="T645" s="17">
        <v>0</v>
      </c>
      <c r="U645" s="17">
        <v>1</v>
      </c>
      <c r="V645" s="17">
        <v>1</v>
      </c>
      <c r="W645" s="17">
        <v>34</v>
      </c>
      <c r="X645" s="17">
        <v>1</v>
      </c>
      <c r="Y645" s="17">
        <v>4</v>
      </c>
      <c r="Z645" s="6">
        <f t="shared" si="65"/>
        <v>39</v>
      </c>
      <c r="AA645" s="11">
        <f t="shared" si="66"/>
        <v>0.87179487179487181</v>
      </c>
      <c r="AB645" s="11">
        <f t="shared" si="67"/>
        <v>2.564102564102564E-2</v>
      </c>
      <c r="AC645" s="66">
        <f t="shared" si="68"/>
        <v>0.87179487179487181</v>
      </c>
      <c r="AD645" s="67">
        <f t="shared" si="69"/>
        <v>0.80769230769230771</v>
      </c>
    </row>
    <row r="646" spans="1:30" ht="14.5" customHeight="1" x14ac:dyDescent="0.2">
      <c r="A646" s="21" t="s">
        <v>2972</v>
      </c>
      <c r="B646" s="17">
        <v>0</v>
      </c>
      <c r="C646" s="17">
        <v>0</v>
      </c>
      <c r="D646" s="22" t="s">
        <v>1170</v>
      </c>
      <c r="E646" s="22" t="s">
        <v>3010</v>
      </c>
      <c r="F646" s="17">
        <f t="shared" si="70"/>
        <v>2002</v>
      </c>
      <c r="G646" s="18">
        <v>37278</v>
      </c>
      <c r="H646" s="12" t="s">
        <v>2980</v>
      </c>
      <c r="I646" s="4">
        <v>0</v>
      </c>
      <c r="J646" s="22" t="s">
        <v>1171</v>
      </c>
      <c r="K646" s="17">
        <v>0</v>
      </c>
      <c r="L646" s="59">
        <v>1</v>
      </c>
      <c r="M646" s="22" t="s">
        <v>119</v>
      </c>
      <c r="N646" s="22" t="s">
        <v>2630</v>
      </c>
      <c r="O646" s="22" t="s">
        <v>1163</v>
      </c>
      <c r="P646" s="22" t="s">
        <v>1179</v>
      </c>
      <c r="Q646" s="22" t="s">
        <v>1180</v>
      </c>
      <c r="R646" s="17">
        <v>1</v>
      </c>
      <c r="S646" s="17">
        <v>0</v>
      </c>
      <c r="T646" s="17">
        <v>0</v>
      </c>
      <c r="U646" s="17">
        <v>1</v>
      </c>
      <c r="V646" s="17">
        <v>1</v>
      </c>
      <c r="W646" s="17">
        <v>35</v>
      </c>
      <c r="X646" s="17">
        <v>0</v>
      </c>
      <c r="Y646" s="17">
        <v>5</v>
      </c>
      <c r="Z646" s="6">
        <f t="shared" si="65"/>
        <v>40</v>
      </c>
      <c r="AA646" s="11">
        <f t="shared" si="66"/>
        <v>0.875</v>
      </c>
      <c r="AB646" s="11">
        <f t="shared" si="67"/>
        <v>0</v>
      </c>
      <c r="AC646" s="66">
        <f t="shared" si="68"/>
        <v>0.875</v>
      </c>
      <c r="AD646" s="67">
        <f t="shared" si="69"/>
        <v>0.8125</v>
      </c>
    </row>
    <row r="647" spans="1:30" ht="14.5" customHeight="1" x14ac:dyDescent="0.2">
      <c r="A647" s="21" t="s">
        <v>2972</v>
      </c>
      <c r="B647" s="17">
        <v>0</v>
      </c>
      <c r="C647" s="17">
        <v>0</v>
      </c>
      <c r="D647" s="22" t="s">
        <v>1170</v>
      </c>
      <c r="E647" s="22" t="s">
        <v>3010</v>
      </c>
      <c r="F647" s="17">
        <f t="shared" si="70"/>
        <v>2002</v>
      </c>
      <c r="G647" s="18">
        <v>37334</v>
      </c>
      <c r="H647" s="12" t="s">
        <v>2980</v>
      </c>
      <c r="I647" s="4">
        <v>0</v>
      </c>
      <c r="J647" s="22" t="s">
        <v>1181</v>
      </c>
      <c r="K647" s="17">
        <v>0</v>
      </c>
      <c r="L647" s="59">
        <v>1</v>
      </c>
      <c r="M647" t="s">
        <v>2582</v>
      </c>
      <c r="N647" t="s">
        <v>2634</v>
      </c>
      <c r="P647" s="22" t="s">
        <v>1182</v>
      </c>
      <c r="Q647" s="22" t="s">
        <v>1183</v>
      </c>
      <c r="R647" s="17">
        <v>1</v>
      </c>
      <c r="S647" s="17">
        <v>0</v>
      </c>
      <c r="T647" s="17">
        <v>0</v>
      </c>
      <c r="U647" s="17">
        <v>1</v>
      </c>
      <c r="V647" s="17">
        <v>0</v>
      </c>
      <c r="W647" s="17">
        <v>22</v>
      </c>
      <c r="X647" s="17">
        <v>0</v>
      </c>
      <c r="Y647" s="17">
        <v>8</v>
      </c>
      <c r="Z647" s="6">
        <f t="shared" si="65"/>
        <v>30</v>
      </c>
      <c r="AA647" s="11">
        <f t="shared" si="66"/>
        <v>0.73333333333333328</v>
      </c>
      <c r="AB647" s="11">
        <f t="shared" si="67"/>
        <v>0</v>
      </c>
      <c r="AC647" s="66">
        <f t="shared" si="68"/>
        <v>0.73333333333333328</v>
      </c>
      <c r="AD647" s="67">
        <f t="shared" si="69"/>
        <v>0.6</v>
      </c>
    </row>
    <row r="648" spans="1:30" ht="14.5" customHeight="1" x14ac:dyDescent="0.2">
      <c r="A648" s="21" t="s">
        <v>2972</v>
      </c>
      <c r="B648" s="17">
        <v>0</v>
      </c>
      <c r="C648" s="17">
        <v>0</v>
      </c>
      <c r="D648" s="22" t="s">
        <v>1170</v>
      </c>
      <c r="E648" s="22" t="s">
        <v>3010</v>
      </c>
      <c r="F648" s="17">
        <f t="shared" si="70"/>
        <v>2002</v>
      </c>
      <c r="G648" s="18">
        <v>37501</v>
      </c>
      <c r="H648" s="12" t="s">
        <v>2980</v>
      </c>
      <c r="I648" s="4">
        <v>0</v>
      </c>
      <c r="J648" s="22" t="s">
        <v>1186</v>
      </c>
      <c r="K648" s="17">
        <v>0</v>
      </c>
      <c r="L648" s="59">
        <v>1</v>
      </c>
      <c r="M648" s="22" t="s">
        <v>165</v>
      </c>
      <c r="N648" s="24" t="s">
        <v>2630</v>
      </c>
      <c r="P648" s="22" t="s">
        <v>1187</v>
      </c>
      <c r="Q648" s="22" t="s">
        <v>1188</v>
      </c>
      <c r="R648" s="17">
        <v>1</v>
      </c>
      <c r="S648" s="17">
        <v>0</v>
      </c>
      <c r="T648" s="17">
        <v>0</v>
      </c>
      <c r="U648" s="17">
        <v>1</v>
      </c>
      <c r="V648" s="17">
        <v>1</v>
      </c>
      <c r="W648" s="17">
        <v>61</v>
      </c>
      <c r="X648" s="17">
        <v>6</v>
      </c>
      <c r="Y648" s="17">
        <v>7</v>
      </c>
      <c r="Z648" s="6">
        <f t="shared" si="65"/>
        <v>74</v>
      </c>
      <c r="AA648" s="11">
        <f t="shared" si="66"/>
        <v>0.82432432432432434</v>
      </c>
      <c r="AB648" s="11">
        <f t="shared" si="67"/>
        <v>8.1081081081081086E-2</v>
      </c>
      <c r="AC648" s="66">
        <f t="shared" si="68"/>
        <v>0.82432432432432434</v>
      </c>
      <c r="AD648" s="67">
        <f t="shared" si="69"/>
        <v>0.73648648648648651</v>
      </c>
    </row>
    <row r="649" spans="1:30" ht="14.5" customHeight="1" x14ac:dyDescent="0.2">
      <c r="A649" s="21" t="s">
        <v>2972</v>
      </c>
      <c r="B649" s="17">
        <v>0</v>
      </c>
      <c r="C649" s="17">
        <v>0</v>
      </c>
      <c r="D649" s="22" t="s">
        <v>1170</v>
      </c>
      <c r="E649" s="22" t="s">
        <v>3010</v>
      </c>
      <c r="F649" s="17">
        <f t="shared" si="70"/>
        <v>2002</v>
      </c>
      <c r="G649" s="18">
        <v>37501</v>
      </c>
      <c r="H649" s="12" t="s">
        <v>2980</v>
      </c>
      <c r="I649" s="4">
        <v>0</v>
      </c>
      <c r="J649" s="22" t="s">
        <v>1149</v>
      </c>
      <c r="K649" s="17">
        <v>0</v>
      </c>
      <c r="L649" s="59">
        <v>1</v>
      </c>
      <c r="M649" s="22" t="s">
        <v>2559</v>
      </c>
      <c r="N649" s="22" t="s">
        <v>2630</v>
      </c>
      <c r="P649" s="22" t="s">
        <v>1184</v>
      </c>
      <c r="Q649" s="22" t="s">
        <v>1185</v>
      </c>
      <c r="R649" s="17">
        <v>1</v>
      </c>
      <c r="S649" s="17">
        <v>0</v>
      </c>
      <c r="T649" s="17">
        <v>0</v>
      </c>
      <c r="U649" s="17">
        <v>1</v>
      </c>
      <c r="V649" s="17">
        <v>1</v>
      </c>
      <c r="W649" s="17">
        <v>62</v>
      </c>
      <c r="X649" s="17">
        <v>6</v>
      </c>
      <c r="Y649" s="17">
        <v>7</v>
      </c>
      <c r="Z649" s="6">
        <f t="shared" si="65"/>
        <v>75</v>
      </c>
      <c r="AA649" s="11">
        <f t="shared" si="66"/>
        <v>0.82666666666666666</v>
      </c>
      <c r="AB649" s="11">
        <f t="shared" si="67"/>
        <v>0.08</v>
      </c>
      <c r="AC649" s="66">
        <f t="shared" si="68"/>
        <v>0.82666666666666666</v>
      </c>
      <c r="AD649" s="67">
        <f t="shared" si="69"/>
        <v>0.74</v>
      </c>
    </row>
    <row r="650" spans="1:30" ht="14.5" customHeight="1" x14ac:dyDescent="0.2">
      <c r="A650" s="21" t="s">
        <v>2972</v>
      </c>
      <c r="B650" s="17">
        <v>0</v>
      </c>
      <c r="C650" s="17">
        <v>0</v>
      </c>
      <c r="D650" s="22" t="s">
        <v>1170</v>
      </c>
      <c r="E650" s="22" t="s">
        <v>3010</v>
      </c>
      <c r="F650" s="17">
        <f t="shared" si="70"/>
        <v>2002</v>
      </c>
      <c r="G650" s="18">
        <v>37518</v>
      </c>
      <c r="H650" s="12" t="s">
        <v>2980</v>
      </c>
      <c r="I650" s="4">
        <v>0</v>
      </c>
      <c r="J650" s="22" t="s">
        <v>1189</v>
      </c>
      <c r="K650" s="17">
        <v>0</v>
      </c>
      <c r="L650" s="59">
        <v>1</v>
      </c>
      <c r="M650" s="22" t="s">
        <v>129</v>
      </c>
      <c r="N650" s="22" t="s">
        <v>422</v>
      </c>
      <c r="P650" s="22" t="s">
        <v>1190</v>
      </c>
      <c r="Q650" s="22" t="s">
        <v>1191</v>
      </c>
      <c r="R650" s="17">
        <v>1</v>
      </c>
      <c r="S650" s="17">
        <v>0</v>
      </c>
      <c r="T650" s="17">
        <v>0</v>
      </c>
      <c r="U650" s="17">
        <v>1</v>
      </c>
      <c r="V650" s="17">
        <v>0</v>
      </c>
      <c r="W650" s="17">
        <v>60</v>
      </c>
      <c r="X650" s="17">
        <v>4</v>
      </c>
      <c r="Y650" s="17">
        <v>8</v>
      </c>
      <c r="Z650" s="6">
        <f t="shared" si="65"/>
        <v>72</v>
      </c>
      <c r="AA650" s="11">
        <f t="shared" si="66"/>
        <v>0.83333333333333337</v>
      </c>
      <c r="AB650" s="11">
        <f t="shared" si="67"/>
        <v>5.5555555555555552E-2</v>
      </c>
      <c r="AC650" s="66">
        <f t="shared" si="68"/>
        <v>0.83333333333333337</v>
      </c>
      <c r="AD650" s="67">
        <f t="shared" si="69"/>
        <v>0.75</v>
      </c>
    </row>
    <row r="651" spans="1:30" ht="14.5" customHeight="1" x14ac:dyDescent="0.2">
      <c r="A651" s="21" t="s">
        <v>2972</v>
      </c>
      <c r="B651" s="17">
        <v>0</v>
      </c>
      <c r="C651" s="17">
        <v>0</v>
      </c>
      <c r="D651" s="22" t="s">
        <v>1170</v>
      </c>
      <c r="E651" s="22" t="s">
        <v>3010</v>
      </c>
      <c r="F651" s="17">
        <f t="shared" si="70"/>
        <v>2002</v>
      </c>
      <c r="G651" s="18">
        <v>37530</v>
      </c>
      <c r="H651" s="12" t="s">
        <v>2980</v>
      </c>
      <c r="I651" s="4">
        <v>0</v>
      </c>
      <c r="J651" s="22" t="s">
        <v>1192</v>
      </c>
      <c r="K651" s="17">
        <v>0</v>
      </c>
      <c r="L651" s="59">
        <v>1</v>
      </c>
      <c r="M651" s="22" t="s">
        <v>2566</v>
      </c>
      <c r="N651" s="5" t="s">
        <v>422</v>
      </c>
      <c r="P651" s="22" t="s">
        <v>1193</v>
      </c>
      <c r="Q651" s="22" t="s">
        <v>1194</v>
      </c>
      <c r="R651" s="17">
        <v>1</v>
      </c>
      <c r="S651" s="17">
        <v>0</v>
      </c>
      <c r="T651" s="17">
        <v>0</v>
      </c>
      <c r="U651" s="17">
        <v>1</v>
      </c>
      <c r="V651" s="17">
        <v>0</v>
      </c>
      <c r="W651" s="17">
        <v>65</v>
      </c>
      <c r="X651" s="17">
        <v>21</v>
      </c>
      <c r="Y651" s="17">
        <v>8</v>
      </c>
      <c r="Z651" s="6">
        <f t="shared" si="65"/>
        <v>94</v>
      </c>
      <c r="AA651" s="11">
        <f t="shared" si="66"/>
        <v>0.69148936170212771</v>
      </c>
      <c r="AB651" s="11">
        <f t="shared" si="67"/>
        <v>0.22340425531914893</v>
      </c>
      <c r="AC651" s="66">
        <f t="shared" si="68"/>
        <v>0.69148936170212771</v>
      </c>
      <c r="AD651" s="67">
        <f t="shared" si="69"/>
        <v>0.53723404255319152</v>
      </c>
    </row>
    <row r="652" spans="1:30" ht="14.5" customHeight="1" x14ac:dyDescent="0.2">
      <c r="A652" s="21" t="s">
        <v>2972</v>
      </c>
      <c r="B652" s="17">
        <v>0</v>
      </c>
      <c r="C652" s="17">
        <v>0</v>
      </c>
      <c r="D652" s="22" t="s">
        <v>1170</v>
      </c>
      <c r="E652" s="22" t="s">
        <v>3010</v>
      </c>
      <c r="F652" s="17">
        <f t="shared" si="70"/>
        <v>2002</v>
      </c>
      <c r="G652" s="18">
        <v>37600</v>
      </c>
      <c r="H652" s="12" t="s">
        <v>2980</v>
      </c>
      <c r="I652" s="4">
        <v>0</v>
      </c>
      <c r="J652" s="22" t="s">
        <v>1186</v>
      </c>
      <c r="K652" s="17">
        <v>0</v>
      </c>
      <c r="L652" s="59">
        <v>1</v>
      </c>
      <c r="M652" s="22" t="s">
        <v>165</v>
      </c>
      <c r="N652" s="24" t="s">
        <v>2630</v>
      </c>
      <c r="P652" s="22" t="s">
        <v>1197</v>
      </c>
      <c r="Q652" s="22" t="s">
        <v>1198</v>
      </c>
      <c r="R652" s="17">
        <v>1</v>
      </c>
      <c r="S652" s="17">
        <v>0</v>
      </c>
      <c r="T652" s="17">
        <v>0</v>
      </c>
      <c r="U652" s="17">
        <v>1</v>
      </c>
      <c r="V652" s="17">
        <v>1</v>
      </c>
      <c r="W652" s="17">
        <v>34</v>
      </c>
      <c r="X652" s="17">
        <v>2</v>
      </c>
      <c r="Y652" s="17">
        <v>2</v>
      </c>
      <c r="Z652" s="6">
        <f t="shared" si="65"/>
        <v>38</v>
      </c>
      <c r="AA652" s="11">
        <f t="shared" si="66"/>
        <v>0.89473684210526316</v>
      </c>
      <c r="AB652" s="11">
        <f t="shared" si="67"/>
        <v>5.2631578947368418E-2</v>
      </c>
      <c r="AC652" s="66">
        <f t="shared" si="68"/>
        <v>0.89473684210526316</v>
      </c>
      <c r="AD652" s="67">
        <f t="shared" si="69"/>
        <v>0.84210526315789469</v>
      </c>
    </row>
    <row r="653" spans="1:30" ht="14.5" customHeight="1" x14ac:dyDescent="0.2">
      <c r="A653" s="21" t="s">
        <v>2972</v>
      </c>
      <c r="B653" s="17">
        <v>0</v>
      </c>
      <c r="C653" s="17">
        <v>0</v>
      </c>
      <c r="D653" s="22" t="s">
        <v>1170</v>
      </c>
      <c r="E653" s="22" t="s">
        <v>3010</v>
      </c>
      <c r="F653" s="17">
        <f t="shared" si="70"/>
        <v>2002</v>
      </c>
      <c r="G653" s="18">
        <v>37600</v>
      </c>
      <c r="H653" s="12" t="s">
        <v>2980</v>
      </c>
      <c r="I653" s="4">
        <v>0</v>
      </c>
      <c r="J653" s="22" t="s">
        <v>1171</v>
      </c>
      <c r="K653" s="17">
        <v>0</v>
      </c>
      <c r="L653" s="59">
        <v>1</v>
      </c>
      <c r="M653" s="22" t="s">
        <v>119</v>
      </c>
      <c r="N653" s="22" t="s">
        <v>2630</v>
      </c>
      <c r="O653" s="22" t="s">
        <v>1163</v>
      </c>
      <c r="P653" s="22" t="s">
        <v>1195</v>
      </c>
      <c r="Q653" s="22" t="s">
        <v>1196</v>
      </c>
      <c r="R653" s="17">
        <v>1</v>
      </c>
      <c r="S653" s="17">
        <v>0</v>
      </c>
      <c r="T653" s="17">
        <v>0</v>
      </c>
      <c r="U653" s="17">
        <v>1</v>
      </c>
      <c r="V653" s="17">
        <v>1</v>
      </c>
      <c r="W653" s="17">
        <v>34</v>
      </c>
      <c r="X653" s="17">
        <v>1</v>
      </c>
      <c r="Y653" s="17">
        <v>4</v>
      </c>
      <c r="Z653" s="6">
        <f t="shared" si="65"/>
        <v>39</v>
      </c>
      <c r="AA653" s="11">
        <f t="shared" si="66"/>
        <v>0.87179487179487181</v>
      </c>
      <c r="AB653" s="11">
        <f t="shared" si="67"/>
        <v>2.564102564102564E-2</v>
      </c>
      <c r="AC653" s="66">
        <f t="shared" si="68"/>
        <v>0.87179487179487181</v>
      </c>
      <c r="AD653" s="67">
        <f t="shared" si="69"/>
        <v>0.80769230769230771</v>
      </c>
    </row>
    <row r="654" spans="1:30" ht="14.5" customHeight="1" x14ac:dyDescent="0.2">
      <c r="A654" s="21" t="s">
        <v>2972</v>
      </c>
      <c r="B654" s="17">
        <v>0</v>
      </c>
      <c r="C654" s="17">
        <v>0</v>
      </c>
      <c r="D654" s="22" t="s">
        <v>1170</v>
      </c>
      <c r="E654" s="22" t="s">
        <v>3010</v>
      </c>
      <c r="F654" s="17">
        <f t="shared" si="70"/>
        <v>2002</v>
      </c>
      <c r="G654" s="18">
        <v>37600</v>
      </c>
      <c r="H654" s="12" t="s">
        <v>2980</v>
      </c>
      <c r="I654" s="4">
        <v>0</v>
      </c>
      <c r="J654" s="22" t="s">
        <v>1199</v>
      </c>
      <c r="K654" s="17">
        <v>0</v>
      </c>
      <c r="L654" s="59">
        <v>1</v>
      </c>
      <c r="M654" s="22" t="s">
        <v>2559</v>
      </c>
      <c r="N654" s="22" t="s">
        <v>2630</v>
      </c>
      <c r="P654" s="22" t="s">
        <v>1200</v>
      </c>
      <c r="Q654" s="22" t="s">
        <v>1201</v>
      </c>
      <c r="R654" s="17">
        <v>1</v>
      </c>
      <c r="S654" s="17">
        <v>0</v>
      </c>
      <c r="T654" s="17">
        <v>0</v>
      </c>
      <c r="U654" s="17">
        <v>1</v>
      </c>
      <c r="V654" s="17">
        <v>1</v>
      </c>
      <c r="W654" s="17">
        <v>36</v>
      </c>
      <c r="X654" s="17">
        <v>1</v>
      </c>
      <c r="Y654" s="17">
        <v>4</v>
      </c>
      <c r="Z654" s="6">
        <f t="shared" si="65"/>
        <v>41</v>
      </c>
      <c r="AA654" s="11">
        <f t="shared" si="66"/>
        <v>0.87804878048780488</v>
      </c>
      <c r="AB654" s="11">
        <f t="shared" si="67"/>
        <v>2.4390243902439025E-2</v>
      </c>
      <c r="AC654" s="66">
        <f t="shared" si="68"/>
        <v>0.87804878048780488</v>
      </c>
      <c r="AD654" s="67">
        <f t="shared" si="69"/>
        <v>0.81707317073170727</v>
      </c>
    </row>
    <row r="655" spans="1:30" ht="14.5" customHeight="1" x14ac:dyDescent="0.2">
      <c r="A655" s="21" t="s">
        <v>2972</v>
      </c>
      <c r="B655" s="17">
        <v>0</v>
      </c>
      <c r="C655" s="17">
        <v>0</v>
      </c>
      <c r="D655" s="22" t="s">
        <v>1202</v>
      </c>
      <c r="E655" s="22" t="s">
        <v>3010</v>
      </c>
      <c r="F655" s="17">
        <f t="shared" si="70"/>
        <v>2003</v>
      </c>
      <c r="G655" s="18">
        <v>37705</v>
      </c>
      <c r="H655" s="12" t="s">
        <v>2980</v>
      </c>
      <c r="I655" s="4">
        <v>0</v>
      </c>
      <c r="J655" s="22" t="s">
        <v>1206</v>
      </c>
      <c r="K655" s="17">
        <v>0</v>
      </c>
      <c r="L655" s="59">
        <v>1</v>
      </c>
      <c r="M655" s="5" t="s">
        <v>2569</v>
      </c>
      <c r="N655" s="22" t="s">
        <v>2630</v>
      </c>
      <c r="P655" s="22" t="s">
        <v>1207</v>
      </c>
      <c r="Q655" s="22" t="s">
        <v>1208</v>
      </c>
      <c r="R655" s="17">
        <v>1</v>
      </c>
      <c r="S655" s="17">
        <v>0</v>
      </c>
      <c r="T655" s="17">
        <v>0</v>
      </c>
      <c r="U655" s="17">
        <v>1</v>
      </c>
      <c r="V655" s="17">
        <v>0</v>
      </c>
      <c r="W655" s="17">
        <v>59</v>
      </c>
      <c r="X655" s="17">
        <v>2</v>
      </c>
      <c r="Y655" s="17">
        <v>9</v>
      </c>
      <c r="Z655" s="6">
        <f t="shared" si="65"/>
        <v>70</v>
      </c>
      <c r="AA655" s="11">
        <f t="shared" si="66"/>
        <v>0.84285714285714286</v>
      </c>
      <c r="AB655" s="11">
        <f t="shared" si="67"/>
        <v>2.8571428571428571E-2</v>
      </c>
      <c r="AC655" s="66">
        <f t="shared" si="68"/>
        <v>0.84285714285714286</v>
      </c>
      <c r="AD655" s="67">
        <f t="shared" si="69"/>
        <v>0.76428571428571423</v>
      </c>
    </row>
    <row r="656" spans="1:30" ht="14.5" customHeight="1" x14ac:dyDescent="0.2">
      <c r="A656" s="21" t="s">
        <v>2972</v>
      </c>
      <c r="B656" s="17">
        <v>0</v>
      </c>
      <c r="C656" s="17">
        <v>0</v>
      </c>
      <c r="D656" s="22" t="s">
        <v>1202</v>
      </c>
      <c r="E656" s="22" t="s">
        <v>3010</v>
      </c>
      <c r="F656" s="17">
        <f t="shared" si="70"/>
        <v>2003</v>
      </c>
      <c r="G656" s="18">
        <v>37705</v>
      </c>
      <c r="H656" s="12" t="s">
        <v>2980</v>
      </c>
      <c r="I656" s="4">
        <v>0</v>
      </c>
      <c r="J656" s="22" t="s">
        <v>1209</v>
      </c>
      <c r="K656" s="17">
        <v>0</v>
      </c>
      <c r="L656" s="59">
        <v>1</v>
      </c>
      <c r="M656" t="s">
        <v>30</v>
      </c>
      <c r="N656" t="s">
        <v>2121</v>
      </c>
      <c r="P656" s="22" t="s">
        <v>1210</v>
      </c>
      <c r="Q656" s="22" t="s">
        <v>1211</v>
      </c>
      <c r="R656" s="17">
        <v>1</v>
      </c>
      <c r="S656" s="17">
        <v>0</v>
      </c>
      <c r="T656" s="17">
        <v>0</v>
      </c>
      <c r="U656" s="17">
        <v>1</v>
      </c>
      <c r="V656" s="17">
        <v>0</v>
      </c>
      <c r="W656" s="17">
        <v>59</v>
      </c>
      <c r="X656" s="17">
        <v>13</v>
      </c>
      <c r="Y656" s="17">
        <v>2</v>
      </c>
      <c r="Z656" s="6">
        <f t="shared" si="65"/>
        <v>74</v>
      </c>
      <c r="AA656" s="11">
        <f t="shared" si="66"/>
        <v>0.79729729729729726</v>
      </c>
      <c r="AB656" s="11">
        <f t="shared" si="67"/>
        <v>0.17567567567567569</v>
      </c>
      <c r="AC656" s="66">
        <f t="shared" si="68"/>
        <v>0.79729729729729726</v>
      </c>
      <c r="AD656" s="67">
        <f t="shared" si="69"/>
        <v>0.69594594594594594</v>
      </c>
    </row>
    <row r="657" spans="1:30" ht="14.5" customHeight="1" x14ac:dyDescent="0.2">
      <c r="A657" s="21" t="s">
        <v>2972</v>
      </c>
      <c r="B657" s="17">
        <v>0</v>
      </c>
      <c r="C657" s="17">
        <v>0</v>
      </c>
      <c r="D657" s="22" t="s">
        <v>1202</v>
      </c>
      <c r="E657" s="22" t="s">
        <v>3010</v>
      </c>
      <c r="F657" s="17">
        <f t="shared" si="70"/>
        <v>2003</v>
      </c>
      <c r="G657" s="18">
        <v>37705</v>
      </c>
      <c r="H657" s="12" t="s">
        <v>2980</v>
      </c>
      <c r="I657" s="4">
        <v>0</v>
      </c>
      <c r="J657" s="22" t="s">
        <v>1203</v>
      </c>
      <c r="K657" s="17">
        <v>0</v>
      </c>
      <c r="L657" s="59">
        <v>1</v>
      </c>
      <c r="M657" s="22" t="s">
        <v>129</v>
      </c>
      <c r="N657" s="22" t="s">
        <v>422</v>
      </c>
      <c r="P657" s="22" t="s">
        <v>1204</v>
      </c>
      <c r="Q657" s="22" t="s">
        <v>1205</v>
      </c>
      <c r="R657" s="17">
        <v>1</v>
      </c>
      <c r="S657" s="17">
        <v>0</v>
      </c>
      <c r="T657" s="17">
        <v>0</v>
      </c>
      <c r="U657" s="17">
        <v>1</v>
      </c>
      <c r="V657" s="17">
        <v>1</v>
      </c>
      <c r="W657" s="17">
        <v>47</v>
      </c>
      <c r="X657" s="17">
        <v>7</v>
      </c>
      <c r="Y657" s="17">
        <v>8</v>
      </c>
      <c r="Z657" s="6">
        <f t="shared" si="65"/>
        <v>62</v>
      </c>
      <c r="AA657" s="11">
        <f t="shared" si="66"/>
        <v>0.75806451612903225</v>
      </c>
      <c r="AB657" s="11">
        <f t="shared" si="67"/>
        <v>0.11290322580645161</v>
      </c>
      <c r="AC657" s="66">
        <f t="shared" si="68"/>
        <v>0.75806451612903225</v>
      </c>
      <c r="AD657" s="67">
        <f t="shared" si="69"/>
        <v>0.63709677419354838</v>
      </c>
    </row>
    <row r="658" spans="1:30" ht="14.5" customHeight="1" x14ac:dyDescent="0.2">
      <c r="A658" s="21" t="s">
        <v>2972</v>
      </c>
      <c r="B658" s="17">
        <v>0</v>
      </c>
      <c r="C658" s="17">
        <v>0</v>
      </c>
      <c r="D658" s="22" t="s">
        <v>1202</v>
      </c>
      <c r="E658" s="22" t="s">
        <v>3010</v>
      </c>
      <c r="F658" s="17">
        <f t="shared" si="70"/>
        <v>2003</v>
      </c>
      <c r="G658" s="18">
        <v>37719</v>
      </c>
      <c r="H658" s="12" t="s">
        <v>2980</v>
      </c>
      <c r="I658" s="4">
        <v>0</v>
      </c>
      <c r="J658" s="22" t="s">
        <v>1215</v>
      </c>
      <c r="K658" s="17">
        <v>0</v>
      </c>
      <c r="L658" s="59">
        <v>1</v>
      </c>
      <c r="M658" s="22" t="s">
        <v>165</v>
      </c>
      <c r="N658" s="24" t="s">
        <v>2630</v>
      </c>
      <c r="P658" s="22" t="s">
        <v>1216</v>
      </c>
      <c r="Q658" s="22" t="s">
        <v>1217</v>
      </c>
      <c r="R658" s="17">
        <v>1</v>
      </c>
      <c r="S658" s="17">
        <v>0</v>
      </c>
      <c r="T658" s="17">
        <v>0</v>
      </c>
      <c r="U658" s="17">
        <v>1</v>
      </c>
      <c r="V658" s="17">
        <v>1</v>
      </c>
      <c r="W658" s="17">
        <v>44</v>
      </c>
      <c r="X658" s="17">
        <v>2</v>
      </c>
      <c r="Y658" s="17">
        <v>3</v>
      </c>
      <c r="Z658" s="6">
        <f t="shared" si="65"/>
        <v>49</v>
      </c>
      <c r="AA658" s="11">
        <f t="shared" si="66"/>
        <v>0.89795918367346939</v>
      </c>
      <c r="AB658" s="11">
        <f t="shared" si="67"/>
        <v>4.0816326530612242E-2</v>
      </c>
      <c r="AC658" s="66">
        <f t="shared" si="68"/>
        <v>0.89795918367346939</v>
      </c>
      <c r="AD658" s="67">
        <f t="shared" si="69"/>
        <v>0.84693877551020413</v>
      </c>
    </row>
    <row r="659" spans="1:30" ht="14.5" customHeight="1" x14ac:dyDescent="0.2">
      <c r="A659" s="21" t="s">
        <v>2972</v>
      </c>
      <c r="B659" s="17">
        <v>0</v>
      </c>
      <c r="C659" s="17">
        <v>0</v>
      </c>
      <c r="D659" s="22" t="s">
        <v>1202</v>
      </c>
      <c r="E659" s="22" t="s">
        <v>3010</v>
      </c>
      <c r="F659" s="17">
        <f t="shared" si="70"/>
        <v>2003</v>
      </c>
      <c r="G659" s="18">
        <v>37719</v>
      </c>
      <c r="H659" s="12" t="s">
        <v>2980</v>
      </c>
      <c r="I659" s="4">
        <v>0</v>
      </c>
      <c r="J659" s="22" t="s">
        <v>1212</v>
      </c>
      <c r="K659" s="17">
        <v>0</v>
      </c>
      <c r="L659" s="59">
        <v>1</v>
      </c>
      <c r="M659" s="22" t="s">
        <v>2559</v>
      </c>
      <c r="N659" s="22" t="s">
        <v>2630</v>
      </c>
      <c r="P659" s="22" t="s">
        <v>1213</v>
      </c>
      <c r="Q659" s="22" t="s">
        <v>1214</v>
      </c>
      <c r="R659" s="17">
        <v>1</v>
      </c>
      <c r="S659" s="17">
        <v>0</v>
      </c>
      <c r="T659" s="17">
        <v>0</v>
      </c>
      <c r="U659" s="17">
        <v>1</v>
      </c>
      <c r="V659" s="17">
        <v>1</v>
      </c>
      <c r="W659" s="17">
        <v>43</v>
      </c>
      <c r="X659" s="17">
        <v>1</v>
      </c>
      <c r="Y659" s="17">
        <v>6</v>
      </c>
      <c r="Z659" s="6">
        <f t="shared" si="65"/>
        <v>50</v>
      </c>
      <c r="AA659" s="11">
        <f t="shared" si="66"/>
        <v>0.86</v>
      </c>
      <c r="AB659" s="11">
        <f t="shared" si="67"/>
        <v>0.02</v>
      </c>
      <c r="AC659" s="66">
        <f t="shared" si="68"/>
        <v>0.86</v>
      </c>
      <c r="AD659" s="67">
        <f t="shared" si="69"/>
        <v>0.79</v>
      </c>
    </row>
    <row r="660" spans="1:30" ht="14.5" customHeight="1" x14ac:dyDescent="0.2">
      <c r="A660" s="21" t="s">
        <v>2972</v>
      </c>
      <c r="B660" s="17">
        <v>0</v>
      </c>
      <c r="C660" s="17">
        <v>0</v>
      </c>
      <c r="D660" s="22" t="s">
        <v>1202</v>
      </c>
      <c r="E660" s="22" t="s">
        <v>3010</v>
      </c>
      <c r="F660" s="17">
        <f t="shared" si="70"/>
        <v>2003</v>
      </c>
      <c r="G660" s="18">
        <v>37728</v>
      </c>
      <c r="H660" s="12" t="s">
        <v>2980</v>
      </c>
      <c r="I660" s="4">
        <v>0</v>
      </c>
      <c r="J660" s="22" t="s">
        <v>1218</v>
      </c>
      <c r="K660" s="17">
        <v>0</v>
      </c>
      <c r="L660" s="59">
        <v>1</v>
      </c>
      <c r="M660" s="22" t="s">
        <v>2566</v>
      </c>
      <c r="N660" s="5" t="s">
        <v>422</v>
      </c>
      <c r="P660" s="22" t="s">
        <v>1219</v>
      </c>
      <c r="Q660" s="22" t="s">
        <v>1220</v>
      </c>
      <c r="R660" s="17">
        <v>1</v>
      </c>
      <c r="S660" s="17">
        <v>0</v>
      </c>
      <c r="T660" s="17">
        <v>0</v>
      </c>
      <c r="U660" s="17">
        <v>1</v>
      </c>
      <c r="V660" s="17">
        <v>1</v>
      </c>
      <c r="W660" s="17">
        <v>38</v>
      </c>
      <c r="X660" s="17">
        <v>4</v>
      </c>
      <c r="Y660" s="17">
        <v>9</v>
      </c>
      <c r="Z660" s="6">
        <f t="shared" ref="Z660:Z723" si="71">SUM(W660:Y660)</f>
        <v>51</v>
      </c>
      <c r="AA660" s="11">
        <f t="shared" ref="AA660:AA723" si="72">W660/Z660</f>
        <v>0.74509803921568629</v>
      </c>
      <c r="AB660" s="11">
        <f t="shared" ref="AB660:AB723" si="73">X660/Z660</f>
        <v>7.8431372549019607E-2</v>
      </c>
      <c r="AC660" s="66">
        <f t="shared" ref="AC660:AC723" si="74">IF(K660=1,AB660,AA660)</f>
        <v>0.74509803921568629</v>
      </c>
      <c r="AD660" s="67">
        <f t="shared" ref="AD660:AD723" si="75">SUM((MAX(W660,X660,Y660)-0.5*(SUM(W660+X660+Y660)-MAX(W660,X660,Y660)))/SUM(W660+X660+Y660))</f>
        <v>0.61764705882352944</v>
      </c>
    </row>
    <row r="661" spans="1:30" ht="14.5" customHeight="1" x14ac:dyDescent="0.2">
      <c r="A661" s="21" t="s">
        <v>2972</v>
      </c>
      <c r="B661" s="17">
        <v>0</v>
      </c>
      <c r="C661" s="17">
        <v>0</v>
      </c>
      <c r="D661" s="22" t="s">
        <v>1202</v>
      </c>
      <c r="E661" s="22" t="s">
        <v>3010</v>
      </c>
      <c r="F661" s="17">
        <f t="shared" si="70"/>
        <v>2003</v>
      </c>
      <c r="G661" s="18">
        <v>37770</v>
      </c>
      <c r="H661" s="12" t="s">
        <v>2980</v>
      </c>
      <c r="I661" s="4">
        <v>0</v>
      </c>
      <c r="J661" s="22" t="s">
        <v>1221</v>
      </c>
      <c r="K661" s="17">
        <v>0</v>
      </c>
      <c r="L661" s="59">
        <v>1</v>
      </c>
      <c r="M661" t="s">
        <v>30</v>
      </c>
      <c r="N661" t="s">
        <v>2121</v>
      </c>
      <c r="P661" s="22" t="s">
        <v>1222</v>
      </c>
      <c r="Q661" s="22" t="s">
        <v>1223</v>
      </c>
      <c r="R661" s="17">
        <v>1</v>
      </c>
      <c r="S661" s="17">
        <v>0</v>
      </c>
      <c r="T661" s="17">
        <v>0</v>
      </c>
      <c r="U661" s="17">
        <v>1</v>
      </c>
      <c r="V661" s="17">
        <v>0</v>
      </c>
      <c r="W661" s="17">
        <v>61</v>
      </c>
      <c r="X661" s="17">
        <v>10</v>
      </c>
      <c r="Y661" s="17">
        <v>2</v>
      </c>
      <c r="Z661" s="6">
        <f t="shared" si="71"/>
        <v>73</v>
      </c>
      <c r="AA661" s="11">
        <f t="shared" si="72"/>
        <v>0.83561643835616439</v>
      </c>
      <c r="AB661" s="11">
        <f t="shared" si="73"/>
        <v>0.13698630136986301</v>
      </c>
      <c r="AC661" s="66">
        <f t="shared" si="74"/>
        <v>0.83561643835616439</v>
      </c>
      <c r="AD661" s="67">
        <f t="shared" si="75"/>
        <v>0.75342465753424659</v>
      </c>
    </row>
    <row r="662" spans="1:30" ht="14.5" customHeight="1" x14ac:dyDescent="0.2">
      <c r="A662" s="21" t="s">
        <v>2972</v>
      </c>
      <c r="B662" s="17">
        <v>0</v>
      </c>
      <c r="C662" s="17">
        <v>0</v>
      </c>
      <c r="D662" s="22" t="s">
        <v>1202</v>
      </c>
      <c r="E662" s="22" t="s">
        <v>3010</v>
      </c>
      <c r="F662" s="17">
        <f t="shared" si="70"/>
        <v>2003</v>
      </c>
      <c r="G662" s="18">
        <v>37910</v>
      </c>
      <c r="H662" s="12" t="s">
        <v>2980</v>
      </c>
      <c r="I662" s="4">
        <v>0</v>
      </c>
      <c r="J662" s="22" t="s">
        <v>1224</v>
      </c>
      <c r="K662" s="17">
        <v>0</v>
      </c>
      <c r="L662" s="59">
        <v>1</v>
      </c>
      <c r="M662" s="22" t="s">
        <v>124</v>
      </c>
      <c r="N662" s="22" t="s">
        <v>2630</v>
      </c>
      <c r="O662" s="22" t="s">
        <v>1225</v>
      </c>
      <c r="P662" s="22" t="s">
        <v>1226</v>
      </c>
      <c r="Q662" s="22" t="s">
        <v>1227</v>
      </c>
      <c r="R662" s="17">
        <v>1</v>
      </c>
      <c r="S662" s="17">
        <v>0</v>
      </c>
      <c r="T662" s="17">
        <v>0</v>
      </c>
      <c r="U662" s="17">
        <v>1</v>
      </c>
      <c r="V662" s="17">
        <v>1</v>
      </c>
      <c r="W662" s="17">
        <v>57</v>
      </c>
      <c r="X662" s="17">
        <v>2</v>
      </c>
      <c r="Y662" s="17">
        <v>3</v>
      </c>
      <c r="Z662" s="6">
        <f t="shared" si="71"/>
        <v>62</v>
      </c>
      <c r="AA662" s="11">
        <f t="shared" si="72"/>
        <v>0.91935483870967738</v>
      </c>
      <c r="AB662" s="11">
        <f t="shared" si="73"/>
        <v>3.2258064516129031E-2</v>
      </c>
      <c r="AC662" s="66">
        <f t="shared" si="74"/>
        <v>0.91935483870967738</v>
      </c>
      <c r="AD662" s="67">
        <f t="shared" si="75"/>
        <v>0.87903225806451613</v>
      </c>
    </row>
    <row r="663" spans="1:30" ht="14.5" customHeight="1" x14ac:dyDescent="0.2">
      <c r="A663" s="21" t="s">
        <v>2972</v>
      </c>
      <c r="B663" s="17">
        <v>0</v>
      </c>
      <c r="C663" s="17">
        <v>0</v>
      </c>
      <c r="D663" s="22" t="s">
        <v>1202</v>
      </c>
      <c r="E663" s="22" t="s">
        <v>3010</v>
      </c>
      <c r="F663" s="17">
        <f t="shared" si="70"/>
        <v>2003</v>
      </c>
      <c r="G663" s="18">
        <v>37910</v>
      </c>
      <c r="H663" s="12" t="s">
        <v>2980</v>
      </c>
      <c r="I663" s="4">
        <v>0</v>
      </c>
      <c r="J663" s="22" t="s">
        <v>1228</v>
      </c>
      <c r="K663" s="17">
        <v>0</v>
      </c>
      <c r="L663" s="59">
        <v>1</v>
      </c>
      <c r="M663" s="22" t="s">
        <v>135</v>
      </c>
      <c r="N663" s="22" t="s">
        <v>2637</v>
      </c>
      <c r="O663" s="22" t="s">
        <v>2952</v>
      </c>
      <c r="P663" s="22" t="s">
        <v>1229</v>
      </c>
      <c r="Q663" s="22" t="s">
        <v>1230</v>
      </c>
      <c r="R663" s="17">
        <v>1</v>
      </c>
      <c r="S663" s="17">
        <v>0</v>
      </c>
      <c r="T663" s="17">
        <v>0</v>
      </c>
      <c r="U663" s="17">
        <v>1</v>
      </c>
      <c r="V663" s="17">
        <v>1</v>
      </c>
      <c r="W663" s="17">
        <v>54</v>
      </c>
      <c r="X663" s="17">
        <v>4</v>
      </c>
      <c r="Y663" s="17">
        <v>4</v>
      </c>
      <c r="Z663" s="6">
        <f t="shared" si="71"/>
        <v>62</v>
      </c>
      <c r="AA663" s="11">
        <f t="shared" si="72"/>
        <v>0.87096774193548387</v>
      </c>
      <c r="AB663" s="11">
        <f t="shared" si="73"/>
        <v>6.4516129032258063E-2</v>
      </c>
      <c r="AC663" s="66">
        <f t="shared" si="74"/>
        <v>0.87096774193548387</v>
      </c>
      <c r="AD663" s="67">
        <f t="shared" si="75"/>
        <v>0.80645161290322576</v>
      </c>
    </row>
    <row r="664" spans="1:30" ht="14.5" customHeight="1" x14ac:dyDescent="0.2">
      <c r="A664" s="21" t="s">
        <v>2972</v>
      </c>
      <c r="B664" s="17">
        <v>1</v>
      </c>
      <c r="C664" s="17">
        <v>0</v>
      </c>
      <c r="D664" s="22" t="s">
        <v>1202</v>
      </c>
      <c r="E664" s="22" t="s">
        <v>3010</v>
      </c>
      <c r="F664" s="17">
        <f t="shared" si="70"/>
        <v>2004</v>
      </c>
      <c r="G664" s="18">
        <v>38090</v>
      </c>
      <c r="H664" s="12" t="s">
        <v>2980</v>
      </c>
      <c r="I664" s="4">
        <v>0</v>
      </c>
      <c r="J664" s="22" t="s">
        <v>1231</v>
      </c>
      <c r="K664" s="17">
        <v>0</v>
      </c>
      <c r="L664" s="59">
        <v>1</v>
      </c>
      <c r="M664" s="22" t="s">
        <v>135</v>
      </c>
      <c r="N664" s="5" t="s">
        <v>2637</v>
      </c>
      <c r="O664" s="22" t="s">
        <v>2952</v>
      </c>
      <c r="P664" s="22" t="s">
        <v>1232</v>
      </c>
      <c r="Q664" s="22" t="s">
        <v>1233</v>
      </c>
      <c r="R664" s="17">
        <v>1</v>
      </c>
      <c r="S664" s="17">
        <v>0</v>
      </c>
      <c r="T664" s="17">
        <v>0</v>
      </c>
      <c r="U664" s="17">
        <v>1</v>
      </c>
      <c r="V664" s="17">
        <v>1</v>
      </c>
      <c r="W664" s="17">
        <v>24</v>
      </c>
      <c r="X664" s="17">
        <v>1</v>
      </c>
      <c r="Y664" s="17">
        <v>8</v>
      </c>
      <c r="Z664" s="6">
        <f t="shared" si="71"/>
        <v>33</v>
      </c>
      <c r="AA664" s="11">
        <f t="shared" si="72"/>
        <v>0.72727272727272729</v>
      </c>
      <c r="AB664" s="11">
        <f t="shared" si="73"/>
        <v>3.0303030303030304E-2</v>
      </c>
      <c r="AC664" s="66">
        <f t="shared" si="74"/>
        <v>0.72727272727272729</v>
      </c>
      <c r="AD664" s="67">
        <f t="shared" si="75"/>
        <v>0.59090909090909094</v>
      </c>
    </row>
    <row r="665" spans="1:30" ht="14.5" customHeight="1" x14ac:dyDescent="0.2">
      <c r="A665" s="21" t="s">
        <v>2972</v>
      </c>
      <c r="B665" s="17">
        <v>1</v>
      </c>
      <c r="C665" s="17">
        <v>0</v>
      </c>
      <c r="D665" s="22" t="s">
        <v>1234</v>
      </c>
      <c r="E665" s="22" t="s">
        <v>1235</v>
      </c>
      <c r="F665" s="17">
        <f t="shared" si="70"/>
        <v>2005</v>
      </c>
      <c r="G665" s="18">
        <v>38372</v>
      </c>
      <c r="H665" s="12" t="s">
        <v>2980</v>
      </c>
      <c r="I665" s="4">
        <v>0</v>
      </c>
      <c r="J665" s="22" t="s">
        <v>1236</v>
      </c>
      <c r="K665" s="17">
        <v>0</v>
      </c>
      <c r="L665" s="59">
        <v>1</v>
      </c>
      <c r="M665" t="s">
        <v>2953</v>
      </c>
      <c r="N665" s="5" t="s">
        <v>2637</v>
      </c>
      <c r="P665" s="22" t="s">
        <v>1237</v>
      </c>
      <c r="Q665" s="22" t="s">
        <v>1238</v>
      </c>
      <c r="R665" s="17">
        <v>1</v>
      </c>
      <c r="S665" s="17">
        <v>0</v>
      </c>
      <c r="T665" s="17">
        <v>0</v>
      </c>
      <c r="U665" s="17">
        <v>1</v>
      </c>
      <c r="V665" s="17">
        <v>0</v>
      </c>
      <c r="W665" s="17">
        <v>81</v>
      </c>
      <c r="X665" s="17">
        <v>4</v>
      </c>
      <c r="Y665" s="17">
        <v>8</v>
      </c>
      <c r="Z665" s="6">
        <f t="shared" si="71"/>
        <v>93</v>
      </c>
      <c r="AA665" s="11">
        <f t="shared" si="72"/>
        <v>0.87096774193548387</v>
      </c>
      <c r="AB665" s="11">
        <f t="shared" si="73"/>
        <v>4.3010752688172046E-2</v>
      </c>
      <c r="AC665" s="66">
        <f t="shared" si="74"/>
        <v>0.87096774193548387</v>
      </c>
      <c r="AD665" s="67">
        <f t="shared" si="75"/>
        <v>0.80645161290322576</v>
      </c>
    </row>
    <row r="666" spans="1:30" ht="14.5" customHeight="1" x14ac:dyDescent="0.2">
      <c r="A666" s="21" t="s">
        <v>2972</v>
      </c>
      <c r="B666" s="17">
        <v>1</v>
      </c>
      <c r="C666" s="17">
        <v>0</v>
      </c>
      <c r="D666" s="22" t="s">
        <v>1234</v>
      </c>
      <c r="E666" s="22" t="s">
        <v>1235</v>
      </c>
      <c r="F666" s="17">
        <f t="shared" si="70"/>
        <v>2005</v>
      </c>
      <c r="G666" s="18">
        <v>38463</v>
      </c>
      <c r="H666" s="12" t="s">
        <v>2980</v>
      </c>
      <c r="I666" s="4">
        <v>0</v>
      </c>
      <c r="J666" s="22" t="s">
        <v>1239</v>
      </c>
      <c r="K666" s="17">
        <v>0</v>
      </c>
      <c r="L666" s="59">
        <v>1</v>
      </c>
      <c r="M666" s="22" t="s">
        <v>2612</v>
      </c>
      <c r="N666" s="22" t="s">
        <v>2629</v>
      </c>
      <c r="P666" s="22" t="s">
        <v>1240</v>
      </c>
      <c r="Q666" s="22" t="s">
        <v>1241</v>
      </c>
      <c r="R666" s="17">
        <v>1</v>
      </c>
      <c r="S666" s="17">
        <v>0</v>
      </c>
      <c r="T666" s="17">
        <v>0</v>
      </c>
      <c r="U666" s="17">
        <v>1</v>
      </c>
      <c r="V666" s="17">
        <v>0</v>
      </c>
      <c r="W666" s="17">
        <v>75</v>
      </c>
      <c r="X666" s="17">
        <v>5</v>
      </c>
      <c r="Y666" s="17">
        <v>10</v>
      </c>
      <c r="Z666" s="6">
        <f t="shared" si="71"/>
        <v>90</v>
      </c>
      <c r="AA666" s="11">
        <f t="shared" si="72"/>
        <v>0.83333333333333337</v>
      </c>
      <c r="AB666" s="11">
        <f t="shared" si="73"/>
        <v>5.5555555555555552E-2</v>
      </c>
      <c r="AC666" s="66">
        <f t="shared" si="74"/>
        <v>0.83333333333333337</v>
      </c>
      <c r="AD666" s="67">
        <f t="shared" si="75"/>
        <v>0.75</v>
      </c>
    </row>
    <row r="667" spans="1:30" ht="14.5" customHeight="1" x14ac:dyDescent="0.2">
      <c r="A667" s="21" t="s">
        <v>2972</v>
      </c>
      <c r="B667" s="17">
        <v>1</v>
      </c>
      <c r="C667" s="17">
        <v>0</v>
      </c>
      <c r="D667" s="22" t="s">
        <v>1234</v>
      </c>
      <c r="E667" s="22" t="s">
        <v>1235</v>
      </c>
      <c r="F667" s="17">
        <f t="shared" si="70"/>
        <v>2005</v>
      </c>
      <c r="G667" s="18">
        <v>38512</v>
      </c>
      <c r="H667" s="12" t="s">
        <v>2980</v>
      </c>
      <c r="I667" s="4">
        <v>0</v>
      </c>
      <c r="J667" s="22" t="s">
        <v>1242</v>
      </c>
      <c r="K667" s="17">
        <v>0</v>
      </c>
      <c r="L667" s="59">
        <v>1</v>
      </c>
      <c r="M667" s="22" t="s">
        <v>2885</v>
      </c>
      <c r="N667" s="22" t="s">
        <v>2637</v>
      </c>
      <c r="O667" s="22" t="s">
        <v>1243</v>
      </c>
      <c r="P667" s="22" t="s">
        <v>1244</v>
      </c>
      <c r="Q667" s="22" t="s">
        <v>1245</v>
      </c>
      <c r="R667" s="17">
        <v>1</v>
      </c>
      <c r="S667" s="17">
        <v>0</v>
      </c>
      <c r="T667" s="17">
        <v>0</v>
      </c>
      <c r="U667" s="17">
        <v>1</v>
      </c>
      <c r="V667" s="17">
        <v>1</v>
      </c>
      <c r="W667" s="17">
        <v>76</v>
      </c>
      <c r="X667" s="17">
        <v>2</v>
      </c>
      <c r="Y667" s="17">
        <v>10</v>
      </c>
      <c r="Z667" s="6">
        <f t="shared" si="71"/>
        <v>88</v>
      </c>
      <c r="AA667" s="11">
        <f t="shared" si="72"/>
        <v>0.86363636363636365</v>
      </c>
      <c r="AB667" s="11">
        <f t="shared" si="73"/>
        <v>2.2727272727272728E-2</v>
      </c>
      <c r="AC667" s="66">
        <f t="shared" si="74"/>
        <v>0.86363636363636365</v>
      </c>
      <c r="AD667" s="67">
        <f t="shared" si="75"/>
        <v>0.79545454545454541</v>
      </c>
    </row>
    <row r="668" spans="1:30" ht="14.5" customHeight="1" x14ac:dyDescent="0.2">
      <c r="A668" s="21" t="s">
        <v>2972</v>
      </c>
      <c r="B668" s="17">
        <v>1</v>
      </c>
      <c r="C668" s="17">
        <v>0</v>
      </c>
      <c r="D668" s="22" t="s">
        <v>1246</v>
      </c>
      <c r="E668" s="22" t="s">
        <v>1247</v>
      </c>
      <c r="F668" s="17">
        <f t="shared" si="70"/>
        <v>2007</v>
      </c>
      <c r="G668" s="18">
        <v>39247</v>
      </c>
      <c r="H668" s="12" t="s">
        <v>2980</v>
      </c>
      <c r="I668" s="4">
        <v>0</v>
      </c>
      <c r="J668" s="22" t="s">
        <v>1248</v>
      </c>
      <c r="K668" s="17">
        <v>0</v>
      </c>
      <c r="L668" s="59">
        <v>1</v>
      </c>
      <c r="M668" s="22" t="s">
        <v>2887</v>
      </c>
      <c r="N668" s="22" t="s">
        <v>2637</v>
      </c>
      <c r="O668" s="22" t="s">
        <v>1249</v>
      </c>
      <c r="P668" s="22" t="s">
        <v>1250</v>
      </c>
      <c r="Q668" s="22" t="s">
        <v>1251</v>
      </c>
      <c r="R668" s="17">
        <v>1</v>
      </c>
      <c r="S668" s="17">
        <v>0</v>
      </c>
      <c r="T668" s="17">
        <v>0</v>
      </c>
      <c r="U668" s="17">
        <v>1</v>
      </c>
      <c r="V668" s="17">
        <v>1</v>
      </c>
      <c r="W668" s="17">
        <v>46</v>
      </c>
      <c r="X668" s="17">
        <v>12</v>
      </c>
      <c r="Y668" s="17">
        <v>15</v>
      </c>
      <c r="Z668" s="6">
        <f t="shared" si="71"/>
        <v>73</v>
      </c>
      <c r="AA668" s="11">
        <f t="shared" si="72"/>
        <v>0.63013698630136983</v>
      </c>
      <c r="AB668" s="11">
        <f t="shared" si="73"/>
        <v>0.16438356164383561</v>
      </c>
      <c r="AC668" s="66">
        <f t="shared" si="74"/>
        <v>0.63013698630136983</v>
      </c>
      <c r="AD668" s="67">
        <f t="shared" si="75"/>
        <v>0.4452054794520548</v>
      </c>
    </row>
    <row r="669" spans="1:30" ht="14.5" customHeight="1" x14ac:dyDescent="0.2">
      <c r="A669" s="21" t="s">
        <v>2972</v>
      </c>
      <c r="B669" s="17">
        <v>1</v>
      </c>
      <c r="C669" s="17">
        <v>0</v>
      </c>
      <c r="D669" s="22" t="s">
        <v>1246</v>
      </c>
      <c r="E669" s="22" t="s">
        <v>1247</v>
      </c>
      <c r="F669" s="17">
        <f t="shared" si="70"/>
        <v>2008</v>
      </c>
      <c r="G669" s="18">
        <v>39625</v>
      </c>
      <c r="H669" s="12" t="s">
        <v>2980</v>
      </c>
      <c r="I669" s="4">
        <v>0</v>
      </c>
      <c r="J669" s="22" t="s">
        <v>1252</v>
      </c>
      <c r="K669" s="17">
        <v>0</v>
      </c>
      <c r="L669" s="59">
        <v>1</v>
      </c>
      <c r="M669" t="s">
        <v>2950</v>
      </c>
      <c r="N669" s="55" t="s">
        <v>2637</v>
      </c>
      <c r="O669" s="22" t="s">
        <v>1253</v>
      </c>
      <c r="P669" s="22" t="s">
        <v>1254</v>
      </c>
      <c r="Q669" s="22" t="s">
        <v>1255</v>
      </c>
      <c r="R669" s="17">
        <v>1</v>
      </c>
      <c r="S669" s="17">
        <v>0</v>
      </c>
      <c r="T669" s="17">
        <v>0</v>
      </c>
      <c r="U669" s="17">
        <v>1</v>
      </c>
      <c r="V669" s="17">
        <v>1</v>
      </c>
      <c r="W669" s="17">
        <v>38</v>
      </c>
      <c r="X669" s="17">
        <v>2</v>
      </c>
      <c r="Y669" s="17">
        <v>3</v>
      </c>
      <c r="Z669" s="6">
        <f t="shared" si="71"/>
        <v>43</v>
      </c>
      <c r="AA669" s="11">
        <f t="shared" si="72"/>
        <v>0.88372093023255816</v>
      </c>
      <c r="AB669" s="11">
        <f t="shared" si="73"/>
        <v>4.6511627906976744E-2</v>
      </c>
      <c r="AC669" s="66">
        <f t="shared" si="74"/>
        <v>0.88372093023255816</v>
      </c>
      <c r="AD669" s="67">
        <f t="shared" si="75"/>
        <v>0.82558139534883723</v>
      </c>
    </row>
    <row r="670" spans="1:30" ht="14.5" customHeight="1" x14ac:dyDescent="0.2">
      <c r="A670" s="21" t="s">
        <v>2972</v>
      </c>
      <c r="B670" s="17">
        <v>1</v>
      </c>
      <c r="C670" s="17">
        <v>0</v>
      </c>
      <c r="D670" s="22" t="s">
        <v>1256</v>
      </c>
      <c r="E670" s="22" t="s">
        <v>1257</v>
      </c>
      <c r="F670" s="17">
        <f t="shared" si="70"/>
        <v>2010</v>
      </c>
      <c r="G670" s="18">
        <v>40346</v>
      </c>
      <c r="H670" s="12" t="s">
        <v>2980</v>
      </c>
      <c r="I670" s="4">
        <v>0</v>
      </c>
      <c r="J670" s="22" t="s">
        <v>1258</v>
      </c>
      <c r="K670" s="17">
        <v>0</v>
      </c>
      <c r="L670" s="59">
        <v>1</v>
      </c>
      <c r="M670" t="s">
        <v>2950</v>
      </c>
      <c r="N670" s="55" t="s">
        <v>2637</v>
      </c>
      <c r="O670" s="22" t="s">
        <v>1253</v>
      </c>
      <c r="P670" s="22" t="s">
        <v>1259</v>
      </c>
      <c r="Q670" s="22" t="s">
        <v>1260</v>
      </c>
      <c r="R670" s="17">
        <v>1</v>
      </c>
      <c r="S670" s="17">
        <v>0</v>
      </c>
      <c r="T670" s="17">
        <v>0</v>
      </c>
      <c r="U670" s="17">
        <v>1</v>
      </c>
      <c r="V670" s="17">
        <v>1</v>
      </c>
      <c r="W670" s="17">
        <v>86</v>
      </c>
      <c r="X670" s="17">
        <v>1</v>
      </c>
      <c r="Y670" s="17">
        <v>3</v>
      </c>
      <c r="Z670" s="6">
        <f t="shared" si="71"/>
        <v>90</v>
      </c>
      <c r="AA670" s="11">
        <f t="shared" si="72"/>
        <v>0.9555555555555556</v>
      </c>
      <c r="AB670" s="11">
        <f t="shared" si="73"/>
        <v>1.1111111111111112E-2</v>
      </c>
      <c r="AC670" s="66">
        <f t="shared" si="74"/>
        <v>0.9555555555555556</v>
      </c>
      <c r="AD670" s="67">
        <f t="shared" si="75"/>
        <v>0.93333333333333335</v>
      </c>
    </row>
    <row r="671" spans="1:30" ht="14.5" customHeight="1" x14ac:dyDescent="0.2">
      <c r="A671" s="21" t="s">
        <v>2972</v>
      </c>
      <c r="B671" s="17">
        <v>1</v>
      </c>
      <c r="C671" s="17">
        <v>0</v>
      </c>
      <c r="D671" s="22" t="s">
        <v>1261</v>
      </c>
      <c r="E671" s="22" t="s">
        <v>1262</v>
      </c>
      <c r="F671" s="17">
        <f t="shared" si="70"/>
        <v>2012</v>
      </c>
      <c r="G671" s="18">
        <v>41051</v>
      </c>
      <c r="H671" s="12" t="s">
        <v>2980</v>
      </c>
      <c r="I671" s="4">
        <v>0</v>
      </c>
      <c r="J671" s="22" t="s">
        <v>1263</v>
      </c>
      <c r="K671" s="17">
        <v>0</v>
      </c>
      <c r="L671" s="59">
        <v>1</v>
      </c>
      <c r="M671" t="s">
        <v>2950</v>
      </c>
      <c r="N671" s="55" t="s">
        <v>2637</v>
      </c>
      <c r="O671" s="22" t="s">
        <v>1253</v>
      </c>
      <c r="P671" s="22" t="s">
        <v>1264</v>
      </c>
      <c r="Q671" s="22" t="s">
        <v>1265</v>
      </c>
      <c r="R671" s="17">
        <v>1</v>
      </c>
      <c r="S671" s="17">
        <v>0</v>
      </c>
      <c r="T671" s="17">
        <v>0</v>
      </c>
      <c r="U671" s="17">
        <v>1</v>
      </c>
      <c r="V671" s="17">
        <v>1</v>
      </c>
      <c r="W671" s="17">
        <v>68</v>
      </c>
      <c r="X671" s="17">
        <v>1</v>
      </c>
      <c r="Y671" s="17">
        <v>2</v>
      </c>
      <c r="Z671" s="6">
        <f t="shared" si="71"/>
        <v>71</v>
      </c>
      <c r="AA671" s="11">
        <f t="shared" si="72"/>
        <v>0.95774647887323938</v>
      </c>
      <c r="AB671" s="11">
        <f t="shared" si="73"/>
        <v>1.4084507042253521E-2</v>
      </c>
      <c r="AC671" s="66">
        <f t="shared" si="74"/>
        <v>0.95774647887323938</v>
      </c>
      <c r="AD671" s="67">
        <f t="shared" si="75"/>
        <v>0.93661971830985913</v>
      </c>
    </row>
    <row r="672" spans="1:30" ht="14.5" customHeight="1" x14ac:dyDescent="0.2">
      <c r="A672" s="21" t="s">
        <v>2972</v>
      </c>
      <c r="B672" s="17">
        <v>1</v>
      </c>
      <c r="C672" s="17">
        <v>0</v>
      </c>
      <c r="D672" s="22" t="s">
        <v>1266</v>
      </c>
      <c r="E672" s="22" t="s">
        <v>1267</v>
      </c>
      <c r="F672" s="17">
        <f t="shared" si="70"/>
        <v>2013</v>
      </c>
      <c r="G672" s="18">
        <v>41387</v>
      </c>
      <c r="H672" s="12" t="s">
        <v>2980</v>
      </c>
      <c r="I672" s="4">
        <v>0</v>
      </c>
      <c r="J672" s="22" t="s">
        <v>1268</v>
      </c>
      <c r="K672" s="17">
        <v>0</v>
      </c>
      <c r="L672" s="59">
        <v>1</v>
      </c>
      <c r="M672" s="22" t="s">
        <v>2889</v>
      </c>
      <c r="N672" s="22" t="s">
        <v>2637</v>
      </c>
      <c r="O672" s="22" t="s">
        <v>2954</v>
      </c>
      <c r="P672" s="22" t="s">
        <v>1269</v>
      </c>
      <c r="Q672" s="22" t="s">
        <v>1270</v>
      </c>
      <c r="R672" s="17">
        <v>1</v>
      </c>
      <c r="S672" s="17">
        <v>0</v>
      </c>
      <c r="T672" s="17">
        <v>0</v>
      </c>
      <c r="U672" s="17">
        <v>1</v>
      </c>
      <c r="V672" s="17">
        <v>0</v>
      </c>
      <c r="W672" s="17">
        <v>89</v>
      </c>
      <c r="X672" s="17">
        <v>0</v>
      </c>
      <c r="Y672" s="17">
        <v>3</v>
      </c>
      <c r="Z672" s="6">
        <f t="shared" si="71"/>
        <v>92</v>
      </c>
      <c r="AA672" s="11">
        <f t="shared" si="72"/>
        <v>0.96739130434782605</v>
      </c>
      <c r="AB672" s="11">
        <f t="shared" si="73"/>
        <v>0</v>
      </c>
      <c r="AC672" s="66">
        <f t="shared" si="74"/>
        <v>0.96739130434782605</v>
      </c>
      <c r="AD672" s="67">
        <f t="shared" si="75"/>
        <v>0.95108695652173914</v>
      </c>
    </row>
    <row r="673" spans="1:95" ht="14.5" customHeight="1" x14ac:dyDescent="0.2">
      <c r="A673" s="21" t="s">
        <v>2972</v>
      </c>
      <c r="B673" s="17">
        <v>1</v>
      </c>
      <c r="C673" s="17">
        <v>1</v>
      </c>
      <c r="D673" s="22" t="s">
        <v>1266</v>
      </c>
      <c r="E673" s="22" t="s">
        <v>1267</v>
      </c>
      <c r="F673" s="17">
        <f t="shared" si="70"/>
        <v>2014</v>
      </c>
      <c r="G673" s="18">
        <v>41716</v>
      </c>
      <c r="H673" s="12" t="s">
        <v>2980</v>
      </c>
      <c r="I673" s="4">
        <v>0</v>
      </c>
      <c r="J673" s="22" t="s">
        <v>1271</v>
      </c>
      <c r="K673" s="17">
        <v>0</v>
      </c>
      <c r="L673" s="59">
        <v>1</v>
      </c>
      <c r="M673" s="22" t="s">
        <v>2891</v>
      </c>
      <c r="N673" s="22" t="s">
        <v>2637</v>
      </c>
      <c r="O673" s="22" t="s">
        <v>2955</v>
      </c>
      <c r="P673" s="22" t="s">
        <v>1272</v>
      </c>
      <c r="Q673" s="22" t="s">
        <v>1273</v>
      </c>
      <c r="R673" s="17">
        <v>1</v>
      </c>
      <c r="S673" s="17">
        <v>0</v>
      </c>
      <c r="T673" s="17">
        <v>0</v>
      </c>
      <c r="U673" s="17">
        <v>1</v>
      </c>
      <c r="V673" s="17">
        <v>1</v>
      </c>
      <c r="W673" s="17">
        <v>80</v>
      </c>
      <c r="X673" s="17">
        <v>1</v>
      </c>
      <c r="Y673" s="17">
        <v>3</v>
      </c>
      <c r="Z673" s="6">
        <f t="shared" si="71"/>
        <v>84</v>
      </c>
      <c r="AA673" s="11">
        <f t="shared" si="72"/>
        <v>0.95238095238095233</v>
      </c>
      <c r="AB673" s="11">
        <f t="shared" si="73"/>
        <v>1.1904761904761904E-2</v>
      </c>
      <c r="AC673" s="66">
        <f t="shared" si="74"/>
        <v>0.95238095238095233</v>
      </c>
      <c r="AD673" s="67">
        <f t="shared" si="75"/>
        <v>0.9285714285714286</v>
      </c>
    </row>
    <row r="674" spans="1:95" ht="14.5" customHeight="1" x14ac:dyDescent="0.2">
      <c r="A674" s="21" t="s">
        <v>2972</v>
      </c>
      <c r="B674" s="17">
        <v>1</v>
      </c>
      <c r="C674" s="17">
        <v>1</v>
      </c>
      <c r="D674" s="22" t="s">
        <v>1274</v>
      </c>
      <c r="E674" s="22" t="s">
        <v>1267</v>
      </c>
      <c r="F674" s="17">
        <f t="shared" si="70"/>
        <v>2014</v>
      </c>
      <c r="G674" s="18">
        <v>41984</v>
      </c>
      <c r="H674" s="12" t="s">
        <v>2980</v>
      </c>
      <c r="I674" s="4">
        <v>0</v>
      </c>
      <c r="J674" s="22" t="s">
        <v>1275</v>
      </c>
      <c r="K674" s="17">
        <v>0</v>
      </c>
      <c r="L674" s="59">
        <v>1</v>
      </c>
      <c r="M674" t="s">
        <v>2950</v>
      </c>
      <c r="N674" s="22" t="s">
        <v>2637</v>
      </c>
      <c r="O674" s="22" t="s">
        <v>1253</v>
      </c>
      <c r="P674" s="22" t="s">
        <v>1276</v>
      </c>
      <c r="Q674" s="22" t="s">
        <v>1277</v>
      </c>
      <c r="R674" s="17">
        <v>1</v>
      </c>
      <c r="S674" s="17">
        <v>0</v>
      </c>
      <c r="T674" s="17">
        <v>0</v>
      </c>
      <c r="U674" s="17">
        <v>1</v>
      </c>
      <c r="V674" s="17">
        <v>1</v>
      </c>
      <c r="W674" s="17">
        <v>83</v>
      </c>
      <c r="X674" s="17">
        <v>0</v>
      </c>
      <c r="Y674" s="17">
        <v>1</v>
      </c>
      <c r="Z674" s="6">
        <f t="shared" si="71"/>
        <v>84</v>
      </c>
      <c r="AA674" s="11">
        <f t="shared" si="72"/>
        <v>0.98809523809523814</v>
      </c>
      <c r="AB674" s="11">
        <f t="shared" si="73"/>
        <v>0</v>
      </c>
      <c r="AC674" s="66">
        <f t="shared" si="74"/>
        <v>0.98809523809523814</v>
      </c>
      <c r="AD674" s="67">
        <f t="shared" si="75"/>
        <v>0.9821428571428571</v>
      </c>
    </row>
    <row r="675" spans="1:95" s="36" customFormat="1" ht="15.75" customHeight="1" x14ac:dyDescent="0.2">
      <c r="A675" s="21" t="s">
        <v>2972</v>
      </c>
      <c r="B675" s="17">
        <v>1</v>
      </c>
      <c r="C675" s="17">
        <v>1</v>
      </c>
      <c r="D675" s="22" t="s">
        <v>1274</v>
      </c>
      <c r="E675" s="22" t="s">
        <v>1267</v>
      </c>
      <c r="F675" s="17">
        <f t="shared" si="70"/>
        <v>2015</v>
      </c>
      <c r="G675" s="18">
        <v>42360</v>
      </c>
      <c r="H675" s="12" t="s">
        <v>2980</v>
      </c>
      <c r="I675" s="4">
        <v>0</v>
      </c>
      <c r="J675" s="22" t="s">
        <v>1268</v>
      </c>
      <c r="K675" s="17">
        <v>0</v>
      </c>
      <c r="L675" s="59">
        <v>1</v>
      </c>
      <c r="M675" s="22" t="s">
        <v>2893</v>
      </c>
      <c r="N675" s="22" t="s">
        <v>2637</v>
      </c>
      <c r="O675" s="22" t="s">
        <v>1278</v>
      </c>
      <c r="P675" s="22" t="s">
        <v>1279</v>
      </c>
      <c r="Q675" s="22" t="s">
        <v>1280</v>
      </c>
      <c r="R675" s="17">
        <v>1</v>
      </c>
      <c r="S675" s="17">
        <v>0</v>
      </c>
      <c r="T675" s="17">
        <v>0</v>
      </c>
      <c r="U675" s="17">
        <v>1</v>
      </c>
      <c r="V675" s="17">
        <v>-99</v>
      </c>
      <c r="W675" s="17">
        <v>73</v>
      </c>
      <c r="X675" s="17">
        <v>0</v>
      </c>
      <c r="Y675" s="17">
        <v>2</v>
      </c>
      <c r="Z675" s="6">
        <f t="shared" si="71"/>
        <v>75</v>
      </c>
      <c r="AA675" s="11">
        <f t="shared" si="72"/>
        <v>0.97333333333333338</v>
      </c>
      <c r="AB675" s="11">
        <f t="shared" si="73"/>
        <v>0</v>
      </c>
      <c r="AC675" s="66">
        <f t="shared" si="74"/>
        <v>0.97333333333333338</v>
      </c>
      <c r="AD675" s="67">
        <f t="shared" si="75"/>
        <v>0.96</v>
      </c>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row>
    <row r="676" spans="1:95" ht="14.5" customHeight="1" x14ac:dyDescent="0.2">
      <c r="A676" s="21" t="s">
        <v>2972</v>
      </c>
      <c r="B676" s="17">
        <v>1</v>
      </c>
      <c r="C676" s="17">
        <v>0</v>
      </c>
      <c r="D676" s="22" t="s">
        <v>1274</v>
      </c>
      <c r="E676" s="22" t="s">
        <v>1267</v>
      </c>
      <c r="F676" s="17">
        <f t="shared" si="70"/>
        <v>2016</v>
      </c>
      <c r="G676" s="18">
        <v>42550</v>
      </c>
      <c r="H676" s="12" t="s">
        <v>2980</v>
      </c>
      <c r="I676" s="4">
        <v>0</v>
      </c>
      <c r="J676" s="22" t="s">
        <v>1281</v>
      </c>
      <c r="K676" s="17">
        <v>0</v>
      </c>
      <c r="L676" s="59">
        <v>1</v>
      </c>
      <c r="M676" s="22" t="s">
        <v>2894</v>
      </c>
      <c r="N676" s="22" t="s">
        <v>2637</v>
      </c>
      <c r="O676" s="22" t="s">
        <v>2949</v>
      </c>
      <c r="P676" s="22" t="s">
        <v>1282</v>
      </c>
      <c r="Q676" s="22" t="s">
        <v>1283</v>
      </c>
      <c r="R676" s="17">
        <v>1</v>
      </c>
      <c r="S676" s="17">
        <v>0</v>
      </c>
      <c r="T676" s="17">
        <v>0</v>
      </c>
      <c r="U676" s="17">
        <v>1</v>
      </c>
      <c r="V676" s="17">
        <v>-99</v>
      </c>
      <c r="W676" s="17">
        <v>66</v>
      </c>
      <c r="X676" s="17">
        <v>0</v>
      </c>
      <c r="Y676" s="17">
        <v>3</v>
      </c>
      <c r="Z676" s="6">
        <f t="shared" si="71"/>
        <v>69</v>
      </c>
      <c r="AA676" s="11">
        <f t="shared" si="72"/>
        <v>0.95652173913043481</v>
      </c>
      <c r="AB676" s="11">
        <f t="shared" si="73"/>
        <v>0</v>
      </c>
      <c r="AC676" s="66">
        <f t="shared" si="74"/>
        <v>0.95652173913043481</v>
      </c>
      <c r="AD676" s="67">
        <f t="shared" si="75"/>
        <v>0.93478260869565222</v>
      </c>
    </row>
    <row r="677" spans="1:95" ht="14.5" customHeight="1" x14ac:dyDescent="0.2">
      <c r="A677" s="21" t="s">
        <v>2972</v>
      </c>
      <c r="B677" s="17">
        <v>1</v>
      </c>
      <c r="C677" s="17">
        <v>0</v>
      </c>
      <c r="D677" s="22" t="s">
        <v>1274</v>
      </c>
      <c r="E677" s="22" t="s">
        <v>1267</v>
      </c>
      <c r="F677" s="17">
        <f t="shared" si="70"/>
        <v>2016</v>
      </c>
      <c r="G677" s="18">
        <v>42550</v>
      </c>
      <c r="H677" s="12" t="s">
        <v>2980</v>
      </c>
      <c r="I677" s="4">
        <v>0</v>
      </c>
      <c r="J677" s="22" t="s">
        <v>1284</v>
      </c>
      <c r="K677" s="17">
        <v>0</v>
      </c>
      <c r="L677" s="59">
        <v>1</v>
      </c>
      <c r="M677" t="s">
        <v>2951</v>
      </c>
      <c r="N677" s="22" t="s">
        <v>2637</v>
      </c>
      <c r="O677" s="22" t="s">
        <v>1285</v>
      </c>
      <c r="P677" s="22" t="s">
        <v>1286</v>
      </c>
      <c r="Q677" s="22" t="s">
        <v>1287</v>
      </c>
      <c r="R677" s="17">
        <v>1</v>
      </c>
      <c r="S677" s="17">
        <v>0</v>
      </c>
      <c r="T677" s="17">
        <v>0</v>
      </c>
      <c r="U677" s="17">
        <v>1</v>
      </c>
      <c r="V677" s="17">
        <v>1</v>
      </c>
      <c r="W677" s="17">
        <v>62</v>
      </c>
      <c r="X677" s="17">
        <v>1</v>
      </c>
      <c r="Y677" s="17">
        <v>1</v>
      </c>
      <c r="Z677" s="6">
        <f t="shared" si="71"/>
        <v>64</v>
      </c>
      <c r="AA677" s="11">
        <f t="shared" si="72"/>
        <v>0.96875</v>
      </c>
      <c r="AB677" s="11">
        <f t="shared" si="73"/>
        <v>1.5625E-2</v>
      </c>
      <c r="AC677" s="66">
        <f t="shared" si="74"/>
        <v>0.96875</v>
      </c>
      <c r="AD677" s="67">
        <f t="shared" si="75"/>
        <v>0.953125</v>
      </c>
    </row>
    <row r="678" spans="1:95" ht="14.5" customHeight="1" x14ac:dyDescent="0.2">
      <c r="A678" s="21" t="s">
        <v>2972</v>
      </c>
      <c r="B678" s="17">
        <v>1</v>
      </c>
      <c r="C678" s="17">
        <v>0</v>
      </c>
      <c r="D678" s="22" t="s">
        <v>1288</v>
      </c>
      <c r="E678" s="22" t="s">
        <v>1289</v>
      </c>
      <c r="F678" s="17">
        <f t="shared" si="70"/>
        <v>2017</v>
      </c>
      <c r="G678" s="18">
        <v>42913</v>
      </c>
      <c r="H678" s="12" t="s">
        <v>2980</v>
      </c>
      <c r="I678" s="4">
        <v>0</v>
      </c>
      <c r="J678" s="22" t="s">
        <v>1281</v>
      </c>
      <c r="K678" s="17">
        <v>0</v>
      </c>
      <c r="L678" s="59">
        <v>1</v>
      </c>
      <c r="M678" s="22" t="s">
        <v>2897</v>
      </c>
      <c r="N678" s="22" t="s">
        <v>2637</v>
      </c>
      <c r="O678" s="22" t="s">
        <v>2948</v>
      </c>
      <c r="P678" s="22" t="s">
        <v>1290</v>
      </c>
      <c r="Q678" s="22" t="s">
        <v>1291</v>
      </c>
      <c r="R678" s="17">
        <v>-99</v>
      </c>
      <c r="S678" s="17">
        <v>-99</v>
      </c>
      <c r="T678" s="17">
        <v>-99</v>
      </c>
      <c r="U678" s="17">
        <v>1</v>
      </c>
      <c r="V678" s="17">
        <v>0</v>
      </c>
      <c r="W678" s="17">
        <v>103</v>
      </c>
      <c r="X678" s="17">
        <v>0</v>
      </c>
      <c r="Y678" s="17">
        <v>0</v>
      </c>
      <c r="Z678" s="6">
        <f t="shared" si="71"/>
        <v>103</v>
      </c>
      <c r="AA678" s="11">
        <f t="shared" si="72"/>
        <v>1</v>
      </c>
      <c r="AB678" s="11">
        <f t="shared" si="73"/>
        <v>0</v>
      </c>
      <c r="AC678" s="66">
        <f t="shared" si="74"/>
        <v>1</v>
      </c>
      <c r="AD678" s="67">
        <f t="shared" si="75"/>
        <v>1</v>
      </c>
    </row>
    <row r="679" spans="1:95" ht="14.5" customHeight="1" x14ac:dyDescent="0.2">
      <c r="A679" s="21" t="s">
        <v>2972</v>
      </c>
      <c r="B679" s="17">
        <v>1</v>
      </c>
      <c r="C679" s="17">
        <v>0</v>
      </c>
      <c r="D679" s="22" t="s">
        <v>1288</v>
      </c>
      <c r="E679" s="22" t="s">
        <v>1289</v>
      </c>
      <c r="F679" s="17">
        <f t="shared" si="70"/>
        <v>2017</v>
      </c>
      <c r="G679" s="18">
        <v>43020</v>
      </c>
      <c r="H679" s="12" t="s">
        <v>2980</v>
      </c>
      <c r="I679" s="4">
        <v>0</v>
      </c>
      <c r="J679" s="22" t="s">
        <v>1268</v>
      </c>
      <c r="K679" s="17">
        <v>0</v>
      </c>
      <c r="L679" s="59">
        <v>1</v>
      </c>
      <c r="M679" s="22" t="s">
        <v>2898</v>
      </c>
      <c r="N679" s="22" t="s">
        <v>2637</v>
      </c>
      <c r="O679" s="22" t="s">
        <v>1292</v>
      </c>
      <c r="P679" s="22" t="s">
        <v>1293</v>
      </c>
      <c r="Q679" s="22" t="s">
        <v>1294</v>
      </c>
      <c r="R679" s="17">
        <v>1</v>
      </c>
      <c r="S679" s="17">
        <v>0</v>
      </c>
      <c r="T679" s="17">
        <v>0</v>
      </c>
      <c r="U679" s="17">
        <v>1</v>
      </c>
      <c r="V679" s="17">
        <v>1</v>
      </c>
      <c r="W679" s="17">
        <v>87</v>
      </c>
      <c r="X679" s="17">
        <v>0</v>
      </c>
      <c r="Y679" s="17">
        <v>0</v>
      </c>
      <c r="Z679" s="6">
        <f t="shared" si="71"/>
        <v>87</v>
      </c>
      <c r="AA679" s="11">
        <f t="shared" si="72"/>
        <v>1</v>
      </c>
      <c r="AB679" s="11">
        <f t="shared" si="73"/>
        <v>0</v>
      </c>
      <c r="AC679" s="66">
        <f t="shared" si="74"/>
        <v>1</v>
      </c>
      <c r="AD679" s="67">
        <f t="shared" si="75"/>
        <v>1</v>
      </c>
    </row>
    <row r="680" spans="1:95" ht="14.5" customHeight="1" x14ac:dyDescent="0.2">
      <c r="A680" s="21" t="s">
        <v>2972</v>
      </c>
      <c r="B680" s="17">
        <v>1</v>
      </c>
      <c r="C680" s="17">
        <v>0</v>
      </c>
      <c r="D680" s="22" t="s">
        <v>1295</v>
      </c>
      <c r="E680" s="22" t="s">
        <v>1296</v>
      </c>
      <c r="F680" s="17">
        <f t="shared" si="70"/>
        <v>2017</v>
      </c>
      <c r="G680" s="18">
        <v>43088</v>
      </c>
      <c r="H680" s="12" t="s">
        <v>2980</v>
      </c>
      <c r="I680" s="4">
        <v>0</v>
      </c>
      <c r="J680" s="22" t="s">
        <v>1297</v>
      </c>
      <c r="K680" s="17">
        <v>0</v>
      </c>
      <c r="L680" s="59">
        <v>1</v>
      </c>
      <c r="M680" t="s">
        <v>2951</v>
      </c>
      <c r="N680" s="22" t="s">
        <v>2637</v>
      </c>
      <c r="O680" s="22" t="s">
        <v>1285</v>
      </c>
      <c r="P680" s="22" t="s">
        <v>1298</v>
      </c>
      <c r="Q680" s="22" t="s">
        <v>1299</v>
      </c>
      <c r="R680" s="17">
        <v>1</v>
      </c>
      <c r="S680" s="17">
        <v>0</v>
      </c>
      <c r="T680" s="17">
        <v>0</v>
      </c>
      <c r="U680" s="17">
        <v>1</v>
      </c>
      <c r="V680" s="17">
        <v>1</v>
      </c>
      <c r="W680" s="17">
        <v>82</v>
      </c>
      <c r="X680" s="17">
        <v>0</v>
      </c>
      <c r="Y680" s="17">
        <v>0</v>
      </c>
      <c r="Z680" s="6">
        <f t="shared" si="71"/>
        <v>82</v>
      </c>
      <c r="AA680" s="11">
        <f t="shared" si="72"/>
        <v>1</v>
      </c>
      <c r="AB680" s="11">
        <f t="shared" si="73"/>
        <v>0</v>
      </c>
      <c r="AC680" s="66">
        <f t="shared" si="74"/>
        <v>1</v>
      </c>
      <c r="AD680" s="67">
        <f t="shared" si="75"/>
        <v>1</v>
      </c>
    </row>
    <row r="681" spans="1:95" ht="14.5" customHeight="1" x14ac:dyDescent="0.2">
      <c r="A681" s="21" t="s">
        <v>2972</v>
      </c>
      <c r="B681" s="17">
        <v>1</v>
      </c>
      <c r="C681" s="17">
        <v>0</v>
      </c>
      <c r="D681" s="22" t="s">
        <v>1295</v>
      </c>
      <c r="E681" s="22" t="s">
        <v>1296</v>
      </c>
      <c r="F681" s="17">
        <f t="shared" si="70"/>
        <v>2018</v>
      </c>
      <c r="G681" s="18">
        <v>43410</v>
      </c>
      <c r="H681" s="12" t="s">
        <v>2980</v>
      </c>
      <c r="I681" s="4">
        <v>0</v>
      </c>
      <c r="J681" s="22" t="s">
        <v>1300</v>
      </c>
      <c r="K681" s="17">
        <v>0</v>
      </c>
      <c r="L681" s="59">
        <v>1</v>
      </c>
      <c r="M681" s="22" t="s">
        <v>2951</v>
      </c>
      <c r="N681" s="22" t="s">
        <v>2637</v>
      </c>
      <c r="O681" s="22" t="s">
        <v>1285</v>
      </c>
      <c r="P681" s="22" t="s">
        <v>1301</v>
      </c>
      <c r="Q681" s="22" t="s">
        <v>1302</v>
      </c>
      <c r="R681" s="17">
        <v>1</v>
      </c>
      <c r="S681" s="17">
        <v>0</v>
      </c>
      <c r="T681" s="17">
        <v>0</v>
      </c>
      <c r="U681" s="17">
        <v>1</v>
      </c>
      <c r="V681" s="17">
        <v>1</v>
      </c>
      <c r="W681" s="17">
        <v>120</v>
      </c>
      <c r="X681" s="17">
        <v>0</v>
      </c>
      <c r="Y681" s="17">
        <v>0</v>
      </c>
      <c r="Z681" s="6">
        <f t="shared" si="71"/>
        <v>120</v>
      </c>
      <c r="AA681" s="11">
        <f t="shared" si="72"/>
        <v>1</v>
      </c>
      <c r="AB681" s="11">
        <f t="shared" si="73"/>
        <v>0</v>
      </c>
      <c r="AC681" s="66">
        <f t="shared" si="74"/>
        <v>1</v>
      </c>
      <c r="AD681" s="67">
        <f t="shared" si="75"/>
        <v>1</v>
      </c>
    </row>
    <row r="682" spans="1:95" ht="14.5" customHeight="1" x14ac:dyDescent="0.2">
      <c r="A682" s="21" t="s">
        <v>2972</v>
      </c>
      <c r="B682" s="17">
        <v>1</v>
      </c>
      <c r="C682" s="17">
        <v>0</v>
      </c>
      <c r="D682" s="22" t="s">
        <v>1303</v>
      </c>
      <c r="E682" s="22" t="s">
        <v>1304</v>
      </c>
      <c r="F682" s="17">
        <f t="shared" si="70"/>
        <v>2019</v>
      </c>
      <c r="G682" s="18">
        <v>43818</v>
      </c>
      <c r="H682" s="12" t="s">
        <v>2980</v>
      </c>
      <c r="I682" s="4">
        <v>0</v>
      </c>
      <c r="J682" s="22" t="s">
        <v>1268</v>
      </c>
      <c r="K682" s="17">
        <v>0</v>
      </c>
      <c r="L682" s="59">
        <v>1</v>
      </c>
      <c r="M682" s="22" t="s">
        <v>2900</v>
      </c>
      <c r="N682" s="22" t="s">
        <v>2637</v>
      </c>
      <c r="O682" s="22" t="s">
        <v>1305</v>
      </c>
      <c r="P682" s="22" t="s">
        <v>1306</v>
      </c>
      <c r="Q682" s="22" t="s">
        <v>1307</v>
      </c>
      <c r="R682" s="17">
        <v>1</v>
      </c>
      <c r="S682" s="17">
        <v>0</v>
      </c>
      <c r="T682" s="17">
        <v>0</v>
      </c>
      <c r="U682" s="17">
        <v>1</v>
      </c>
      <c r="V682" s="17">
        <v>1</v>
      </c>
      <c r="W682" s="17">
        <v>115</v>
      </c>
      <c r="X682" s="17">
        <v>0</v>
      </c>
      <c r="Y682" s="17">
        <v>0</v>
      </c>
      <c r="Z682" s="6">
        <f t="shared" si="71"/>
        <v>115</v>
      </c>
      <c r="AA682" s="11">
        <f t="shared" si="72"/>
        <v>1</v>
      </c>
      <c r="AB682" s="11">
        <f t="shared" si="73"/>
        <v>0</v>
      </c>
      <c r="AC682" s="66">
        <f t="shared" si="74"/>
        <v>1</v>
      </c>
      <c r="AD682" s="67">
        <f t="shared" si="75"/>
        <v>1</v>
      </c>
    </row>
    <row r="683" spans="1:95" ht="14.5" customHeight="1" x14ac:dyDescent="0.2">
      <c r="A683" t="s">
        <v>2973</v>
      </c>
      <c r="B683" s="7">
        <v>1</v>
      </c>
      <c r="C683" s="17">
        <v>1</v>
      </c>
      <c r="D683" s="5" t="s">
        <v>1308</v>
      </c>
      <c r="E683" s="5" t="s">
        <v>3011</v>
      </c>
      <c r="F683" s="4">
        <f t="shared" si="70"/>
        <v>1999</v>
      </c>
      <c r="G683" s="16">
        <v>36279</v>
      </c>
      <c r="H683" s="5" t="s">
        <v>2979</v>
      </c>
      <c r="I683" s="4">
        <v>0</v>
      </c>
      <c r="J683" s="22" t="s">
        <v>1312</v>
      </c>
      <c r="K683" s="17">
        <v>1</v>
      </c>
      <c r="L683" s="59">
        <v>1</v>
      </c>
      <c r="M683" s="55" t="s">
        <v>109</v>
      </c>
      <c r="N683" s="22" t="s">
        <v>2630</v>
      </c>
      <c r="P683" s="55" t="s">
        <v>1313</v>
      </c>
      <c r="Q683" s="29" t="s">
        <v>1314</v>
      </c>
      <c r="R683" s="95">
        <v>1</v>
      </c>
      <c r="S683" s="95">
        <v>0</v>
      </c>
      <c r="T683" s="95">
        <v>0</v>
      </c>
      <c r="U683" s="17">
        <v>0</v>
      </c>
      <c r="V683" s="17">
        <v>0</v>
      </c>
      <c r="W683" s="98">
        <v>8</v>
      </c>
      <c r="X683" s="98">
        <v>142</v>
      </c>
      <c r="Y683" s="98">
        <v>0</v>
      </c>
      <c r="Z683" s="98">
        <f t="shared" si="71"/>
        <v>150</v>
      </c>
      <c r="AA683" s="11">
        <f t="shared" si="72"/>
        <v>5.3333333333333337E-2</v>
      </c>
      <c r="AB683" s="11">
        <f t="shared" si="73"/>
        <v>0.94666666666666666</v>
      </c>
      <c r="AC683" s="66">
        <f t="shared" si="74"/>
        <v>0.94666666666666666</v>
      </c>
      <c r="AD683" s="67">
        <f t="shared" si="75"/>
        <v>0.92</v>
      </c>
    </row>
    <row r="684" spans="1:95" ht="14.5" customHeight="1" x14ac:dyDescent="0.2">
      <c r="A684" t="s">
        <v>2973</v>
      </c>
      <c r="B684" s="7">
        <v>1</v>
      </c>
      <c r="C684" s="17">
        <v>1</v>
      </c>
      <c r="D684" s="5" t="s">
        <v>1308</v>
      </c>
      <c r="E684" s="5" t="s">
        <v>3011</v>
      </c>
      <c r="F684" s="4">
        <f t="shared" si="70"/>
        <v>1999</v>
      </c>
      <c r="G684" s="16">
        <v>36279</v>
      </c>
      <c r="H684" s="5" t="s">
        <v>2979</v>
      </c>
      <c r="I684" s="4">
        <v>0</v>
      </c>
      <c r="J684" s="99" t="s">
        <v>1309</v>
      </c>
      <c r="K684" s="17">
        <v>1</v>
      </c>
      <c r="L684" s="59">
        <v>1</v>
      </c>
      <c r="M684" s="55" t="s">
        <v>109</v>
      </c>
      <c r="N684" s="22" t="s">
        <v>2630</v>
      </c>
      <c r="P684" s="55" t="s">
        <v>1310</v>
      </c>
      <c r="Q684" s="29" t="s">
        <v>1311</v>
      </c>
      <c r="R684" s="95">
        <v>1</v>
      </c>
      <c r="S684" s="95">
        <v>0</v>
      </c>
      <c r="T684" s="95">
        <v>0</v>
      </c>
      <c r="U684" s="17">
        <v>0</v>
      </c>
      <c r="V684" s="17">
        <v>0</v>
      </c>
      <c r="W684" s="98">
        <v>11</v>
      </c>
      <c r="X684" s="98">
        <v>139</v>
      </c>
      <c r="Y684" s="98">
        <v>0</v>
      </c>
      <c r="Z684" s="98">
        <f t="shared" si="71"/>
        <v>150</v>
      </c>
      <c r="AA684" s="11">
        <f t="shared" si="72"/>
        <v>7.3333333333333334E-2</v>
      </c>
      <c r="AB684" s="11">
        <f t="shared" si="73"/>
        <v>0.92666666666666664</v>
      </c>
      <c r="AC684" s="66">
        <f t="shared" si="74"/>
        <v>0.92666666666666664</v>
      </c>
      <c r="AD684" s="67">
        <f t="shared" si="75"/>
        <v>0.89</v>
      </c>
    </row>
    <row r="685" spans="1:95" ht="14.5" customHeight="1" x14ac:dyDescent="0.2">
      <c r="A685" t="s">
        <v>2973</v>
      </c>
      <c r="B685" s="7">
        <v>1</v>
      </c>
      <c r="C685" s="17">
        <v>0</v>
      </c>
      <c r="D685" s="5" t="s">
        <v>1315</v>
      </c>
      <c r="E685" s="5" t="s">
        <v>3012</v>
      </c>
      <c r="F685" s="4">
        <f t="shared" ref="F685:F748" si="76">YEAR(G685)</f>
        <v>2002</v>
      </c>
      <c r="G685" s="16">
        <v>37509</v>
      </c>
      <c r="H685" s="5" t="s">
        <v>2979</v>
      </c>
      <c r="I685" s="4">
        <v>0</v>
      </c>
      <c r="J685" s="22" t="s">
        <v>1316</v>
      </c>
      <c r="K685" s="17">
        <v>1</v>
      </c>
      <c r="L685" s="59">
        <v>1</v>
      </c>
      <c r="M685" s="55" t="s">
        <v>30</v>
      </c>
      <c r="N685" t="s">
        <v>2121</v>
      </c>
      <c r="P685" s="55" t="s">
        <v>1317</v>
      </c>
      <c r="Q685" s="29" t="s">
        <v>1318</v>
      </c>
      <c r="R685" s="95">
        <v>1</v>
      </c>
      <c r="S685" s="95">
        <v>0</v>
      </c>
      <c r="T685" s="95">
        <v>0</v>
      </c>
      <c r="U685" s="17">
        <v>0</v>
      </c>
      <c r="V685" s="17">
        <v>0</v>
      </c>
      <c r="W685" s="98">
        <v>19</v>
      </c>
      <c r="X685" s="98">
        <v>131</v>
      </c>
      <c r="Y685" s="98">
        <v>0</v>
      </c>
      <c r="Z685" s="98">
        <f t="shared" si="71"/>
        <v>150</v>
      </c>
      <c r="AA685" s="11">
        <f t="shared" si="72"/>
        <v>0.12666666666666668</v>
      </c>
      <c r="AB685" s="11">
        <f t="shared" si="73"/>
        <v>0.87333333333333329</v>
      </c>
      <c r="AC685" s="66">
        <f t="shared" si="74"/>
        <v>0.87333333333333329</v>
      </c>
      <c r="AD685" s="67">
        <f t="shared" si="75"/>
        <v>0.81</v>
      </c>
    </row>
    <row r="686" spans="1:95" ht="14.5" customHeight="1" x14ac:dyDescent="0.2">
      <c r="A686" t="s">
        <v>2973</v>
      </c>
      <c r="B686" s="7">
        <v>1</v>
      </c>
      <c r="C686" s="17">
        <v>0</v>
      </c>
      <c r="D686" s="5" t="s">
        <v>1315</v>
      </c>
      <c r="E686" s="5" t="s">
        <v>3012</v>
      </c>
      <c r="F686" s="4">
        <f t="shared" si="76"/>
        <v>2002</v>
      </c>
      <c r="G686" s="16">
        <v>37608</v>
      </c>
      <c r="H686" s="5" t="s">
        <v>2979</v>
      </c>
      <c r="I686" s="4">
        <v>0</v>
      </c>
      <c r="J686" s="22" t="s">
        <v>1319</v>
      </c>
      <c r="K686" s="17">
        <v>1</v>
      </c>
      <c r="L686" s="59">
        <v>1</v>
      </c>
      <c r="M686" s="55" t="s">
        <v>30</v>
      </c>
      <c r="N686" t="s">
        <v>2121</v>
      </c>
      <c r="P686" s="55" t="s">
        <v>1320</v>
      </c>
      <c r="Q686" s="29" t="s">
        <v>1321</v>
      </c>
      <c r="R686" s="95">
        <v>1</v>
      </c>
      <c r="S686" s="95">
        <v>0</v>
      </c>
      <c r="T686" s="95">
        <v>0</v>
      </c>
      <c r="U686" s="17">
        <v>0</v>
      </c>
      <c r="V686" s="17">
        <v>0</v>
      </c>
      <c r="W686" s="98">
        <v>19</v>
      </c>
      <c r="X686" s="98">
        <v>130</v>
      </c>
      <c r="Y686" s="98">
        <v>1</v>
      </c>
      <c r="Z686" s="98">
        <f t="shared" si="71"/>
        <v>150</v>
      </c>
      <c r="AA686" s="11">
        <f t="shared" si="72"/>
        <v>0.12666666666666668</v>
      </c>
      <c r="AB686" s="11">
        <f t="shared" si="73"/>
        <v>0.8666666666666667</v>
      </c>
      <c r="AC686" s="66">
        <f t="shared" si="74"/>
        <v>0.8666666666666667</v>
      </c>
      <c r="AD686" s="67">
        <f t="shared" si="75"/>
        <v>0.8</v>
      </c>
    </row>
    <row r="687" spans="1:95" ht="14.5" customHeight="1" x14ac:dyDescent="0.2">
      <c r="A687" t="s">
        <v>2973</v>
      </c>
      <c r="B687" s="7">
        <v>1</v>
      </c>
      <c r="C687" s="17">
        <v>0</v>
      </c>
      <c r="D687" s="5" t="s">
        <v>1315</v>
      </c>
      <c r="E687" s="5" t="s">
        <v>3012</v>
      </c>
      <c r="F687" s="4">
        <f t="shared" si="76"/>
        <v>2003</v>
      </c>
      <c r="G687" s="16">
        <v>37651</v>
      </c>
      <c r="H687" s="5" t="s">
        <v>2979</v>
      </c>
      <c r="I687" s="4">
        <v>0</v>
      </c>
      <c r="J687" s="22" t="s">
        <v>1322</v>
      </c>
      <c r="K687" s="17">
        <v>1</v>
      </c>
      <c r="L687" s="59">
        <v>1</v>
      </c>
      <c r="M687" s="55" t="s">
        <v>30</v>
      </c>
      <c r="N687" t="s">
        <v>2121</v>
      </c>
      <c r="P687" s="55" t="s">
        <v>1323</v>
      </c>
      <c r="Q687" s="29" t="s">
        <v>1324</v>
      </c>
      <c r="R687" s="95">
        <v>1</v>
      </c>
      <c r="S687" s="95">
        <v>0</v>
      </c>
      <c r="T687" s="95">
        <v>0</v>
      </c>
      <c r="U687" s="17">
        <v>0</v>
      </c>
      <c r="V687" s="17">
        <v>0</v>
      </c>
      <c r="W687" s="98">
        <v>17</v>
      </c>
      <c r="X687" s="98">
        <v>133</v>
      </c>
      <c r="Y687" s="98">
        <v>0</v>
      </c>
      <c r="Z687" s="98">
        <f t="shared" si="71"/>
        <v>150</v>
      </c>
      <c r="AA687" s="11">
        <f t="shared" si="72"/>
        <v>0.11333333333333333</v>
      </c>
      <c r="AB687" s="11">
        <f t="shared" si="73"/>
        <v>0.88666666666666671</v>
      </c>
      <c r="AC687" s="66">
        <f t="shared" si="74"/>
        <v>0.88666666666666671</v>
      </c>
      <c r="AD687" s="67">
        <f t="shared" si="75"/>
        <v>0.83</v>
      </c>
    </row>
    <row r="688" spans="1:95" ht="14.5" customHeight="1" x14ac:dyDescent="0.2">
      <c r="A688" t="s">
        <v>2973</v>
      </c>
      <c r="B688" s="7">
        <v>1</v>
      </c>
      <c r="C688" s="17">
        <v>0</v>
      </c>
      <c r="D688" s="5" t="s">
        <v>1315</v>
      </c>
      <c r="E688" s="5" t="s">
        <v>3012</v>
      </c>
      <c r="F688" s="4">
        <f t="shared" si="76"/>
        <v>2003</v>
      </c>
      <c r="G688" s="16">
        <v>37692</v>
      </c>
      <c r="H688" s="5" t="s">
        <v>2979</v>
      </c>
      <c r="I688" s="4">
        <v>0</v>
      </c>
      <c r="J688" s="22" t="s">
        <v>1331</v>
      </c>
      <c r="K688" s="17">
        <v>1</v>
      </c>
      <c r="L688" s="59">
        <v>1</v>
      </c>
      <c r="M688" s="55" t="s">
        <v>2615</v>
      </c>
      <c r="N688" s="55" t="s">
        <v>2628</v>
      </c>
      <c r="P688" s="55" t="s">
        <v>1332</v>
      </c>
      <c r="Q688" s="29" t="s">
        <v>1333</v>
      </c>
      <c r="R688" s="95">
        <v>0</v>
      </c>
      <c r="S688" s="95">
        <v>1</v>
      </c>
      <c r="T688" s="95">
        <v>0</v>
      </c>
      <c r="U688" s="17">
        <v>0</v>
      </c>
      <c r="V688" s="17">
        <v>0</v>
      </c>
      <c r="W688" s="98">
        <v>17</v>
      </c>
      <c r="X688" s="98">
        <v>133</v>
      </c>
      <c r="Y688" s="98">
        <v>0</v>
      </c>
      <c r="Z688" s="98">
        <f t="shared" si="71"/>
        <v>150</v>
      </c>
      <c r="AA688" s="11">
        <f t="shared" si="72"/>
        <v>0.11333333333333333</v>
      </c>
      <c r="AB688" s="11">
        <f t="shared" si="73"/>
        <v>0.88666666666666671</v>
      </c>
      <c r="AC688" s="66">
        <f t="shared" si="74"/>
        <v>0.88666666666666671</v>
      </c>
      <c r="AD688" s="67">
        <f t="shared" si="75"/>
        <v>0.83</v>
      </c>
    </row>
    <row r="689" spans="1:30" ht="14.5" customHeight="1" x14ac:dyDescent="0.2">
      <c r="A689" t="s">
        <v>2973</v>
      </c>
      <c r="B689" s="7">
        <v>1</v>
      </c>
      <c r="C689" s="17">
        <v>0</v>
      </c>
      <c r="D689" s="5" t="s">
        <v>1315</v>
      </c>
      <c r="E689" s="5" t="s">
        <v>3012</v>
      </c>
      <c r="F689" s="4">
        <f t="shared" si="76"/>
        <v>2003</v>
      </c>
      <c r="G689" s="16">
        <v>37692</v>
      </c>
      <c r="H689" s="5" t="s">
        <v>2979</v>
      </c>
      <c r="I689" s="4">
        <v>0</v>
      </c>
      <c r="J689" s="22" t="s">
        <v>1325</v>
      </c>
      <c r="K689" s="17">
        <v>1</v>
      </c>
      <c r="L689" s="59">
        <v>1</v>
      </c>
      <c r="M689" s="55" t="s">
        <v>2615</v>
      </c>
      <c r="N689" s="55" t="s">
        <v>2628</v>
      </c>
      <c r="P689" s="55" t="s">
        <v>1326</v>
      </c>
      <c r="Q689" s="29" t="s">
        <v>1327</v>
      </c>
      <c r="R689" s="95">
        <v>0</v>
      </c>
      <c r="S689" s="95">
        <v>1</v>
      </c>
      <c r="T689" s="95">
        <v>0</v>
      </c>
      <c r="U689" s="17">
        <v>0</v>
      </c>
      <c r="V689" s="17">
        <v>0</v>
      </c>
      <c r="W689" s="98">
        <v>42</v>
      </c>
      <c r="X689" s="98">
        <v>108</v>
      </c>
      <c r="Y689" s="98">
        <v>0</v>
      </c>
      <c r="Z689" s="98">
        <f t="shared" si="71"/>
        <v>150</v>
      </c>
      <c r="AA689" s="11">
        <f t="shared" si="72"/>
        <v>0.28000000000000003</v>
      </c>
      <c r="AB689" s="11">
        <f t="shared" si="73"/>
        <v>0.72</v>
      </c>
      <c r="AC689" s="66">
        <f t="shared" si="74"/>
        <v>0.72</v>
      </c>
      <c r="AD689" s="67">
        <f t="shared" si="75"/>
        <v>0.57999999999999996</v>
      </c>
    </row>
    <row r="690" spans="1:30" ht="14.5" customHeight="1" x14ac:dyDescent="0.2">
      <c r="A690" t="s">
        <v>2973</v>
      </c>
      <c r="B690" s="7">
        <v>1</v>
      </c>
      <c r="C690" s="17">
        <v>0</v>
      </c>
      <c r="D690" s="5" t="s">
        <v>1315</v>
      </c>
      <c r="E690" s="5" t="s">
        <v>3012</v>
      </c>
      <c r="F690" s="4">
        <f t="shared" si="76"/>
        <v>2003</v>
      </c>
      <c r="G690" s="16">
        <v>37692</v>
      </c>
      <c r="H690" s="5" t="s">
        <v>2979</v>
      </c>
      <c r="I690" s="4">
        <v>0</v>
      </c>
      <c r="J690" s="22" t="s">
        <v>1328</v>
      </c>
      <c r="K690" s="17">
        <v>1</v>
      </c>
      <c r="L690" s="59">
        <v>1</v>
      </c>
      <c r="M690" s="55" t="s">
        <v>30</v>
      </c>
      <c r="N690" t="s">
        <v>2121</v>
      </c>
      <c r="P690" s="55" t="s">
        <v>1329</v>
      </c>
      <c r="Q690" s="29" t="s">
        <v>1330</v>
      </c>
      <c r="R690" s="95">
        <v>1</v>
      </c>
      <c r="S690" s="95">
        <v>0</v>
      </c>
      <c r="T690" s="95">
        <v>0</v>
      </c>
      <c r="U690" s="17">
        <v>0</v>
      </c>
      <c r="V690" s="17">
        <v>0</v>
      </c>
      <c r="W690" s="98">
        <v>17</v>
      </c>
      <c r="X690" s="98">
        <v>133</v>
      </c>
      <c r="Y690" s="98">
        <v>0</v>
      </c>
      <c r="Z690" s="98">
        <f t="shared" si="71"/>
        <v>150</v>
      </c>
      <c r="AA690" s="11">
        <f t="shared" si="72"/>
        <v>0.11333333333333333</v>
      </c>
      <c r="AB690" s="11">
        <f t="shared" si="73"/>
        <v>0.88666666666666671</v>
      </c>
      <c r="AC690" s="66">
        <f t="shared" si="74"/>
        <v>0.88666666666666671</v>
      </c>
      <c r="AD690" s="67">
        <f t="shared" si="75"/>
        <v>0.83</v>
      </c>
    </row>
    <row r="691" spans="1:30" ht="14.5" customHeight="1" x14ac:dyDescent="0.2">
      <c r="A691" t="s">
        <v>2973</v>
      </c>
      <c r="B691" s="7">
        <v>1</v>
      </c>
      <c r="C691" s="17">
        <v>0</v>
      </c>
      <c r="D691" s="5" t="s">
        <v>1315</v>
      </c>
      <c r="E691" s="5" t="s">
        <v>3012</v>
      </c>
      <c r="F691" s="4">
        <f t="shared" si="76"/>
        <v>2003</v>
      </c>
      <c r="G691" s="16">
        <v>37698</v>
      </c>
      <c r="H691" s="5" t="s">
        <v>2979</v>
      </c>
      <c r="I691" s="4">
        <v>0</v>
      </c>
      <c r="J691" s="22" t="s">
        <v>1334</v>
      </c>
      <c r="K691" s="17">
        <v>1</v>
      </c>
      <c r="L691" s="59">
        <v>1</v>
      </c>
      <c r="M691" s="55" t="s">
        <v>30</v>
      </c>
      <c r="N691" t="s">
        <v>2121</v>
      </c>
      <c r="P691" s="55" t="s">
        <v>1335</v>
      </c>
      <c r="Q691" s="29" t="s">
        <v>1336</v>
      </c>
      <c r="R691" s="95">
        <v>1</v>
      </c>
      <c r="S691" s="95">
        <v>0</v>
      </c>
      <c r="T691" s="95">
        <v>0</v>
      </c>
      <c r="U691" s="17">
        <v>0</v>
      </c>
      <c r="V691" s="17">
        <v>0</v>
      </c>
      <c r="W691" s="98">
        <v>17</v>
      </c>
      <c r="X691" s="98">
        <v>133</v>
      </c>
      <c r="Y691" s="98">
        <v>0</v>
      </c>
      <c r="Z691" s="98">
        <f t="shared" si="71"/>
        <v>150</v>
      </c>
      <c r="AA691" s="11">
        <f t="shared" si="72"/>
        <v>0.11333333333333333</v>
      </c>
      <c r="AB691" s="11">
        <f t="shared" si="73"/>
        <v>0.88666666666666671</v>
      </c>
      <c r="AC691" s="66">
        <f t="shared" si="74"/>
        <v>0.88666666666666671</v>
      </c>
      <c r="AD691" s="67">
        <f t="shared" si="75"/>
        <v>0.83</v>
      </c>
    </row>
    <row r="692" spans="1:30" ht="14.5" customHeight="1" x14ac:dyDescent="0.2">
      <c r="A692" t="s">
        <v>2973</v>
      </c>
      <c r="B692" s="7">
        <v>1</v>
      </c>
      <c r="C692" s="17">
        <v>0</v>
      </c>
      <c r="D692" s="5" t="s">
        <v>1315</v>
      </c>
      <c r="E692" s="5" t="s">
        <v>3012</v>
      </c>
      <c r="F692" s="4">
        <f t="shared" si="76"/>
        <v>2003</v>
      </c>
      <c r="G692" s="16">
        <v>37698</v>
      </c>
      <c r="H692" s="5" t="s">
        <v>2979</v>
      </c>
      <c r="I692" s="4">
        <v>0</v>
      </c>
      <c r="J692" s="22" t="s">
        <v>1337</v>
      </c>
      <c r="K692" s="17">
        <v>1</v>
      </c>
      <c r="L692" s="59">
        <v>1</v>
      </c>
      <c r="M692" s="55" t="s">
        <v>30</v>
      </c>
      <c r="N692" t="s">
        <v>2121</v>
      </c>
      <c r="P692" s="55" t="s">
        <v>1338</v>
      </c>
      <c r="Q692" s="29" t="s">
        <v>1339</v>
      </c>
      <c r="R692" s="95">
        <v>1</v>
      </c>
      <c r="S692" s="95">
        <v>0</v>
      </c>
      <c r="T692" s="95">
        <v>0</v>
      </c>
      <c r="U692" s="17">
        <v>0</v>
      </c>
      <c r="V692" s="17">
        <v>0</v>
      </c>
      <c r="W692" s="98">
        <v>59</v>
      </c>
      <c r="X692" s="98">
        <v>91</v>
      </c>
      <c r="Y692" s="98">
        <v>0</v>
      </c>
      <c r="Z692" s="98">
        <f t="shared" si="71"/>
        <v>150</v>
      </c>
      <c r="AA692" s="11">
        <f t="shared" si="72"/>
        <v>0.39333333333333331</v>
      </c>
      <c r="AB692" s="11">
        <f t="shared" si="73"/>
        <v>0.60666666666666669</v>
      </c>
      <c r="AC692" s="66">
        <f t="shared" si="74"/>
        <v>0.60666666666666669</v>
      </c>
      <c r="AD692" s="67">
        <f t="shared" si="75"/>
        <v>0.41</v>
      </c>
    </row>
    <row r="693" spans="1:30" ht="14.5" customHeight="1" x14ac:dyDescent="0.2">
      <c r="A693" t="s">
        <v>2973</v>
      </c>
      <c r="B693" s="7">
        <v>1</v>
      </c>
      <c r="C693" s="17">
        <v>0</v>
      </c>
      <c r="D693" s="5" t="s">
        <v>1340</v>
      </c>
      <c r="E693" s="5" t="s">
        <v>3013</v>
      </c>
      <c r="F693" s="4">
        <f t="shared" si="76"/>
        <v>2003</v>
      </c>
      <c r="G693" s="16">
        <v>37798</v>
      </c>
      <c r="H693" s="5" t="s">
        <v>2979</v>
      </c>
      <c r="I693" s="4">
        <v>0</v>
      </c>
      <c r="J693" s="22" t="s">
        <v>1341</v>
      </c>
      <c r="K693" s="17">
        <v>0</v>
      </c>
      <c r="L693" s="59">
        <v>1</v>
      </c>
      <c r="M693" s="22" t="s">
        <v>2560</v>
      </c>
      <c r="N693" s="22" t="s">
        <v>2629</v>
      </c>
      <c r="P693" s="55" t="s">
        <v>1342</v>
      </c>
      <c r="Q693" s="29" t="s">
        <v>1343</v>
      </c>
      <c r="R693" s="95">
        <v>1</v>
      </c>
      <c r="S693" s="95">
        <v>0</v>
      </c>
      <c r="T693" s="95">
        <v>0</v>
      </c>
      <c r="U693" s="17">
        <v>0</v>
      </c>
      <c r="V693" s="17">
        <v>1</v>
      </c>
      <c r="W693" s="98">
        <v>113</v>
      </c>
      <c r="X693" s="98">
        <v>37</v>
      </c>
      <c r="Y693" s="98">
        <v>0</v>
      </c>
      <c r="Z693" s="98">
        <f t="shared" si="71"/>
        <v>150</v>
      </c>
      <c r="AA693" s="11">
        <f t="shared" si="72"/>
        <v>0.7533333333333333</v>
      </c>
      <c r="AB693" s="11">
        <f t="shared" si="73"/>
        <v>0.24666666666666667</v>
      </c>
      <c r="AC693" s="66">
        <f t="shared" si="74"/>
        <v>0.7533333333333333</v>
      </c>
      <c r="AD693" s="67">
        <f t="shared" si="75"/>
        <v>0.63</v>
      </c>
    </row>
    <row r="694" spans="1:30" ht="14.5" customHeight="1" x14ac:dyDescent="0.2">
      <c r="A694" t="s">
        <v>2973</v>
      </c>
      <c r="B694" s="7">
        <v>1</v>
      </c>
      <c r="C694" s="17">
        <v>0</v>
      </c>
      <c r="D694" s="5" t="s">
        <v>1340</v>
      </c>
      <c r="E694" s="5" t="s">
        <v>3013</v>
      </c>
      <c r="F694" s="4">
        <f t="shared" si="76"/>
        <v>2003</v>
      </c>
      <c r="G694" s="16">
        <v>37798</v>
      </c>
      <c r="H694" s="5" t="s">
        <v>2979</v>
      </c>
      <c r="I694" s="4">
        <v>0</v>
      </c>
      <c r="J694" s="22" t="s">
        <v>1344</v>
      </c>
      <c r="K694" s="17">
        <v>1</v>
      </c>
      <c r="L694" s="59">
        <v>1</v>
      </c>
      <c r="M694" s="55" t="s">
        <v>30</v>
      </c>
      <c r="N694" t="s">
        <v>2121</v>
      </c>
      <c r="P694" s="55" t="s">
        <v>1345</v>
      </c>
      <c r="Q694" s="29" t="s">
        <v>1346</v>
      </c>
      <c r="R694" s="95">
        <v>1</v>
      </c>
      <c r="S694" s="95">
        <v>0</v>
      </c>
      <c r="T694" s="95">
        <v>0</v>
      </c>
      <c r="U694" s="17">
        <v>0</v>
      </c>
      <c r="V694" s="17">
        <v>0</v>
      </c>
      <c r="W694" s="98">
        <v>21</v>
      </c>
      <c r="X694" s="98">
        <v>129</v>
      </c>
      <c r="Y694" s="98">
        <v>0</v>
      </c>
      <c r="Z694" s="98">
        <f t="shared" si="71"/>
        <v>150</v>
      </c>
      <c r="AA694" s="11">
        <f t="shared" si="72"/>
        <v>0.14000000000000001</v>
      </c>
      <c r="AB694" s="11">
        <f t="shared" si="73"/>
        <v>0.86</v>
      </c>
      <c r="AC694" s="66">
        <f t="shared" si="74"/>
        <v>0.86</v>
      </c>
      <c r="AD694" s="67">
        <f t="shared" si="75"/>
        <v>0.79</v>
      </c>
    </row>
    <row r="695" spans="1:30" ht="14.5" customHeight="1" x14ac:dyDescent="0.2">
      <c r="A695" t="s">
        <v>2973</v>
      </c>
      <c r="B695" s="7">
        <v>1</v>
      </c>
      <c r="C695" s="17">
        <v>0</v>
      </c>
      <c r="D695" s="5" t="s">
        <v>1340</v>
      </c>
      <c r="E695" s="5" t="s">
        <v>3013</v>
      </c>
      <c r="F695" s="4">
        <f t="shared" si="76"/>
        <v>2003</v>
      </c>
      <c r="G695" s="16">
        <v>37973</v>
      </c>
      <c r="H695" s="5" t="s">
        <v>2979</v>
      </c>
      <c r="I695" s="4">
        <v>0</v>
      </c>
      <c r="J695" s="22" t="s">
        <v>1347</v>
      </c>
      <c r="K695" s="17">
        <v>1</v>
      </c>
      <c r="L695" s="59">
        <v>1</v>
      </c>
      <c r="M695" s="55" t="s">
        <v>30</v>
      </c>
      <c r="N695" t="s">
        <v>2121</v>
      </c>
      <c r="P695" s="55" t="s">
        <v>1348</v>
      </c>
      <c r="Q695" s="29" t="s">
        <v>1349</v>
      </c>
      <c r="R695" s="95">
        <v>1</v>
      </c>
      <c r="S695" s="95">
        <v>0</v>
      </c>
      <c r="T695" s="95">
        <v>0</v>
      </c>
      <c r="U695" s="17">
        <v>0</v>
      </c>
      <c r="V695" s="17">
        <v>0</v>
      </c>
      <c r="W695" s="98">
        <v>19</v>
      </c>
      <c r="X695" s="98">
        <v>131</v>
      </c>
      <c r="Y695" s="98">
        <v>0</v>
      </c>
      <c r="Z695" s="98">
        <f t="shared" si="71"/>
        <v>150</v>
      </c>
      <c r="AA695" s="11">
        <f t="shared" si="72"/>
        <v>0.12666666666666668</v>
      </c>
      <c r="AB695" s="11">
        <f t="shared" si="73"/>
        <v>0.87333333333333329</v>
      </c>
      <c r="AC695" s="66">
        <f t="shared" si="74"/>
        <v>0.87333333333333329</v>
      </c>
      <c r="AD695" s="67">
        <f t="shared" si="75"/>
        <v>0.81</v>
      </c>
    </row>
    <row r="696" spans="1:30" ht="14.5" customHeight="1" x14ac:dyDescent="0.2">
      <c r="A696" t="s">
        <v>2973</v>
      </c>
      <c r="B696" s="7">
        <v>1</v>
      </c>
      <c r="C696" s="17">
        <v>0</v>
      </c>
      <c r="D696" s="5" t="s">
        <v>1340</v>
      </c>
      <c r="E696" s="5" t="s">
        <v>3013</v>
      </c>
      <c r="F696" s="4">
        <f t="shared" si="76"/>
        <v>2005</v>
      </c>
      <c r="G696" s="16">
        <v>38428</v>
      </c>
      <c r="H696" s="5" t="s">
        <v>2979</v>
      </c>
      <c r="I696" s="4">
        <v>0</v>
      </c>
      <c r="J696" s="22" t="s">
        <v>1350</v>
      </c>
      <c r="K696" s="17">
        <v>1</v>
      </c>
      <c r="L696" s="59">
        <v>1</v>
      </c>
      <c r="M696" s="55" t="s">
        <v>2566</v>
      </c>
      <c r="N696" s="5" t="s">
        <v>422</v>
      </c>
      <c r="P696" s="55" t="s">
        <v>1351</v>
      </c>
      <c r="Q696" s="29" t="s">
        <v>1352</v>
      </c>
      <c r="R696" s="95">
        <v>1</v>
      </c>
      <c r="S696" s="95">
        <v>0</v>
      </c>
      <c r="T696" s="95">
        <v>0</v>
      </c>
      <c r="U696" s="17">
        <v>0</v>
      </c>
      <c r="V696" s="17">
        <v>0</v>
      </c>
      <c r="W696" s="98">
        <v>58</v>
      </c>
      <c r="X696" s="98">
        <v>91</v>
      </c>
      <c r="Y696" s="98">
        <v>1</v>
      </c>
      <c r="Z696" s="98">
        <f t="shared" si="71"/>
        <v>150</v>
      </c>
      <c r="AA696" s="11">
        <f t="shared" si="72"/>
        <v>0.38666666666666666</v>
      </c>
      <c r="AB696" s="11">
        <f t="shared" si="73"/>
        <v>0.60666666666666669</v>
      </c>
      <c r="AC696" s="66">
        <f t="shared" si="74"/>
        <v>0.60666666666666669</v>
      </c>
      <c r="AD696" s="67">
        <f t="shared" si="75"/>
        <v>0.41</v>
      </c>
    </row>
    <row r="697" spans="1:30" ht="14.5" customHeight="1" x14ac:dyDescent="0.2">
      <c r="A697" t="s">
        <v>2973</v>
      </c>
      <c r="B697" s="7">
        <v>1</v>
      </c>
      <c r="C697" s="17">
        <v>0</v>
      </c>
      <c r="D697" s="5" t="s">
        <v>1340</v>
      </c>
      <c r="E697" s="5" t="s">
        <v>3013</v>
      </c>
      <c r="F697" s="4">
        <f t="shared" si="76"/>
        <v>2006</v>
      </c>
      <c r="G697" s="16">
        <v>38750</v>
      </c>
      <c r="H697" s="5" t="s">
        <v>2979</v>
      </c>
      <c r="I697" s="4">
        <v>0</v>
      </c>
      <c r="J697" s="22" t="s">
        <v>1353</v>
      </c>
      <c r="K697" s="17">
        <v>1</v>
      </c>
      <c r="L697" s="59">
        <v>1</v>
      </c>
      <c r="M697" s="55" t="s">
        <v>129</v>
      </c>
      <c r="N697" s="22" t="s">
        <v>422</v>
      </c>
      <c r="P697" s="55" t="s">
        <v>1354</v>
      </c>
      <c r="Q697" s="29" t="s">
        <v>1355</v>
      </c>
      <c r="R697" s="95">
        <v>1</v>
      </c>
      <c r="S697" s="95">
        <v>0</v>
      </c>
      <c r="T697" s="95">
        <v>0</v>
      </c>
      <c r="U697" s="17">
        <v>0</v>
      </c>
      <c r="V697" s="17">
        <v>0</v>
      </c>
      <c r="W697" s="98">
        <v>23</v>
      </c>
      <c r="X697" s="98">
        <v>126</v>
      </c>
      <c r="Y697" s="98">
        <v>1</v>
      </c>
      <c r="Z697" s="98">
        <f t="shared" si="71"/>
        <v>150</v>
      </c>
      <c r="AA697" s="11">
        <f t="shared" si="72"/>
        <v>0.15333333333333332</v>
      </c>
      <c r="AB697" s="11">
        <f t="shared" si="73"/>
        <v>0.84</v>
      </c>
      <c r="AC697" s="66">
        <f t="shared" si="74"/>
        <v>0.84</v>
      </c>
      <c r="AD697" s="67">
        <f t="shared" si="75"/>
        <v>0.76</v>
      </c>
    </row>
    <row r="698" spans="1:30" ht="14.5" customHeight="1" x14ac:dyDescent="0.2">
      <c r="A698" t="s">
        <v>2973</v>
      </c>
      <c r="B698" s="7">
        <v>1</v>
      </c>
      <c r="C698" s="17">
        <v>0</v>
      </c>
      <c r="D698" s="5" t="s">
        <v>1356</v>
      </c>
      <c r="E698" s="5" t="s">
        <v>3014</v>
      </c>
      <c r="F698" s="4">
        <f t="shared" si="76"/>
        <v>2006</v>
      </c>
      <c r="G698" s="16">
        <v>38988</v>
      </c>
      <c r="H698" s="5" t="s">
        <v>2979</v>
      </c>
      <c r="I698" s="4">
        <v>0</v>
      </c>
      <c r="J698" s="22" t="s">
        <v>1357</v>
      </c>
      <c r="K698" s="17">
        <v>0</v>
      </c>
      <c r="L698" s="59">
        <v>1</v>
      </c>
      <c r="M698" s="22" t="s">
        <v>2575</v>
      </c>
      <c r="N698" s="22" t="s">
        <v>2629</v>
      </c>
      <c r="P698" s="55" t="s">
        <v>1358</v>
      </c>
      <c r="Q698" s="29" t="s">
        <v>1359</v>
      </c>
      <c r="R698" s="95">
        <v>1</v>
      </c>
      <c r="S698" s="95">
        <v>0</v>
      </c>
      <c r="T698" s="95">
        <v>0</v>
      </c>
      <c r="U698" s="17">
        <v>0</v>
      </c>
      <c r="V698" s="17">
        <v>0</v>
      </c>
      <c r="W698" s="98">
        <v>149</v>
      </c>
      <c r="X698" s="98">
        <v>0</v>
      </c>
      <c r="Y698" s="98">
        <v>1</v>
      </c>
      <c r="Z698" s="98">
        <f t="shared" si="71"/>
        <v>150</v>
      </c>
      <c r="AA698" s="11">
        <f t="shared" si="72"/>
        <v>0.99333333333333329</v>
      </c>
      <c r="AB698" s="11">
        <f t="shared" si="73"/>
        <v>0</v>
      </c>
      <c r="AC698" s="66">
        <f t="shared" si="74"/>
        <v>0.99333333333333329</v>
      </c>
      <c r="AD698" s="67">
        <f t="shared" si="75"/>
        <v>0.99</v>
      </c>
    </row>
    <row r="699" spans="1:30" ht="14.5" customHeight="1" x14ac:dyDescent="0.2">
      <c r="A699" t="s">
        <v>2973</v>
      </c>
      <c r="B699" s="7">
        <v>1</v>
      </c>
      <c r="C699" s="17">
        <v>0</v>
      </c>
      <c r="D699" s="5" t="s">
        <v>1356</v>
      </c>
      <c r="E699" s="5" t="s">
        <v>3014</v>
      </c>
      <c r="F699" s="4">
        <f t="shared" si="76"/>
        <v>2006</v>
      </c>
      <c r="G699" s="16">
        <v>39014</v>
      </c>
      <c r="H699" s="5" t="s">
        <v>2979</v>
      </c>
      <c r="I699" s="4">
        <v>0</v>
      </c>
      <c r="J699" s="22" t="s">
        <v>1360</v>
      </c>
      <c r="K699" s="17">
        <v>0</v>
      </c>
      <c r="L699" s="59">
        <v>1</v>
      </c>
      <c r="M699" s="22" t="s">
        <v>2560</v>
      </c>
      <c r="N699" s="22" t="s">
        <v>2629</v>
      </c>
      <c r="P699" s="55" t="s">
        <v>1361</v>
      </c>
      <c r="Q699" s="29" t="s">
        <v>1362</v>
      </c>
      <c r="R699" s="95">
        <v>1</v>
      </c>
      <c r="S699" s="95">
        <v>0</v>
      </c>
      <c r="T699" s="95">
        <v>0</v>
      </c>
      <c r="U699" s="17">
        <v>0</v>
      </c>
      <c r="V699" s="17">
        <v>1</v>
      </c>
      <c r="W699" s="98">
        <v>68</v>
      </c>
      <c r="X699" s="98">
        <v>79</v>
      </c>
      <c r="Y699" s="98">
        <v>3</v>
      </c>
      <c r="Z699" s="98">
        <f t="shared" si="71"/>
        <v>150</v>
      </c>
      <c r="AA699" s="11">
        <f t="shared" si="72"/>
        <v>0.45333333333333331</v>
      </c>
      <c r="AB699" s="11">
        <f t="shared" si="73"/>
        <v>0.52666666666666662</v>
      </c>
      <c r="AC699" s="66">
        <f t="shared" si="74"/>
        <v>0.45333333333333331</v>
      </c>
      <c r="AD699" s="67">
        <f t="shared" si="75"/>
        <v>0.28999999999999998</v>
      </c>
    </row>
    <row r="700" spans="1:30" ht="14.5" customHeight="1" x14ac:dyDescent="0.2">
      <c r="A700" t="s">
        <v>2973</v>
      </c>
      <c r="B700" s="7">
        <v>1</v>
      </c>
      <c r="C700" s="17">
        <v>0</v>
      </c>
      <c r="D700" s="5" t="s">
        <v>1356</v>
      </c>
      <c r="E700" s="5" t="s">
        <v>3014</v>
      </c>
      <c r="F700" s="4">
        <f t="shared" si="76"/>
        <v>2006</v>
      </c>
      <c r="G700" s="16">
        <v>39021</v>
      </c>
      <c r="H700" s="5" t="s">
        <v>2979</v>
      </c>
      <c r="I700" s="4">
        <v>0</v>
      </c>
      <c r="J700" s="22" t="s">
        <v>1363</v>
      </c>
      <c r="K700" s="17">
        <v>1</v>
      </c>
      <c r="L700" s="59">
        <v>1</v>
      </c>
      <c r="M700" s="22" t="s">
        <v>129</v>
      </c>
      <c r="N700" s="22" t="s">
        <v>422</v>
      </c>
      <c r="P700" s="55" t="s">
        <v>1364</v>
      </c>
      <c r="Q700" s="29" t="s">
        <v>1365</v>
      </c>
      <c r="R700" s="95">
        <v>1</v>
      </c>
      <c r="S700" s="95">
        <v>0</v>
      </c>
      <c r="T700" s="95">
        <v>0</v>
      </c>
      <c r="U700" s="17">
        <v>0</v>
      </c>
      <c r="V700" s="17">
        <v>0</v>
      </c>
      <c r="W700" s="98">
        <v>23</v>
      </c>
      <c r="X700" s="98">
        <v>124</v>
      </c>
      <c r="Y700" s="98">
        <v>3</v>
      </c>
      <c r="Z700" s="98">
        <f t="shared" si="71"/>
        <v>150</v>
      </c>
      <c r="AA700" s="11">
        <f t="shared" si="72"/>
        <v>0.15333333333333332</v>
      </c>
      <c r="AB700" s="11">
        <f t="shared" si="73"/>
        <v>0.82666666666666666</v>
      </c>
      <c r="AC700" s="66">
        <f t="shared" si="74"/>
        <v>0.82666666666666666</v>
      </c>
      <c r="AD700" s="67">
        <f t="shared" si="75"/>
        <v>0.74</v>
      </c>
    </row>
    <row r="701" spans="1:30" ht="14.5" customHeight="1" x14ac:dyDescent="0.2">
      <c r="A701" t="s">
        <v>2973</v>
      </c>
      <c r="B701" s="7">
        <v>1</v>
      </c>
      <c r="C701" s="17">
        <v>0</v>
      </c>
      <c r="D701" s="5" t="s">
        <v>1366</v>
      </c>
      <c r="E701" s="5" t="s">
        <v>3015</v>
      </c>
      <c r="F701" s="4">
        <f t="shared" si="76"/>
        <v>2007</v>
      </c>
      <c r="G701" s="16">
        <v>39436</v>
      </c>
      <c r="H701" s="5" t="s">
        <v>2979</v>
      </c>
      <c r="I701" s="4">
        <v>0</v>
      </c>
      <c r="J701" s="22" t="s">
        <v>1367</v>
      </c>
      <c r="K701" s="17">
        <v>1</v>
      </c>
      <c r="L701" s="59">
        <v>1</v>
      </c>
      <c r="M701" s="22" t="s">
        <v>129</v>
      </c>
      <c r="N701" s="22" t="s">
        <v>422</v>
      </c>
      <c r="P701" s="55" t="s">
        <v>1368</v>
      </c>
      <c r="Q701" s="29" t="s">
        <v>1369</v>
      </c>
      <c r="R701" s="95">
        <v>1</v>
      </c>
      <c r="S701" s="95">
        <v>0</v>
      </c>
      <c r="T701" s="95">
        <v>0</v>
      </c>
      <c r="U701" s="17">
        <v>0</v>
      </c>
      <c r="V701" s="17">
        <v>1</v>
      </c>
      <c r="W701" s="98">
        <v>47</v>
      </c>
      <c r="X701" s="98">
        <v>103</v>
      </c>
      <c r="Y701" s="98">
        <v>0</v>
      </c>
      <c r="Z701" s="98">
        <f t="shared" si="71"/>
        <v>150</v>
      </c>
      <c r="AA701" s="11">
        <f t="shared" si="72"/>
        <v>0.31333333333333335</v>
      </c>
      <c r="AB701" s="11">
        <f t="shared" si="73"/>
        <v>0.68666666666666665</v>
      </c>
      <c r="AC701" s="66">
        <f t="shared" si="74"/>
        <v>0.68666666666666665</v>
      </c>
      <c r="AD701" s="67">
        <f t="shared" si="75"/>
        <v>0.53</v>
      </c>
    </row>
    <row r="702" spans="1:30" ht="14.5" customHeight="1" x14ac:dyDescent="0.2">
      <c r="A702" t="s">
        <v>2973</v>
      </c>
      <c r="B702" s="7">
        <v>1</v>
      </c>
      <c r="C702" s="17">
        <v>0</v>
      </c>
      <c r="D702" s="5" t="s">
        <v>1366</v>
      </c>
      <c r="E702" s="5" t="s">
        <v>3015</v>
      </c>
      <c r="F702" s="4">
        <f t="shared" si="76"/>
        <v>2008</v>
      </c>
      <c r="G702" s="16">
        <v>39534</v>
      </c>
      <c r="H702" s="5" t="s">
        <v>2979</v>
      </c>
      <c r="I702" s="4">
        <v>0</v>
      </c>
      <c r="J702" s="22" t="s">
        <v>1370</v>
      </c>
      <c r="K702" s="17">
        <v>1</v>
      </c>
      <c r="L702" s="59">
        <v>1</v>
      </c>
      <c r="M702" s="22" t="s">
        <v>706</v>
      </c>
      <c r="N702" s="21" t="s">
        <v>2629</v>
      </c>
      <c r="P702" s="55" t="s">
        <v>1371</v>
      </c>
      <c r="Q702" s="29" t="s">
        <v>1372</v>
      </c>
      <c r="R702" s="95">
        <v>1</v>
      </c>
      <c r="S702" s="95">
        <v>0</v>
      </c>
      <c r="T702" s="95">
        <v>0</v>
      </c>
      <c r="U702" s="17">
        <v>0</v>
      </c>
      <c r="V702" s="17">
        <v>0</v>
      </c>
      <c r="W702" s="98">
        <v>9</v>
      </c>
      <c r="X702" s="98">
        <v>140</v>
      </c>
      <c r="Y702" s="98">
        <v>1</v>
      </c>
      <c r="Z702" s="98">
        <f t="shared" si="71"/>
        <v>150</v>
      </c>
      <c r="AA702" s="11">
        <f t="shared" si="72"/>
        <v>0.06</v>
      </c>
      <c r="AB702" s="11">
        <f t="shared" si="73"/>
        <v>0.93333333333333335</v>
      </c>
      <c r="AC702" s="66">
        <f t="shared" si="74"/>
        <v>0.93333333333333335</v>
      </c>
      <c r="AD702" s="67">
        <f t="shared" si="75"/>
        <v>0.9</v>
      </c>
    </row>
    <row r="703" spans="1:30" ht="14.5" customHeight="1" x14ac:dyDescent="0.2">
      <c r="A703" t="s">
        <v>2973</v>
      </c>
      <c r="B703" s="7">
        <v>1</v>
      </c>
      <c r="C703" s="17">
        <v>0</v>
      </c>
      <c r="D703" s="5" t="s">
        <v>1366</v>
      </c>
      <c r="E703" s="5" t="s">
        <v>3015</v>
      </c>
      <c r="F703" s="4">
        <f t="shared" si="76"/>
        <v>2008</v>
      </c>
      <c r="G703" s="16">
        <v>39534</v>
      </c>
      <c r="H703" s="5" t="s">
        <v>2979</v>
      </c>
      <c r="I703" s="4">
        <v>0</v>
      </c>
      <c r="J703" s="22" t="s">
        <v>1373</v>
      </c>
      <c r="K703" s="17">
        <v>1</v>
      </c>
      <c r="L703" s="59">
        <v>1</v>
      </c>
      <c r="M703" s="22" t="s">
        <v>706</v>
      </c>
      <c r="N703" s="21" t="s">
        <v>2629</v>
      </c>
      <c r="P703" s="55" t="s">
        <v>1374</v>
      </c>
      <c r="Q703" s="29" t="s">
        <v>1375</v>
      </c>
      <c r="R703" s="95">
        <v>1</v>
      </c>
      <c r="S703" s="95">
        <v>0</v>
      </c>
      <c r="T703" s="95">
        <v>0</v>
      </c>
      <c r="U703" s="17">
        <v>0</v>
      </c>
      <c r="V703" s="17">
        <v>0</v>
      </c>
      <c r="W703" s="98">
        <v>36</v>
      </c>
      <c r="X703" s="98">
        <v>113</v>
      </c>
      <c r="Y703" s="98">
        <v>1</v>
      </c>
      <c r="Z703" s="98">
        <f t="shared" si="71"/>
        <v>150</v>
      </c>
      <c r="AA703" s="11">
        <f t="shared" si="72"/>
        <v>0.24</v>
      </c>
      <c r="AB703" s="11">
        <f t="shared" si="73"/>
        <v>0.7533333333333333</v>
      </c>
      <c r="AC703" s="66">
        <f t="shared" si="74"/>
        <v>0.7533333333333333</v>
      </c>
      <c r="AD703" s="67">
        <f t="shared" si="75"/>
        <v>0.63</v>
      </c>
    </row>
    <row r="704" spans="1:30" ht="14.5" customHeight="1" x14ac:dyDescent="0.2">
      <c r="A704" t="s">
        <v>2973</v>
      </c>
      <c r="B704" s="7">
        <v>1</v>
      </c>
      <c r="C704" s="17">
        <v>0</v>
      </c>
      <c r="D704" s="5" t="s">
        <v>1366</v>
      </c>
      <c r="E704" s="5" t="s">
        <v>3015</v>
      </c>
      <c r="F704" s="4">
        <f t="shared" si="76"/>
        <v>2009</v>
      </c>
      <c r="G704" s="16">
        <v>39840</v>
      </c>
      <c r="H704" s="5" t="s">
        <v>2979</v>
      </c>
      <c r="I704" s="4">
        <v>0</v>
      </c>
      <c r="J704" s="22" t="s">
        <v>1376</v>
      </c>
      <c r="K704" s="17">
        <v>1</v>
      </c>
      <c r="L704" s="59">
        <v>1</v>
      </c>
      <c r="M704" s="22" t="s">
        <v>129</v>
      </c>
      <c r="N704" s="22" t="s">
        <v>422</v>
      </c>
      <c r="P704" s="55" t="s">
        <v>1377</v>
      </c>
      <c r="Q704" s="29" t="s">
        <v>1378</v>
      </c>
      <c r="R704" s="95">
        <v>1</v>
      </c>
      <c r="S704" s="95">
        <v>0</v>
      </c>
      <c r="T704" s="95">
        <v>0</v>
      </c>
      <c r="U704" s="17">
        <v>0</v>
      </c>
      <c r="V704" s="17">
        <v>1</v>
      </c>
      <c r="W704" s="98">
        <v>65</v>
      </c>
      <c r="X704" s="98">
        <v>85</v>
      </c>
      <c r="Y704" s="98">
        <v>0</v>
      </c>
      <c r="Z704" s="98">
        <f t="shared" si="71"/>
        <v>150</v>
      </c>
      <c r="AA704" s="11">
        <f t="shared" si="72"/>
        <v>0.43333333333333335</v>
      </c>
      <c r="AB704" s="11">
        <f t="shared" si="73"/>
        <v>0.56666666666666665</v>
      </c>
      <c r="AC704" s="66">
        <f t="shared" si="74"/>
        <v>0.56666666666666665</v>
      </c>
      <c r="AD704" s="67">
        <f t="shared" si="75"/>
        <v>0.35</v>
      </c>
    </row>
    <row r="705" spans="1:30" ht="14.5" customHeight="1" x14ac:dyDescent="0.2">
      <c r="A705" t="s">
        <v>2973</v>
      </c>
      <c r="B705" s="7">
        <v>1</v>
      </c>
      <c r="C705" s="17">
        <v>0</v>
      </c>
      <c r="D705" s="5" t="s">
        <v>1366</v>
      </c>
      <c r="E705" s="5" t="s">
        <v>3015</v>
      </c>
      <c r="F705" s="4">
        <f t="shared" si="76"/>
        <v>2009</v>
      </c>
      <c r="G705" s="16">
        <v>40073</v>
      </c>
      <c r="H705" s="5" t="s">
        <v>2979</v>
      </c>
      <c r="I705" s="4">
        <v>0</v>
      </c>
      <c r="J705" s="22" t="s">
        <v>1379</v>
      </c>
      <c r="K705" s="17">
        <v>1</v>
      </c>
      <c r="L705" s="59">
        <v>1</v>
      </c>
      <c r="M705" s="22" t="s">
        <v>129</v>
      </c>
      <c r="N705" s="22" t="s">
        <v>422</v>
      </c>
      <c r="P705" s="55" t="s">
        <v>1380</v>
      </c>
      <c r="Q705" s="29" t="s">
        <v>1381</v>
      </c>
      <c r="R705" s="95">
        <v>1</v>
      </c>
      <c r="S705" s="95">
        <v>0</v>
      </c>
      <c r="T705" s="95">
        <v>0</v>
      </c>
      <c r="U705" s="17">
        <v>0</v>
      </c>
      <c r="V705" s="17">
        <v>1</v>
      </c>
      <c r="W705" s="98">
        <v>1</v>
      </c>
      <c r="X705" s="98">
        <v>149</v>
      </c>
      <c r="Y705" s="98">
        <v>0</v>
      </c>
      <c r="Z705" s="98">
        <f t="shared" si="71"/>
        <v>150</v>
      </c>
      <c r="AA705" s="11">
        <f t="shared" si="72"/>
        <v>6.6666666666666671E-3</v>
      </c>
      <c r="AB705" s="11">
        <f t="shared" si="73"/>
        <v>0.99333333333333329</v>
      </c>
      <c r="AC705" s="66">
        <f t="shared" si="74"/>
        <v>0.99333333333333329</v>
      </c>
      <c r="AD705" s="67">
        <f t="shared" si="75"/>
        <v>0.99</v>
      </c>
    </row>
    <row r="706" spans="1:30" ht="14.5" customHeight="1" x14ac:dyDescent="0.2">
      <c r="A706" t="s">
        <v>2973</v>
      </c>
      <c r="B706" s="7">
        <v>1</v>
      </c>
      <c r="C706" s="17">
        <v>0</v>
      </c>
      <c r="D706" s="5" t="s">
        <v>1366</v>
      </c>
      <c r="E706" s="5" t="s">
        <v>3015</v>
      </c>
      <c r="F706" s="4">
        <f t="shared" si="76"/>
        <v>2009</v>
      </c>
      <c r="G706" s="16">
        <v>40092</v>
      </c>
      <c r="H706" s="5" t="s">
        <v>2979</v>
      </c>
      <c r="I706" s="4">
        <v>0</v>
      </c>
      <c r="J706" s="22" t="s">
        <v>1385</v>
      </c>
      <c r="K706" s="17">
        <v>1</v>
      </c>
      <c r="L706" s="59">
        <v>1</v>
      </c>
      <c r="M706" s="22" t="s">
        <v>129</v>
      </c>
      <c r="N706" s="22" t="s">
        <v>422</v>
      </c>
      <c r="P706" s="55" t="s">
        <v>1386</v>
      </c>
      <c r="Q706" s="29" t="s">
        <v>1387</v>
      </c>
      <c r="R706" s="95">
        <v>1</v>
      </c>
      <c r="S706" s="95">
        <v>0</v>
      </c>
      <c r="T706" s="95">
        <v>0</v>
      </c>
      <c r="U706" s="17">
        <v>0</v>
      </c>
      <c r="V706" s="17">
        <v>1</v>
      </c>
      <c r="W706" s="98">
        <v>37</v>
      </c>
      <c r="X706" s="98">
        <v>113</v>
      </c>
      <c r="Y706" s="98">
        <v>0</v>
      </c>
      <c r="Z706" s="98">
        <f t="shared" si="71"/>
        <v>150</v>
      </c>
      <c r="AA706" s="11">
        <f t="shared" si="72"/>
        <v>0.24666666666666667</v>
      </c>
      <c r="AB706" s="11">
        <f t="shared" si="73"/>
        <v>0.7533333333333333</v>
      </c>
      <c r="AC706" s="66">
        <f t="shared" si="74"/>
        <v>0.7533333333333333</v>
      </c>
      <c r="AD706" s="67">
        <f t="shared" si="75"/>
        <v>0.63</v>
      </c>
    </row>
    <row r="707" spans="1:30" ht="14.5" customHeight="1" x14ac:dyDescent="0.2">
      <c r="A707" t="s">
        <v>2973</v>
      </c>
      <c r="B707" s="7">
        <v>1</v>
      </c>
      <c r="C707" s="17">
        <v>0</v>
      </c>
      <c r="D707" s="5" t="s">
        <v>1366</v>
      </c>
      <c r="E707" s="5" t="s">
        <v>3015</v>
      </c>
      <c r="F707" s="4">
        <f t="shared" si="76"/>
        <v>2009</v>
      </c>
      <c r="G707" s="16">
        <v>40092</v>
      </c>
      <c r="H707" s="5" t="s">
        <v>2979</v>
      </c>
      <c r="I707" s="4">
        <v>0</v>
      </c>
      <c r="J707" s="22" t="s">
        <v>1382</v>
      </c>
      <c r="K707" s="17">
        <v>1</v>
      </c>
      <c r="L707" s="59">
        <v>1</v>
      </c>
      <c r="M707" s="22" t="s">
        <v>129</v>
      </c>
      <c r="N707" s="22" t="s">
        <v>422</v>
      </c>
      <c r="P707" s="55" t="s">
        <v>1383</v>
      </c>
      <c r="Q707" s="29" t="s">
        <v>1384</v>
      </c>
      <c r="R707" s="95">
        <v>1</v>
      </c>
      <c r="S707" s="95">
        <v>0</v>
      </c>
      <c r="T707" s="95">
        <v>0</v>
      </c>
      <c r="U707" s="17">
        <v>0</v>
      </c>
      <c r="V707" s="17">
        <v>1</v>
      </c>
      <c r="W707" s="98">
        <v>44</v>
      </c>
      <c r="X707" s="98">
        <v>106</v>
      </c>
      <c r="Y707" s="98">
        <v>0</v>
      </c>
      <c r="Z707" s="98">
        <f t="shared" si="71"/>
        <v>150</v>
      </c>
      <c r="AA707" s="11">
        <f t="shared" si="72"/>
        <v>0.29333333333333333</v>
      </c>
      <c r="AB707" s="11">
        <f t="shared" si="73"/>
        <v>0.70666666666666667</v>
      </c>
      <c r="AC707" s="66">
        <f t="shared" si="74"/>
        <v>0.70666666666666667</v>
      </c>
      <c r="AD707" s="67">
        <f t="shared" si="75"/>
        <v>0.56000000000000005</v>
      </c>
    </row>
    <row r="708" spans="1:30" ht="14.5" customHeight="1" x14ac:dyDescent="0.2">
      <c r="A708" t="s">
        <v>2973</v>
      </c>
      <c r="B708" s="7">
        <v>1</v>
      </c>
      <c r="C708" s="17">
        <v>0</v>
      </c>
      <c r="D708" s="5" t="s">
        <v>1366</v>
      </c>
      <c r="E708" s="5" t="s">
        <v>3015</v>
      </c>
      <c r="F708" s="4">
        <f t="shared" si="76"/>
        <v>2010</v>
      </c>
      <c r="G708" s="16">
        <v>40227</v>
      </c>
      <c r="H708" s="5" t="s">
        <v>2979</v>
      </c>
      <c r="I708" s="4">
        <v>0</v>
      </c>
      <c r="J708" s="22" t="s">
        <v>1388</v>
      </c>
      <c r="K708" s="17">
        <v>1</v>
      </c>
      <c r="L708" s="59">
        <v>1</v>
      </c>
      <c r="M708" s="22" t="s">
        <v>129</v>
      </c>
      <c r="N708" s="22" t="s">
        <v>422</v>
      </c>
      <c r="P708" s="55" t="s">
        <v>1389</v>
      </c>
      <c r="Q708" s="29" t="s">
        <v>1390</v>
      </c>
      <c r="R708" s="95">
        <v>1</v>
      </c>
      <c r="S708" s="95">
        <v>0</v>
      </c>
      <c r="T708" s="95">
        <v>0</v>
      </c>
      <c r="U708" s="17">
        <v>0</v>
      </c>
      <c r="V708" s="17">
        <v>1</v>
      </c>
      <c r="W708" s="98">
        <v>44</v>
      </c>
      <c r="X708" s="98">
        <v>106</v>
      </c>
      <c r="Y708" s="98">
        <v>0</v>
      </c>
      <c r="Z708" s="98">
        <f t="shared" si="71"/>
        <v>150</v>
      </c>
      <c r="AA708" s="11">
        <f t="shared" si="72"/>
        <v>0.29333333333333333</v>
      </c>
      <c r="AB708" s="11">
        <f t="shared" si="73"/>
        <v>0.70666666666666667</v>
      </c>
      <c r="AC708" s="66">
        <f t="shared" si="74"/>
        <v>0.70666666666666667</v>
      </c>
      <c r="AD708" s="67">
        <f t="shared" si="75"/>
        <v>0.56000000000000005</v>
      </c>
    </row>
    <row r="709" spans="1:30" ht="14.5" customHeight="1" x14ac:dyDescent="0.2">
      <c r="A709" t="s">
        <v>2973</v>
      </c>
      <c r="B709" s="7">
        <v>1</v>
      </c>
      <c r="C709" s="17">
        <v>0</v>
      </c>
      <c r="D709" s="5" t="s">
        <v>1366</v>
      </c>
      <c r="E709" s="5" t="s">
        <v>3015</v>
      </c>
      <c r="F709" s="4">
        <f t="shared" si="76"/>
        <v>2010</v>
      </c>
      <c r="G709" s="16">
        <v>40290</v>
      </c>
      <c r="H709" s="5" t="s">
        <v>2979</v>
      </c>
      <c r="I709" s="4">
        <v>0</v>
      </c>
      <c r="J709" s="22" t="s">
        <v>1391</v>
      </c>
      <c r="K709" s="17">
        <v>0</v>
      </c>
      <c r="L709" s="59">
        <v>1</v>
      </c>
      <c r="M709" s="55" t="s">
        <v>2601</v>
      </c>
      <c r="N709" s="55" t="s">
        <v>422</v>
      </c>
      <c r="P709" s="55" t="s">
        <v>1392</v>
      </c>
      <c r="Q709" s="29" t="s">
        <v>1393</v>
      </c>
      <c r="R709" s="95">
        <v>1</v>
      </c>
      <c r="S709" s="95">
        <v>0</v>
      </c>
      <c r="T709" s="95">
        <v>0</v>
      </c>
      <c r="U709" s="17">
        <v>0</v>
      </c>
      <c r="V709" s="17">
        <v>1</v>
      </c>
      <c r="W709" s="98">
        <v>80</v>
      </c>
      <c r="X709" s="98">
        <v>69</v>
      </c>
      <c r="Y709" s="98">
        <v>1</v>
      </c>
      <c r="Z709" s="98">
        <f t="shared" si="71"/>
        <v>150</v>
      </c>
      <c r="AA709" s="11">
        <f t="shared" si="72"/>
        <v>0.53333333333333333</v>
      </c>
      <c r="AB709" s="11">
        <f t="shared" si="73"/>
        <v>0.46</v>
      </c>
      <c r="AC709" s="66">
        <f t="shared" si="74"/>
        <v>0.53333333333333333</v>
      </c>
      <c r="AD709" s="67">
        <f t="shared" si="75"/>
        <v>0.3</v>
      </c>
    </row>
    <row r="710" spans="1:30" ht="14.5" customHeight="1" x14ac:dyDescent="0.2">
      <c r="A710" t="s">
        <v>2973</v>
      </c>
      <c r="B710" s="7">
        <v>1</v>
      </c>
      <c r="C710" s="17">
        <v>0</v>
      </c>
      <c r="D710" s="5" t="s">
        <v>1366</v>
      </c>
      <c r="E710" s="5" t="s">
        <v>3015</v>
      </c>
      <c r="F710" s="4">
        <f t="shared" si="76"/>
        <v>2010</v>
      </c>
      <c r="G710" s="16">
        <v>40290</v>
      </c>
      <c r="H710" s="5" t="s">
        <v>2979</v>
      </c>
      <c r="I710" s="4">
        <v>0</v>
      </c>
      <c r="J710" s="22" t="s">
        <v>1394</v>
      </c>
      <c r="K710" s="17">
        <v>1</v>
      </c>
      <c r="L710" s="59">
        <v>1</v>
      </c>
      <c r="M710" s="55" t="s">
        <v>129</v>
      </c>
      <c r="N710" s="22" t="s">
        <v>422</v>
      </c>
      <c r="P710" s="55" t="s">
        <v>1395</v>
      </c>
      <c r="Q710" s="29" t="s">
        <v>1396</v>
      </c>
      <c r="R710" s="95">
        <v>1</v>
      </c>
      <c r="S710" s="95">
        <v>0</v>
      </c>
      <c r="T710" s="95">
        <v>0</v>
      </c>
      <c r="U710" s="17">
        <v>0</v>
      </c>
      <c r="V710" s="17">
        <v>1</v>
      </c>
      <c r="W710" s="98">
        <v>36</v>
      </c>
      <c r="X710" s="98">
        <v>113</v>
      </c>
      <c r="Y710" s="98">
        <v>1</v>
      </c>
      <c r="Z710" s="98">
        <f t="shared" si="71"/>
        <v>150</v>
      </c>
      <c r="AA710" s="11">
        <f t="shared" si="72"/>
        <v>0.24</v>
      </c>
      <c r="AB710" s="11">
        <f t="shared" si="73"/>
        <v>0.7533333333333333</v>
      </c>
      <c r="AC710" s="66">
        <f t="shared" si="74"/>
        <v>0.7533333333333333</v>
      </c>
      <c r="AD710" s="67">
        <f t="shared" si="75"/>
        <v>0.63</v>
      </c>
    </row>
    <row r="711" spans="1:30" ht="14.5" customHeight="1" x14ac:dyDescent="0.2">
      <c r="A711" t="s">
        <v>2973</v>
      </c>
      <c r="B711" s="7">
        <v>1</v>
      </c>
      <c r="C711" s="17">
        <v>0</v>
      </c>
      <c r="D711" s="5" t="s">
        <v>1397</v>
      </c>
      <c r="E711" s="5" t="s">
        <v>3016</v>
      </c>
      <c r="F711" s="4">
        <f t="shared" si="76"/>
        <v>2011</v>
      </c>
      <c r="G711" s="16">
        <v>40570</v>
      </c>
      <c r="H711" s="5" t="s">
        <v>2979</v>
      </c>
      <c r="I711" s="4">
        <v>0</v>
      </c>
      <c r="J711" s="22" t="s">
        <v>1398</v>
      </c>
      <c r="K711" s="17">
        <v>1</v>
      </c>
      <c r="L711" s="59">
        <v>1</v>
      </c>
      <c r="M711" s="55" t="s">
        <v>2613</v>
      </c>
      <c r="N711" s="55" t="s">
        <v>422</v>
      </c>
      <c r="P711" s="55" t="s">
        <v>1399</v>
      </c>
      <c r="Q711" s="29" t="s">
        <v>1400</v>
      </c>
      <c r="R711" s="95">
        <v>1</v>
      </c>
      <c r="S711" s="95">
        <v>0</v>
      </c>
      <c r="T711" s="95">
        <v>0</v>
      </c>
      <c r="U711" s="17">
        <v>0</v>
      </c>
      <c r="V711" s="17">
        <v>0</v>
      </c>
      <c r="W711" s="98">
        <v>48</v>
      </c>
      <c r="X711" s="98">
        <v>102</v>
      </c>
      <c r="Y711" s="98">
        <v>0</v>
      </c>
      <c r="Z711" s="98">
        <f t="shared" si="71"/>
        <v>150</v>
      </c>
      <c r="AA711" s="11">
        <f t="shared" si="72"/>
        <v>0.32</v>
      </c>
      <c r="AB711" s="11">
        <f t="shared" si="73"/>
        <v>0.68</v>
      </c>
      <c r="AC711" s="66">
        <f t="shared" si="74"/>
        <v>0.68</v>
      </c>
      <c r="AD711" s="67">
        <f t="shared" si="75"/>
        <v>0.52</v>
      </c>
    </row>
    <row r="712" spans="1:30" ht="14.5" customHeight="1" x14ac:dyDescent="0.2">
      <c r="A712" t="s">
        <v>2973</v>
      </c>
      <c r="B712" s="7">
        <v>1</v>
      </c>
      <c r="C712" s="17">
        <v>0</v>
      </c>
      <c r="D712" s="5" t="s">
        <v>1397</v>
      </c>
      <c r="E712" s="5" t="s">
        <v>3016</v>
      </c>
      <c r="F712" s="4">
        <f t="shared" si="76"/>
        <v>2011</v>
      </c>
      <c r="G712" s="16">
        <v>40625</v>
      </c>
      <c r="H712" s="5" t="s">
        <v>2979</v>
      </c>
      <c r="I712" s="4">
        <v>0</v>
      </c>
      <c r="J712" s="22" t="s">
        <v>1401</v>
      </c>
      <c r="K712" s="17">
        <v>1</v>
      </c>
      <c r="L712" s="59">
        <v>1</v>
      </c>
      <c r="M712" t="s">
        <v>949</v>
      </c>
      <c r="N712" s="48" t="s">
        <v>2629</v>
      </c>
      <c r="P712" s="55" t="s">
        <v>1402</v>
      </c>
      <c r="Q712" s="29" t="s">
        <v>1403</v>
      </c>
      <c r="R712" s="95">
        <v>1</v>
      </c>
      <c r="S712" s="95">
        <v>0</v>
      </c>
      <c r="T712" s="95">
        <v>0</v>
      </c>
      <c r="U712" s="17">
        <v>0</v>
      </c>
      <c r="V712" s="17">
        <v>0</v>
      </c>
      <c r="W712" s="98">
        <v>17</v>
      </c>
      <c r="X712" s="98">
        <v>133</v>
      </c>
      <c r="Y712" s="98">
        <v>0</v>
      </c>
      <c r="Z712" s="98">
        <f t="shared" si="71"/>
        <v>150</v>
      </c>
      <c r="AA712" s="11">
        <f t="shared" si="72"/>
        <v>0.11333333333333333</v>
      </c>
      <c r="AB712" s="11">
        <f t="shared" si="73"/>
        <v>0.88666666666666671</v>
      </c>
      <c r="AC712" s="66">
        <f t="shared" si="74"/>
        <v>0.88666666666666671</v>
      </c>
      <c r="AD712" s="67">
        <f t="shared" si="75"/>
        <v>0.83</v>
      </c>
    </row>
    <row r="713" spans="1:30" ht="14.5" customHeight="1" x14ac:dyDescent="0.2">
      <c r="A713" t="s">
        <v>2973</v>
      </c>
      <c r="B713" s="7">
        <v>1</v>
      </c>
      <c r="C713" s="17">
        <v>0</v>
      </c>
      <c r="D713" s="5" t="s">
        <v>1397</v>
      </c>
      <c r="E713" s="5" t="s">
        <v>3016</v>
      </c>
      <c r="F713" s="4">
        <f t="shared" si="76"/>
        <v>2011</v>
      </c>
      <c r="G713" s="16">
        <v>40625</v>
      </c>
      <c r="H713" s="5" t="s">
        <v>2979</v>
      </c>
      <c r="I713" s="4">
        <v>0</v>
      </c>
      <c r="J713" s="22" t="s">
        <v>1404</v>
      </c>
      <c r="K713" s="17">
        <v>1</v>
      </c>
      <c r="L713" s="59">
        <v>1</v>
      </c>
      <c r="M713" t="s">
        <v>949</v>
      </c>
      <c r="N713" s="48" t="s">
        <v>2629</v>
      </c>
      <c r="P713" s="55" t="s">
        <v>1405</v>
      </c>
      <c r="Q713" s="29" t="s">
        <v>1406</v>
      </c>
      <c r="R713" s="95">
        <v>1</v>
      </c>
      <c r="S713" s="95">
        <v>0</v>
      </c>
      <c r="T713" s="95">
        <v>0</v>
      </c>
      <c r="U713" s="17">
        <v>0</v>
      </c>
      <c r="V713" s="17">
        <v>0</v>
      </c>
      <c r="W713" s="98">
        <v>24</v>
      </c>
      <c r="X713" s="98">
        <v>126</v>
      </c>
      <c r="Y713" s="98">
        <v>0</v>
      </c>
      <c r="Z713" s="98">
        <f t="shared" si="71"/>
        <v>150</v>
      </c>
      <c r="AA713" s="11">
        <f t="shared" si="72"/>
        <v>0.16</v>
      </c>
      <c r="AB713" s="11">
        <f t="shared" si="73"/>
        <v>0.84</v>
      </c>
      <c r="AC713" s="66">
        <f t="shared" si="74"/>
        <v>0.84</v>
      </c>
      <c r="AD713" s="67">
        <f t="shared" si="75"/>
        <v>0.76</v>
      </c>
    </row>
    <row r="714" spans="1:30" ht="14.5" customHeight="1" x14ac:dyDescent="0.2">
      <c r="A714" t="s">
        <v>2973</v>
      </c>
      <c r="B714" s="7">
        <v>1</v>
      </c>
      <c r="C714" s="17">
        <v>0</v>
      </c>
      <c r="D714" s="5" t="s">
        <v>1397</v>
      </c>
      <c r="E714" s="5" t="s">
        <v>3016</v>
      </c>
      <c r="F714" s="4">
        <f t="shared" si="76"/>
        <v>2011</v>
      </c>
      <c r="G714" s="16">
        <v>40633</v>
      </c>
      <c r="H714" s="5" t="s">
        <v>2979</v>
      </c>
      <c r="I714" s="4">
        <v>0</v>
      </c>
      <c r="J714" s="22" t="s">
        <v>1407</v>
      </c>
      <c r="K714" s="17">
        <v>1</v>
      </c>
      <c r="L714" s="59">
        <v>1</v>
      </c>
      <c r="M714" t="s">
        <v>949</v>
      </c>
      <c r="N714" s="48" t="s">
        <v>2629</v>
      </c>
      <c r="P714" s="55" t="s">
        <v>1408</v>
      </c>
      <c r="Q714" s="29" t="s">
        <v>1409</v>
      </c>
      <c r="R714" s="95">
        <v>1</v>
      </c>
      <c r="S714" s="95">
        <v>0</v>
      </c>
      <c r="T714" s="95">
        <v>0</v>
      </c>
      <c r="U714" s="17">
        <v>0</v>
      </c>
      <c r="V714" s="17">
        <v>0</v>
      </c>
      <c r="W714" s="98">
        <v>41</v>
      </c>
      <c r="X714" s="98">
        <v>109</v>
      </c>
      <c r="Y714" s="98">
        <v>0</v>
      </c>
      <c r="Z714" s="98">
        <f t="shared" si="71"/>
        <v>150</v>
      </c>
      <c r="AA714" s="11">
        <f t="shared" si="72"/>
        <v>0.27333333333333332</v>
      </c>
      <c r="AB714" s="11">
        <f t="shared" si="73"/>
        <v>0.72666666666666668</v>
      </c>
      <c r="AC714" s="66">
        <f t="shared" si="74"/>
        <v>0.72666666666666668</v>
      </c>
      <c r="AD714" s="67">
        <f t="shared" si="75"/>
        <v>0.59</v>
      </c>
    </row>
    <row r="715" spans="1:30" ht="14.5" customHeight="1" x14ac:dyDescent="0.2">
      <c r="A715" t="s">
        <v>2973</v>
      </c>
      <c r="B715" s="7">
        <v>1</v>
      </c>
      <c r="C715" s="17">
        <v>0</v>
      </c>
      <c r="D715" s="5" t="s">
        <v>1397</v>
      </c>
      <c r="E715" s="5" t="s">
        <v>3016</v>
      </c>
      <c r="F715" s="4">
        <f t="shared" si="76"/>
        <v>2011</v>
      </c>
      <c r="G715" s="16">
        <v>40701</v>
      </c>
      <c r="H715" s="5" t="s">
        <v>2979</v>
      </c>
      <c r="I715" s="4">
        <v>0</v>
      </c>
      <c r="J715" s="22" t="s">
        <v>1410</v>
      </c>
      <c r="K715" s="17">
        <v>1</v>
      </c>
      <c r="L715" s="59">
        <v>1</v>
      </c>
      <c r="M715" t="s">
        <v>949</v>
      </c>
      <c r="N715" s="48" t="s">
        <v>2629</v>
      </c>
      <c r="P715" s="55" t="s">
        <v>1411</v>
      </c>
      <c r="Q715" s="29" t="s">
        <v>1412</v>
      </c>
      <c r="R715" s="95">
        <v>1</v>
      </c>
      <c r="S715" s="95">
        <v>0</v>
      </c>
      <c r="T715" s="95">
        <v>0</v>
      </c>
      <c r="U715" s="17">
        <v>0</v>
      </c>
      <c r="V715" s="17">
        <v>0</v>
      </c>
      <c r="W715" s="98">
        <v>41</v>
      </c>
      <c r="X715" s="98">
        <v>109</v>
      </c>
      <c r="Y715" s="98">
        <v>0</v>
      </c>
      <c r="Z715" s="98">
        <f t="shared" si="71"/>
        <v>150</v>
      </c>
      <c r="AA715" s="11">
        <f t="shared" si="72"/>
        <v>0.27333333333333332</v>
      </c>
      <c r="AB715" s="11">
        <f t="shared" si="73"/>
        <v>0.72666666666666668</v>
      </c>
      <c r="AC715" s="66">
        <f t="shared" si="74"/>
        <v>0.72666666666666668</v>
      </c>
      <c r="AD715" s="67">
        <f t="shared" si="75"/>
        <v>0.59</v>
      </c>
    </row>
    <row r="716" spans="1:30" ht="14.5" customHeight="1" x14ac:dyDescent="0.2">
      <c r="A716" t="s">
        <v>2973</v>
      </c>
      <c r="B716" s="7">
        <v>1</v>
      </c>
      <c r="C716" s="17">
        <v>0</v>
      </c>
      <c r="D716" s="5" t="s">
        <v>1397</v>
      </c>
      <c r="E716" s="5" t="s">
        <v>3016</v>
      </c>
      <c r="F716" s="4">
        <f t="shared" si="76"/>
        <v>2011</v>
      </c>
      <c r="G716" s="16">
        <v>40701</v>
      </c>
      <c r="H716" s="5" t="s">
        <v>2979</v>
      </c>
      <c r="I716" s="4">
        <v>0</v>
      </c>
      <c r="J716" s="22" t="s">
        <v>1413</v>
      </c>
      <c r="K716" s="17">
        <v>1</v>
      </c>
      <c r="L716" s="59">
        <v>1</v>
      </c>
      <c r="M716" t="s">
        <v>949</v>
      </c>
      <c r="N716" s="48" t="s">
        <v>2629</v>
      </c>
      <c r="P716" s="55" t="s">
        <v>1414</v>
      </c>
      <c r="Q716" s="29" t="s">
        <v>1415</v>
      </c>
      <c r="R716" s="95">
        <v>1</v>
      </c>
      <c r="S716" s="95">
        <v>0</v>
      </c>
      <c r="T716" s="95">
        <v>0</v>
      </c>
      <c r="U716" s="17">
        <v>0</v>
      </c>
      <c r="V716" s="17">
        <v>0</v>
      </c>
      <c r="W716" s="98">
        <v>51</v>
      </c>
      <c r="X716" s="98">
        <v>99</v>
      </c>
      <c r="Y716" s="98">
        <v>0</v>
      </c>
      <c r="Z716" s="98">
        <f t="shared" si="71"/>
        <v>150</v>
      </c>
      <c r="AA716" s="11">
        <f t="shared" si="72"/>
        <v>0.34</v>
      </c>
      <c r="AB716" s="11">
        <f t="shared" si="73"/>
        <v>0.66</v>
      </c>
      <c r="AC716" s="66">
        <f t="shared" si="74"/>
        <v>0.66</v>
      </c>
      <c r="AD716" s="67">
        <f t="shared" si="75"/>
        <v>0.49</v>
      </c>
    </row>
    <row r="717" spans="1:30" ht="14.5" customHeight="1" x14ac:dyDescent="0.2">
      <c r="A717" t="s">
        <v>2973</v>
      </c>
      <c r="B717" s="7">
        <v>1</v>
      </c>
      <c r="C717" s="17">
        <v>0</v>
      </c>
      <c r="D717" s="5" t="s">
        <v>1397</v>
      </c>
      <c r="E717" s="5" t="s">
        <v>3016</v>
      </c>
      <c r="F717" s="4">
        <f t="shared" si="76"/>
        <v>2011</v>
      </c>
      <c r="G717" s="16">
        <v>40848</v>
      </c>
      <c r="H717" s="5" t="s">
        <v>2979</v>
      </c>
      <c r="I717" s="4">
        <v>0</v>
      </c>
      <c r="J717" s="22" t="s">
        <v>1419</v>
      </c>
      <c r="K717" s="17">
        <v>1</v>
      </c>
      <c r="L717" s="59">
        <v>1</v>
      </c>
      <c r="M717" s="22" t="s">
        <v>2584</v>
      </c>
      <c r="N717" s="22" t="s">
        <v>2121</v>
      </c>
      <c r="P717" s="55" t="s">
        <v>1420</v>
      </c>
      <c r="Q717" s="29" t="s">
        <v>1421</v>
      </c>
      <c r="R717" s="95">
        <v>1</v>
      </c>
      <c r="S717" s="95">
        <v>0</v>
      </c>
      <c r="T717" s="95">
        <v>0</v>
      </c>
      <c r="U717" s="17">
        <v>0</v>
      </c>
      <c r="V717" s="17">
        <v>0</v>
      </c>
      <c r="W717" s="98">
        <v>24</v>
      </c>
      <c r="X717" s="98">
        <v>126</v>
      </c>
      <c r="Y717" s="98">
        <v>0</v>
      </c>
      <c r="Z717" s="98">
        <f t="shared" si="71"/>
        <v>150</v>
      </c>
      <c r="AA717" s="11">
        <f t="shared" si="72"/>
        <v>0.16</v>
      </c>
      <c r="AB717" s="11">
        <f t="shared" si="73"/>
        <v>0.84</v>
      </c>
      <c r="AC717" s="66">
        <f t="shared" si="74"/>
        <v>0.84</v>
      </c>
      <c r="AD717" s="67">
        <f t="shared" si="75"/>
        <v>0.76</v>
      </c>
    </row>
    <row r="718" spans="1:30" ht="14.5" customHeight="1" x14ac:dyDescent="0.2">
      <c r="A718" t="s">
        <v>2973</v>
      </c>
      <c r="B718" s="7">
        <v>1</v>
      </c>
      <c r="C718" s="17">
        <v>0</v>
      </c>
      <c r="D718" s="5" t="s">
        <v>1397</v>
      </c>
      <c r="E718" s="5" t="s">
        <v>3016</v>
      </c>
      <c r="F718" s="4">
        <f t="shared" si="76"/>
        <v>2011</v>
      </c>
      <c r="G718" s="16">
        <v>40848</v>
      </c>
      <c r="H718" s="5" t="s">
        <v>2979</v>
      </c>
      <c r="I718" s="4">
        <v>0</v>
      </c>
      <c r="J718" s="22" t="s">
        <v>1416</v>
      </c>
      <c r="K718" s="17">
        <v>1</v>
      </c>
      <c r="L718" s="59">
        <v>1</v>
      </c>
      <c r="M718" s="22" t="s">
        <v>2861</v>
      </c>
      <c r="N718" s="22" t="s">
        <v>2121</v>
      </c>
      <c r="P718" s="55" t="s">
        <v>1417</v>
      </c>
      <c r="Q718" s="29" t="s">
        <v>1418</v>
      </c>
      <c r="R718" s="95">
        <v>1</v>
      </c>
      <c r="S718" s="95">
        <v>0</v>
      </c>
      <c r="T718" s="95">
        <v>0</v>
      </c>
      <c r="U718" s="17">
        <v>0</v>
      </c>
      <c r="V718" s="17">
        <v>1</v>
      </c>
      <c r="W718" s="98">
        <v>24</v>
      </c>
      <c r="X718" s="98">
        <v>126</v>
      </c>
      <c r="Y718" s="98">
        <v>0</v>
      </c>
      <c r="Z718" s="98">
        <f t="shared" si="71"/>
        <v>150</v>
      </c>
      <c r="AA718" s="11">
        <f t="shared" si="72"/>
        <v>0.16</v>
      </c>
      <c r="AB718" s="11">
        <f t="shared" si="73"/>
        <v>0.84</v>
      </c>
      <c r="AC718" s="66">
        <f t="shared" si="74"/>
        <v>0.84</v>
      </c>
      <c r="AD718" s="67">
        <f t="shared" si="75"/>
        <v>0.76</v>
      </c>
    </row>
    <row r="719" spans="1:30" ht="14.5" customHeight="1" x14ac:dyDescent="0.2">
      <c r="A719" t="s">
        <v>2973</v>
      </c>
      <c r="B719" s="7">
        <v>1</v>
      </c>
      <c r="C719" s="17">
        <v>0</v>
      </c>
      <c r="D719" s="5" t="s">
        <v>1397</v>
      </c>
      <c r="E719" s="5" t="s">
        <v>3016</v>
      </c>
      <c r="F719" s="4">
        <f t="shared" si="76"/>
        <v>2011</v>
      </c>
      <c r="G719" s="16">
        <v>40890</v>
      </c>
      <c r="H719" s="5" t="s">
        <v>2979</v>
      </c>
      <c r="I719" s="4">
        <v>0</v>
      </c>
      <c r="J719" s="22" t="s">
        <v>1422</v>
      </c>
      <c r="K719" s="17">
        <v>1</v>
      </c>
      <c r="L719" s="59">
        <v>1</v>
      </c>
      <c r="M719" s="55" t="s">
        <v>2613</v>
      </c>
      <c r="N719" s="55" t="s">
        <v>422</v>
      </c>
      <c r="P719" s="55" t="s">
        <v>1423</v>
      </c>
      <c r="Q719" s="29" t="s">
        <v>1424</v>
      </c>
      <c r="R719" s="95">
        <v>1</v>
      </c>
      <c r="S719" s="95">
        <v>0</v>
      </c>
      <c r="T719" s="95">
        <v>0</v>
      </c>
      <c r="U719" s="17">
        <v>0</v>
      </c>
      <c r="V719" s="17">
        <v>0</v>
      </c>
      <c r="W719" s="98">
        <v>71</v>
      </c>
      <c r="X719" s="98">
        <v>79</v>
      </c>
      <c r="Y719" s="98">
        <v>0</v>
      </c>
      <c r="Z719" s="98">
        <f t="shared" si="71"/>
        <v>150</v>
      </c>
      <c r="AA719" s="11">
        <f t="shared" si="72"/>
        <v>0.47333333333333333</v>
      </c>
      <c r="AB719" s="11">
        <f t="shared" si="73"/>
        <v>0.52666666666666662</v>
      </c>
      <c r="AC719" s="66">
        <f t="shared" si="74"/>
        <v>0.52666666666666662</v>
      </c>
      <c r="AD719" s="67">
        <f t="shared" si="75"/>
        <v>0.28999999999999998</v>
      </c>
    </row>
    <row r="720" spans="1:30" ht="14.5" customHeight="1" x14ac:dyDescent="0.2">
      <c r="A720" t="s">
        <v>2973</v>
      </c>
      <c r="B720" s="7">
        <v>1</v>
      </c>
      <c r="C720" s="17">
        <v>0</v>
      </c>
      <c r="D720" s="5" t="s">
        <v>1425</v>
      </c>
      <c r="E720" s="5" t="s">
        <v>3017</v>
      </c>
      <c r="F720" s="4">
        <f t="shared" si="76"/>
        <v>2012</v>
      </c>
      <c r="G720" s="16">
        <v>41263</v>
      </c>
      <c r="H720" s="5" t="s">
        <v>2979</v>
      </c>
      <c r="I720" s="4">
        <v>0</v>
      </c>
      <c r="J720" s="22" t="s">
        <v>1426</v>
      </c>
      <c r="K720" s="17">
        <v>1</v>
      </c>
      <c r="L720" s="59">
        <v>1</v>
      </c>
      <c r="M720" s="22" t="s">
        <v>2614</v>
      </c>
      <c r="N720" s="22" t="s">
        <v>2628</v>
      </c>
      <c r="P720" s="55" t="s">
        <v>1427</v>
      </c>
      <c r="Q720" s="29" t="s">
        <v>1428</v>
      </c>
      <c r="R720" s="95">
        <v>0</v>
      </c>
      <c r="S720" s="95">
        <v>1</v>
      </c>
      <c r="T720" s="95">
        <v>0</v>
      </c>
      <c r="U720" s="17">
        <v>0</v>
      </c>
      <c r="V720" s="17">
        <v>0</v>
      </c>
      <c r="W720" s="98">
        <v>30</v>
      </c>
      <c r="X720" s="98">
        <v>120</v>
      </c>
      <c r="Y720" s="98">
        <v>0</v>
      </c>
      <c r="Z720" s="98">
        <f t="shared" si="71"/>
        <v>150</v>
      </c>
      <c r="AA720" s="11">
        <f t="shared" si="72"/>
        <v>0.2</v>
      </c>
      <c r="AB720" s="11">
        <f t="shared" si="73"/>
        <v>0.8</v>
      </c>
      <c r="AC720" s="66">
        <f t="shared" si="74"/>
        <v>0.8</v>
      </c>
      <c r="AD720" s="67">
        <f t="shared" si="75"/>
        <v>0.7</v>
      </c>
    </row>
    <row r="721" spans="1:32" ht="14.5" customHeight="1" x14ac:dyDescent="0.2">
      <c r="A721" t="s">
        <v>2973</v>
      </c>
      <c r="B721" s="7">
        <v>1</v>
      </c>
      <c r="C721" s="17">
        <v>0</v>
      </c>
      <c r="D721" s="5" t="s">
        <v>1425</v>
      </c>
      <c r="E721" s="5" t="s">
        <v>3017</v>
      </c>
      <c r="F721" s="4">
        <f t="shared" si="76"/>
        <v>2013</v>
      </c>
      <c r="G721" s="16">
        <v>41373</v>
      </c>
      <c r="H721" s="5" t="s">
        <v>2979</v>
      </c>
      <c r="I721" s="4">
        <v>0</v>
      </c>
      <c r="J721" s="22" t="s">
        <v>1432</v>
      </c>
      <c r="K721" s="17">
        <v>1</v>
      </c>
      <c r="L721" s="59">
        <v>1</v>
      </c>
      <c r="M721" s="55" t="s">
        <v>2613</v>
      </c>
      <c r="N721" s="55" t="s">
        <v>422</v>
      </c>
      <c r="P721" s="55" t="s">
        <v>1433</v>
      </c>
      <c r="Q721" s="29" t="s">
        <v>1434</v>
      </c>
      <c r="R721" s="95">
        <v>1</v>
      </c>
      <c r="S721" s="95">
        <v>0</v>
      </c>
      <c r="T721" s="95">
        <v>0</v>
      </c>
      <c r="U721" s="17">
        <v>0</v>
      </c>
      <c r="V721" s="17">
        <v>0</v>
      </c>
      <c r="W721" s="98">
        <v>36</v>
      </c>
      <c r="X721" s="98">
        <v>114</v>
      </c>
      <c r="Y721" s="98">
        <v>0</v>
      </c>
      <c r="Z721" s="98">
        <f t="shared" si="71"/>
        <v>150</v>
      </c>
      <c r="AA721" s="11">
        <f t="shared" si="72"/>
        <v>0.24</v>
      </c>
      <c r="AB721" s="11">
        <f t="shared" si="73"/>
        <v>0.76</v>
      </c>
      <c r="AC721" s="66">
        <f t="shared" si="74"/>
        <v>0.76</v>
      </c>
      <c r="AD721" s="67">
        <f t="shared" si="75"/>
        <v>0.64</v>
      </c>
    </row>
    <row r="722" spans="1:32" ht="14.5" customHeight="1" x14ac:dyDescent="0.2">
      <c r="A722" t="s">
        <v>2973</v>
      </c>
      <c r="B722" s="7">
        <v>1</v>
      </c>
      <c r="C722" s="17">
        <v>0</v>
      </c>
      <c r="D722" s="5" t="s">
        <v>1425</v>
      </c>
      <c r="E722" s="5" t="s">
        <v>3017</v>
      </c>
      <c r="F722" s="4">
        <f t="shared" si="76"/>
        <v>2013</v>
      </c>
      <c r="G722" s="16">
        <v>41373</v>
      </c>
      <c r="H722" s="5" t="s">
        <v>2979</v>
      </c>
      <c r="I722" s="4">
        <v>0</v>
      </c>
      <c r="J722" s="22" t="s">
        <v>1429</v>
      </c>
      <c r="K722" s="17">
        <v>1</v>
      </c>
      <c r="L722" s="59">
        <v>1</v>
      </c>
      <c r="M722" s="55" t="s">
        <v>2602</v>
      </c>
      <c r="N722" s="22" t="s">
        <v>422</v>
      </c>
      <c r="P722" s="55" t="s">
        <v>1430</v>
      </c>
      <c r="Q722" s="29" t="s">
        <v>1431</v>
      </c>
      <c r="R722" s="95">
        <v>1</v>
      </c>
      <c r="S722" s="95">
        <v>0</v>
      </c>
      <c r="T722" s="95">
        <v>0</v>
      </c>
      <c r="U722" s="17">
        <v>0</v>
      </c>
      <c r="V722" s="17">
        <v>0</v>
      </c>
      <c r="W722" s="98">
        <v>15</v>
      </c>
      <c r="X722" s="98">
        <v>135</v>
      </c>
      <c r="Y722" s="98">
        <v>0</v>
      </c>
      <c r="Z722" s="98">
        <f t="shared" si="71"/>
        <v>150</v>
      </c>
      <c r="AA722" s="11">
        <f t="shared" si="72"/>
        <v>0.1</v>
      </c>
      <c r="AB722" s="11">
        <f t="shared" si="73"/>
        <v>0.9</v>
      </c>
      <c r="AC722" s="66">
        <f t="shared" si="74"/>
        <v>0.9</v>
      </c>
      <c r="AD722" s="67">
        <f t="shared" si="75"/>
        <v>0.85</v>
      </c>
    </row>
    <row r="723" spans="1:32" ht="14.5" customHeight="1" x14ac:dyDescent="0.2">
      <c r="A723" t="s">
        <v>2973</v>
      </c>
      <c r="B723" s="7">
        <v>1</v>
      </c>
      <c r="C723" s="17">
        <v>0</v>
      </c>
      <c r="D723" s="5" t="s">
        <v>1425</v>
      </c>
      <c r="E723" s="5" t="s">
        <v>3017</v>
      </c>
      <c r="F723" s="4">
        <f t="shared" si="76"/>
        <v>2013</v>
      </c>
      <c r="G723" s="16">
        <v>41620</v>
      </c>
      <c r="H723" s="5" t="s">
        <v>2979</v>
      </c>
      <c r="I723" s="4">
        <v>0</v>
      </c>
      <c r="J723" s="22" t="s">
        <v>1435</v>
      </c>
      <c r="K723" s="17">
        <v>1</v>
      </c>
      <c r="L723" s="59">
        <v>1</v>
      </c>
      <c r="M723" s="22" t="s">
        <v>247</v>
      </c>
      <c r="N723" s="5" t="s">
        <v>2629</v>
      </c>
      <c r="P723" s="55" t="s">
        <v>1436</v>
      </c>
      <c r="Q723" s="29" t="s">
        <v>1437</v>
      </c>
      <c r="R723" s="95">
        <v>1</v>
      </c>
      <c r="S723" s="95">
        <v>0</v>
      </c>
      <c r="T723" s="95">
        <v>0</v>
      </c>
      <c r="U723" s="17">
        <v>0</v>
      </c>
      <c r="V723" s="17">
        <v>0</v>
      </c>
      <c r="W723" s="98">
        <v>15</v>
      </c>
      <c r="X723" s="98">
        <v>135</v>
      </c>
      <c r="Y723" s="98">
        <v>0</v>
      </c>
      <c r="Z723" s="98">
        <f t="shared" si="71"/>
        <v>150</v>
      </c>
      <c r="AA723" s="11">
        <f t="shared" si="72"/>
        <v>0.1</v>
      </c>
      <c r="AB723" s="11">
        <f t="shared" si="73"/>
        <v>0.9</v>
      </c>
      <c r="AC723" s="66">
        <f t="shared" si="74"/>
        <v>0.9</v>
      </c>
      <c r="AD723" s="67">
        <f t="shared" si="75"/>
        <v>0.85</v>
      </c>
    </row>
    <row r="724" spans="1:32" ht="14.5" customHeight="1" x14ac:dyDescent="0.2">
      <c r="A724" t="s">
        <v>2973</v>
      </c>
      <c r="B724" s="7">
        <v>1</v>
      </c>
      <c r="C724" s="17">
        <v>0</v>
      </c>
      <c r="D724" s="5" t="s">
        <v>1425</v>
      </c>
      <c r="E724" s="5" t="s">
        <v>3017</v>
      </c>
      <c r="F724" s="4">
        <f t="shared" si="76"/>
        <v>2013</v>
      </c>
      <c r="G724" s="16">
        <v>41620</v>
      </c>
      <c r="H724" s="5" t="s">
        <v>2979</v>
      </c>
      <c r="I724" s="4">
        <v>0</v>
      </c>
      <c r="J724" s="22" t="s">
        <v>1438</v>
      </c>
      <c r="K724" s="17">
        <v>1</v>
      </c>
      <c r="L724" s="59">
        <v>1</v>
      </c>
      <c r="M724" s="22" t="s">
        <v>247</v>
      </c>
      <c r="N724" s="5" t="s">
        <v>2629</v>
      </c>
      <c r="P724" s="55" t="s">
        <v>1439</v>
      </c>
      <c r="Q724" s="29" t="s">
        <v>1440</v>
      </c>
      <c r="R724" s="95">
        <v>1</v>
      </c>
      <c r="S724" s="95">
        <v>0</v>
      </c>
      <c r="T724" s="95">
        <v>0</v>
      </c>
      <c r="U724" s="17">
        <v>0</v>
      </c>
      <c r="V724" s="17">
        <v>0</v>
      </c>
      <c r="W724" s="98">
        <v>32</v>
      </c>
      <c r="X724" s="98">
        <v>118</v>
      </c>
      <c r="Y724" s="98">
        <v>0</v>
      </c>
      <c r="Z724" s="98">
        <f t="shared" ref="Z724:Z787" si="77">SUM(W724:Y724)</f>
        <v>150</v>
      </c>
      <c r="AA724" s="11">
        <f t="shared" ref="AA724:AA787" si="78">W724/Z724</f>
        <v>0.21333333333333335</v>
      </c>
      <c r="AB724" s="11">
        <f t="shared" ref="AB724:AB787" si="79">X724/Z724</f>
        <v>0.78666666666666663</v>
      </c>
      <c r="AC724" s="66">
        <f t="shared" ref="AC724:AC787" si="80">IF(K724=1,AB724,AA724)</f>
        <v>0.78666666666666663</v>
      </c>
      <c r="AD724" s="67">
        <f t="shared" ref="AD724:AD787" si="81">SUM((MAX(W724,X724,Y724)-0.5*(SUM(W724+X724+Y724)-MAX(W724,X724,Y724)))/SUM(W724+X724+Y724))</f>
        <v>0.68</v>
      </c>
    </row>
    <row r="725" spans="1:32" ht="14.5" customHeight="1" x14ac:dyDescent="0.2">
      <c r="A725" t="s">
        <v>2973</v>
      </c>
      <c r="B725" s="7">
        <v>1</v>
      </c>
      <c r="C725" s="17">
        <v>0</v>
      </c>
      <c r="D725" s="5" t="s">
        <v>1425</v>
      </c>
      <c r="E725" s="5" t="s">
        <v>3017</v>
      </c>
      <c r="F725" s="4">
        <f t="shared" si="76"/>
        <v>2014</v>
      </c>
      <c r="G725" s="16">
        <v>41891</v>
      </c>
      <c r="H725" s="5" t="s">
        <v>2979</v>
      </c>
      <c r="I725" s="4">
        <v>0</v>
      </c>
      <c r="J725" s="22" t="s">
        <v>1441</v>
      </c>
      <c r="K725" s="17">
        <v>0</v>
      </c>
      <c r="L725" s="59">
        <v>1</v>
      </c>
      <c r="M725" s="55" t="s">
        <v>2543</v>
      </c>
      <c r="N725" s="22" t="s">
        <v>2121</v>
      </c>
      <c r="P725" s="55" t="s">
        <v>1442</v>
      </c>
      <c r="Q725" s="29" t="s">
        <v>1443</v>
      </c>
      <c r="R725" s="95">
        <v>1</v>
      </c>
      <c r="S725" s="95">
        <v>0</v>
      </c>
      <c r="T725" s="95">
        <v>0</v>
      </c>
      <c r="U725" s="17">
        <v>0</v>
      </c>
      <c r="V725" s="17">
        <v>0</v>
      </c>
      <c r="W725" s="98">
        <v>14</v>
      </c>
      <c r="X725" s="98">
        <v>135</v>
      </c>
      <c r="Y725" s="98">
        <v>1</v>
      </c>
      <c r="Z725" s="98">
        <f t="shared" si="77"/>
        <v>150</v>
      </c>
      <c r="AA725" s="11">
        <f t="shared" si="78"/>
        <v>9.3333333333333338E-2</v>
      </c>
      <c r="AB725" s="11">
        <f t="shared" si="79"/>
        <v>0.9</v>
      </c>
      <c r="AC725" s="66">
        <f t="shared" si="80"/>
        <v>9.3333333333333338E-2</v>
      </c>
      <c r="AD725" s="67">
        <f t="shared" si="81"/>
        <v>0.85</v>
      </c>
    </row>
    <row r="726" spans="1:32" ht="14" customHeight="1" x14ac:dyDescent="0.2">
      <c r="A726" t="s">
        <v>2973</v>
      </c>
      <c r="B726" s="7">
        <v>1</v>
      </c>
      <c r="C726" s="17">
        <v>0</v>
      </c>
      <c r="D726" s="5" t="s">
        <v>1425</v>
      </c>
      <c r="E726" s="5" t="s">
        <v>3017</v>
      </c>
      <c r="F726" s="4">
        <f t="shared" si="76"/>
        <v>2014</v>
      </c>
      <c r="G726" s="16">
        <v>41914</v>
      </c>
      <c r="H726" s="5" t="s">
        <v>2979</v>
      </c>
      <c r="I726" s="4">
        <v>0</v>
      </c>
      <c r="J726" s="22" t="s">
        <v>1447</v>
      </c>
      <c r="K726" s="17">
        <v>0</v>
      </c>
      <c r="L726" s="59">
        <v>1</v>
      </c>
      <c r="M726" s="55" t="s">
        <v>2543</v>
      </c>
      <c r="N726" s="22" t="s">
        <v>2121</v>
      </c>
      <c r="P726" s="55" t="s">
        <v>1448</v>
      </c>
      <c r="Q726" s="29" t="s">
        <v>1449</v>
      </c>
      <c r="R726" s="95">
        <v>1</v>
      </c>
      <c r="S726" s="95">
        <v>0</v>
      </c>
      <c r="T726" s="95">
        <v>0</v>
      </c>
      <c r="U726" s="17">
        <v>0</v>
      </c>
      <c r="V726" s="17">
        <v>0</v>
      </c>
      <c r="W726" s="98">
        <v>14</v>
      </c>
      <c r="X726" s="98">
        <v>136</v>
      </c>
      <c r="Y726" s="98">
        <v>0</v>
      </c>
      <c r="Z726" s="98">
        <f t="shared" si="77"/>
        <v>150</v>
      </c>
      <c r="AA726" s="11">
        <f t="shared" si="78"/>
        <v>9.3333333333333338E-2</v>
      </c>
      <c r="AB726" s="11">
        <f t="shared" si="79"/>
        <v>0.90666666666666662</v>
      </c>
      <c r="AC726" s="66">
        <f t="shared" si="80"/>
        <v>9.3333333333333338E-2</v>
      </c>
      <c r="AD726" s="67">
        <f t="shared" si="81"/>
        <v>0.86</v>
      </c>
    </row>
    <row r="727" spans="1:32" ht="17.25" customHeight="1" x14ac:dyDescent="0.2">
      <c r="A727" t="s">
        <v>2973</v>
      </c>
      <c r="B727" s="7">
        <v>1</v>
      </c>
      <c r="C727" s="17">
        <v>0</v>
      </c>
      <c r="D727" s="5" t="s">
        <v>1425</v>
      </c>
      <c r="E727" s="5" t="s">
        <v>3017</v>
      </c>
      <c r="F727" s="4">
        <f t="shared" si="76"/>
        <v>2014</v>
      </c>
      <c r="G727" s="16">
        <v>41914</v>
      </c>
      <c r="H727" s="5" t="s">
        <v>2979</v>
      </c>
      <c r="I727" s="4">
        <v>0</v>
      </c>
      <c r="J727" s="22" t="s">
        <v>1444</v>
      </c>
      <c r="K727" s="17">
        <v>0</v>
      </c>
      <c r="L727" s="59">
        <v>1</v>
      </c>
      <c r="M727" s="55" t="s">
        <v>2543</v>
      </c>
      <c r="N727" s="22" t="s">
        <v>2121</v>
      </c>
      <c r="P727" s="55" t="s">
        <v>1445</v>
      </c>
      <c r="Q727" s="29" t="s">
        <v>1446</v>
      </c>
      <c r="R727" s="95">
        <v>1</v>
      </c>
      <c r="S727" s="95">
        <v>0</v>
      </c>
      <c r="T727" s="95">
        <v>0</v>
      </c>
      <c r="U727" s="17">
        <v>0</v>
      </c>
      <c r="V727" s="17">
        <v>0</v>
      </c>
      <c r="W727" s="98">
        <v>30</v>
      </c>
      <c r="X727" s="98">
        <v>120</v>
      </c>
      <c r="Y727" s="98">
        <v>0</v>
      </c>
      <c r="Z727" s="98">
        <f t="shared" si="77"/>
        <v>150</v>
      </c>
      <c r="AA727" s="11">
        <f t="shared" si="78"/>
        <v>0.2</v>
      </c>
      <c r="AB727" s="11">
        <f t="shared" si="79"/>
        <v>0.8</v>
      </c>
      <c r="AC727" s="66">
        <f t="shared" si="80"/>
        <v>0.2</v>
      </c>
      <c r="AD727" s="67">
        <f t="shared" si="81"/>
        <v>0.7</v>
      </c>
    </row>
    <row r="728" spans="1:32" ht="14.5" customHeight="1" x14ac:dyDescent="0.2">
      <c r="A728" t="s">
        <v>2973</v>
      </c>
      <c r="B728" s="7">
        <v>1</v>
      </c>
      <c r="C728" s="17">
        <v>0</v>
      </c>
      <c r="D728" s="5" t="s">
        <v>1425</v>
      </c>
      <c r="E728" s="5" t="s">
        <v>3017</v>
      </c>
      <c r="F728" s="4">
        <f t="shared" si="76"/>
        <v>2015</v>
      </c>
      <c r="G728" s="16">
        <v>42187</v>
      </c>
      <c r="H728" s="5" t="s">
        <v>2979</v>
      </c>
      <c r="I728" s="4">
        <v>0</v>
      </c>
      <c r="J728" s="22" t="s">
        <v>1450</v>
      </c>
      <c r="K728" s="17">
        <v>0</v>
      </c>
      <c r="L728" s="59">
        <v>1</v>
      </c>
      <c r="M728" s="55" t="s">
        <v>2543</v>
      </c>
      <c r="N728" s="22" t="s">
        <v>2121</v>
      </c>
      <c r="P728" s="55" t="s">
        <v>1451</v>
      </c>
      <c r="Q728" s="29" t="s">
        <v>1452</v>
      </c>
      <c r="R728" s="95">
        <v>1</v>
      </c>
      <c r="S728" s="95">
        <v>0</v>
      </c>
      <c r="T728" s="95">
        <v>0</v>
      </c>
      <c r="U728" s="17">
        <v>0</v>
      </c>
      <c r="V728" s="17">
        <v>0</v>
      </c>
      <c r="W728" s="98">
        <v>28</v>
      </c>
      <c r="X728" s="98">
        <v>122</v>
      </c>
      <c r="Y728" s="98">
        <v>0</v>
      </c>
      <c r="Z728" s="98">
        <f t="shared" si="77"/>
        <v>150</v>
      </c>
      <c r="AA728" s="11">
        <f t="shared" si="78"/>
        <v>0.18666666666666668</v>
      </c>
      <c r="AB728" s="11">
        <f t="shared" si="79"/>
        <v>0.81333333333333335</v>
      </c>
      <c r="AC728" s="66">
        <f t="shared" si="80"/>
        <v>0.18666666666666668</v>
      </c>
      <c r="AD728" s="67">
        <f t="shared" si="81"/>
        <v>0.72</v>
      </c>
    </row>
    <row r="729" spans="1:32" ht="14.5" customHeight="1" x14ac:dyDescent="0.2">
      <c r="A729" t="s">
        <v>2973</v>
      </c>
      <c r="B729" s="7">
        <v>1</v>
      </c>
      <c r="C729" s="17">
        <v>0</v>
      </c>
      <c r="D729" s="5" t="s">
        <v>1425</v>
      </c>
      <c r="E729" s="5" t="s">
        <v>3017</v>
      </c>
      <c r="F729" s="4">
        <f t="shared" si="76"/>
        <v>2015</v>
      </c>
      <c r="G729" s="16">
        <v>42332</v>
      </c>
      <c r="H729" s="5" t="s">
        <v>2979</v>
      </c>
      <c r="I729" s="4">
        <v>0</v>
      </c>
      <c r="J729" s="22" t="s">
        <v>1453</v>
      </c>
      <c r="K729" s="17">
        <v>0</v>
      </c>
      <c r="L729" s="59">
        <v>1</v>
      </c>
      <c r="M729" s="55" t="s">
        <v>2543</v>
      </c>
      <c r="N729" s="22" t="s">
        <v>2121</v>
      </c>
      <c r="P729" s="55" t="s">
        <v>1454</v>
      </c>
      <c r="Q729" s="29" t="s">
        <v>1455</v>
      </c>
      <c r="R729" s="95">
        <v>1</v>
      </c>
      <c r="S729" s="95">
        <v>0</v>
      </c>
      <c r="T729" s="95">
        <v>0</v>
      </c>
      <c r="U729" s="17">
        <v>0</v>
      </c>
      <c r="V729" s="17">
        <v>0</v>
      </c>
      <c r="W729" s="98">
        <v>29</v>
      </c>
      <c r="X729" s="98">
        <v>121</v>
      </c>
      <c r="Y729" s="98">
        <v>0</v>
      </c>
      <c r="Z729" s="98">
        <f t="shared" si="77"/>
        <v>150</v>
      </c>
      <c r="AA729" s="11">
        <f t="shared" si="78"/>
        <v>0.19333333333333333</v>
      </c>
      <c r="AB729" s="11">
        <f t="shared" si="79"/>
        <v>0.80666666666666664</v>
      </c>
      <c r="AC729" s="66">
        <f t="shared" si="80"/>
        <v>0.19333333333333333</v>
      </c>
      <c r="AD729" s="67">
        <f t="shared" si="81"/>
        <v>0.71</v>
      </c>
    </row>
    <row r="730" spans="1:32" ht="14.5" customHeight="1" x14ac:dyDescent="0.2">
      <c r="A730" t="s">
        <v>2973</v>
      </c>
      <c r="B730" s="7">
        <v>1</v>
      </c>
      <c r="C730" s="17">
        <v>0</v>
      </c>
      <c r="D730" s="5" t="s">
        <v>1425</v>
      </c>
      <c r="E730" s="5" t="s">
        <v>3017</v>
      </c>
      <c r="F730" s="4">
        <f t="shared" si="76"/>
        <v>2015</v>
      </c>
      <c r="G730" s="16">
        <v>42332</v>
      </c>
      <c r="H730" s="5" t="s">
        <v>2979</v>
      </c>
      <c r="I730" s="4">
        <v>0</v>
      </c>
      <c r="J730" s="22" t="s">
        <v>1456</v>
      </c>
      <c r="K730" s="17">
        <v>0</v>
      </c>
      <c r="L730" s="59">
        <v>1</v>
      </c>
      <c r="M730" s="5" t="s">
        <v>3033</v>
      </c>
      <c r="N730" s="22" t="s">
        <v>2627</v>
      </c>
      <c r="P730" s="55" t="s">
        <v>1457</v>
      </c>
      <c r="Q730" s="29" t="s">
        <v>1458</v>
      </c>
      <c r="R730" s="95">
        <v>1</v>
      </c>
      <c r="S730" s="95">
        <v>0</v>
      </c>
      <c r="T730" s="95">
        <v>0</v>
      </c>
      <c r="U730" s="17">
        <v>0</v>
      </c>
      <c r="V730" s="17">
        <v>0</v>
      </c>
      <c r="W730" s="98">
        <v>79</v>
      </c>
      <c r="X730" s="98">
        <v>71</v>
      </c>
      <c r="Y730" s="98">
        <v>0</v>
      </c>
      <c r="Z730" s="98">
        <f t="shared" si="77"/>
        <v>150</v>
      </c>
      <c r="AA730" s="11">
        <f t="shared" si="78"/>
        <v>0.52666666666666662</v>
      </c>
      <c r="AB730" s="11">
        <f t="shared" si="79"/>
        <v>0.47333333333333333</v>
      </c>
      <c r="AC730" s="66">
        <f t="shared" si="80"/>
        <v>0.52666666666666662</v>
      </c>
      <c r="AD730" s="67">
        <f t="shared" si="81"/>
        <v>0.28999999999999998</v>
      </c>
    </row>
    <row r="731" spans="1:32" ht="15" customHeight="1" x14ac:dyDescent="0.2">
      <c r="A731" t="s">
        <v>2973</v>
      </c>
      <c r="B731" s="7">
        <v>1</v>
      </c>
      <c r="C731" s="17">
        <v>0</v>
      </c>
      <c r="D731" s="5" t="s">
        <v>1425</v>
      </c>
      <c r="E731" s="5" t="s">
        <v>3017</v>
      </c>
      <c r="F731" s="4">
        <f t="shared" si="76"/>
        <v>2016</v>
      </c>
      <c r="G731" s="16">
        <v>42410</v>
      </c>
      <c r="H731" s="5" t="s">
        <v>2979</v>
      </c>
      <c r="I731" s="4">
        <v>0</v>
      </c>
      <c r="J731" s="22" t="s">
        <v>1459</v>
      </c>
      <c r="K731" s="17">
        <v>1</v>
      </c>
      <c r="L731" s="59">
        <v>1</v>
      </c>
      <c r="M731" s="55" t="s">
        <v>2543</v>
      </c>
      <c r="N731" s="22" t="s">
        <v>2121</v>
      </c>
      <c r="P731" s="55" t="s">
        <v>1460</v>
      </c>
      <c r="Q731" s="29" t="s">
        <v>1461</v>
      </c>
      <c r="R731" s="95">
        <v>1</v>
      </c>
      <c r="S731" s="95">
        <v>0</v>
      </c>
      <c r="T731" s="95">
        <v>0</v>
      </c>
      <c r="U731" s="17">
        <v>0</v>
      </c>
      <c r="V731" s="17">
        <v>0</v>
      </c>
      <c r="W731" s="98">
        <v>22</v>
      </c>
      <c r="X731" s="98">
        <v>128</v>
      </c>
      <c r="Y731" s="98">
        <v>0</v>
      </c>
      <c r="Z731" s="98">
        <f t="shared" si="77"/>
        <v>150</v>
      </c>
      <c r="AA731" s="11">
        <f t="shared" si="78"/>
        <v>0.14666666666666667</v>
      </c>
      <c r="AB731" s="11">
        <f t="shared" si="79"/>
        <v>0.85333333333333339</v>
      </c>
      <c r="AC731" s="66">
        <f t="shared" si="80"/>
        <v>0.85333333333333339</v>
      </c>
      <c r="AD731" s="67">
        <f t="shared" si="81"/>
        <v>0.78</v>
      </c>
    </row>
    <row r="732" spans="1:32" ht="14.5" customHeight="1" x14ac:dyDescent="0.2">
      <c r="A732" t="s">
        <v>2973</v>
      </c>
      <c r="B732" s="7">
        <v>1</v>
      </c>
      <c r="C732" s="17">
        <v>0</v>
      </c>
      <c r="D732" s="5" t="s">
        <v>1425</v>
      </c>
      <c r="E732" s="5" t="s">
        <v>3017</v>
      </c>
      <c r="F732" s="4">
        <f t="shared" si="76"/>
        <v>2016</v>
      </c>
      <c r="G732" s="16">
        <v>42410</v>
      </c>
      <c r="H732" s="5" t="s">
        <v>2979</v>
      </c>
      <c r="I732" s="4">
        <v>0</v>
      </c>
      <c r="J732" s="22" t="s">
        <v>1462</v>
      </c>
      <c r="K732" s="17">
        <v>1</v>
      </c>
      <c r="L732" s="59">
        <v>1</v>
      </c>
      <c r="M732" s="55" t="s">
        <v>2543</v>
      </c>
      <c r="N732" s="22" t="s">
        <v>2121</v>
      </c>
      <c r="P732" s="55" t="s">
        <v>1463</v>
      </c>
      <c r="Q732" s="29" t="s">
        <v>1464</v>
      </c>
      <c r="R732" s="95">
        <v>1</v>
      </c>
      <c r="S732" s="95">
        <v>0</v>
      </c>
      <c r="T732" s="95">
        <v>0</v>
      </c>
      <c r="U732" s="17">
        <v>0</v>
      </c>
      <c r="V732" s="17">
        <v>0</v>
      </c>
      <c r="W732" s="98">
        <v>23</v>
      </c>
      <c r="X732" s="98">
        <v>127</v>
      </c>
      <c r="Y732" s="98">
        <v>0</v>
      </c>
      <c r="Z732" s="98">
        <f t="shared" si="77"/>
        <v>150</v>
      </c>
      <c r="AA732" s="11">
        <f t="shared" si="78"/>
        <v>0.15333333333333332</v>
      </c>
      <c r="AB732" s="11">
        <f t="shared" si="79"/>
        <v>0.84666666666666668</v>
      </c>
      <c r="AC732" s="66">
        <f t="shared" si="80"/>
        <v>0.84666666666666668</v>
      </c>
      <c r="AD732" s="67">
        <f t="shared" si="81"/>
        <v>0.77</v>
      </c>
    </row>
    <row r="733" spans="1:32" ht="14" customHeight="1" x14ac:dyDescent="0.2">
      <c r="A733" t="s">
        <v>2973</v>
      </c>
      <c r="B733" s="7">
        <v>1</v>
      </c>
      <c r="C733" s="17">
        <v>0</v>
      </c>
      <c r="D733" s="5" t="s">
        <v>1425</v>
      </c>
      <c r="E733" s="5" t="s">
        <v>3017</v>
      </c>
      <c r="F733" s="4">
        <f t="shared" si="76"/>
        <v>2016</v>
      </c>
      <c r="G733" s="16">
        <v>42696</v>
      </c>
      <c r="H733" s="5" t="s">
        <v>2979</v>
      </c>
      <c r="I733" s="4">
        <v>0</v>
      </c>
      <c r="J733" s="22" t="s">
        <v>1465</v>
      </c>
      <c r="K733" s="17">
        <v>1</v>
      </c>
      <c r="L733" s="59">
        <v>1</v>
      </c>
      <c r="M733" s="22" t="s">
        <v>247</v>
      </c>
      <c r="N733" s="5" t="s">
        <v>2629</v>
      </c>
      <c r="P733" s="55" t="s">
        <v>1466</v>
      </c>
      <c r="Q733" s="29" t="s">
        <v>1467</v>
      </c>
      <c r="R733" s="95">
        <v>1</v>
      </c>
      <c r="S733" s="95">
        <v>0</v>
      </c>
      <c r="T733" s="95">
        <v>0</v>
      </c>
      <c r="U733" s="17">
        <v>0</v>
      </c>
      <c r="V733" s="17">
        <v>0</v>
      </c>
      <c r="W733" s="98">
        <v>35</v>
      </c>
      <c r="X733" s="98">
        <v>115</v>
      </c>
      <c r="Y733" s="98">
        <v>0</v>
      </c>
      <c r="Z733" s="98">
        <f t="shared" si="77"/>
        <v>150</v>
      </c>
      <c r="AA733" s="11">
        <f t="shared" si="78"/>
        <v>0.23333333333333334</v>
      </c>
      <c r="AB733" s="11">
        <f t="shared" si="79"/>
        <v>0.76666666666666672</v>
      </c>
      <c r="AC733" s="66">
        <f t="shared" si="80"/>
        <v>0.76666666666666672</v>
      </c>
      <c r="AD733" s="67">
        <f t="shared" si="81"/>
        <v>0.65</v>
      </c>
    </row>
    <row r="734" spans="1:32" ht="14.5" customHeight="1" x14ac:dyDescent="0.2">
      <c r="A734" t="s">
        <v>2973</v>
      </c>
      <c r="B734" s="7">
        <v>1</v>
      </c>
      <c r="C734" s="17">
        <v>0</v>
      </c>
      <c r="D734" s="5" t="s">
        <v>1468</v>
      </c>
      <c r="E734" s="5" t="s">
        <v>3018</v>
      </c>
      <c r="F734" s="4">
        <f t="shared" si="76"/>
        <v>2017</v>
      </c>
      <c r="G734" s="16">
        <v>42879</v>
      </c>
      <c r="H734" s="5" t="s">
        <v>2979</v>
      </c>
      <c r="I734" s="4">
        <v>0</v>
      </c>
      <c r="J734" s="22" t="s">
        <v>1469</v>
      </c>
      <c r="K734" s="17">
        <v>1</v>
      </c>
      <c r="L734" s="59">
        <v>1</v>
      </c>
      <c r="M734" s="55" t="s">
        <v>2555</v>
      </c>
      <c r="N734" s="55" t="s">
        <v>422</v>
      </c>
      <c r="P734" s="55" t="s">
        <v>1470</v>
      </c>
      <c r="Q734" s="29" t="s">
        <v>1471</v>
      </c>
      <c r="R734" s="95">
        <v>1</v>
      </c>
      <c r="S734" s="95">
        <v>0</v>
      </c>
      <c r="T734" s="95">
        <v>0</v>
      </c>
      <c r="U734" s="17">
        <v>0</v>
      </c>
      <c r="V734" s="17">
        <v>0</v>
      </c>
      <c r="W734" s="98">
        <v>42</v>
      </c>
      <c r="X734" s="98">
        <v>106</v>
      </c>
      <c r="Y734" s="98">
        <v>2</v>
      </c>
      <c r="Z734" s="98">
        <f t="shared" si="77"/>
        <v>150</v>
      </c>
      <c r="AA734" s="11">
        <f t="shared" si="78"/>
        <v>0.28000000000000003</v>
      </c>
      <c r="AB734" s="11">
        <f t="shared" si="79"/>
        <v>0.70666666666666667</v>
      </c>
      <c r="AC734" s="66">
        <f t="shared" si="80"/>
        <v>0.70666666666666667</v>
      </c>
      <c r="AD734" s="67">
        <f t="shared" si="81"/>
        <v>0.56000000000000005</v>
      </c>
    </row>
    <row r="735" spans="1:32" ht="15" customHeight="1" x14ac:dyDescent="0.2">
      <c r="A735" t="s">
        <v>2973</v>
      </c>
      <c r="B735" s="7">
        <v>1</v>
      </c>
      <c r="C735" s="17">
        <v>0</v>
      </c>
      <c r="D735" s="5" t="s">
        <v>1468</v>
      </c>
      <c r="E735" s="5" t="s">
        <v>3018</v>
      </c>
      <c r="F735" s="4">
        <f t="shared" si="76"/>
        <v>2017</v>
      </c>
      <c r="G735" s="16">
        <v>43088</v>
      </c>
      <c r="H735" s="5" t="s">
        <v>2979</v>
      </c>
      <c r="I735" s="4">
        <v>0</v>
      </c>
      <c r="J735" s="22" t="s">
        <v>1472</v>
      </c>
      <c r="K735" s="17">
        <v>1</v>
      </c>
      <c r="L735" s="59">
        <v>1</v>
      </c>
      <c r="M735" s="22" t="s">
        <v>247</v>
      </c>
      <c r="N735" s="5" t="s">
        <v>2629</v>
      </c>
      <c r="P735" s="55" t="s">
        <v>1473</v>
      </c>
      <c r="Q735" s="29" t="s">
        <v>1474</v>
      </c>
      <c r="R735" s="95">
        <v>1</v>
      </c>
      <c r="S735" s="95">
        <v>0</v>
      </c>
      <c r="T735" s="95">
        <v>0</v>
      </c>
      <c r="U735" s="17">
        <v>0</v>
      </c>
      <c r="V735" s="17">
        <v>0</v>
      </c>
      <c r="W735" s="98">
        <v>44</v>
      </c>
      <c r="X735" s="98">
        <v>106</v>
      </c>
      <c r="Y735" s="98">
        <v>0</v>
      </c>
      <c r="Z735" s="98">
        <f t="shared" si="77"/>
        <v>150</v>
      </c>
      <c r="AA735" s="11">
        <f t="shared" si="78"/>
        <v>0.29333333333333333</v>
      </c>
      <c r="AB735" s="11">
        <f t="shared" si="79"/>
        <v>0.70666666666666667</v>
      </c>
      <c r="AC735" s="66">
        <f t="shared" si="80"/>
        <v>0.70666666666666667</v>
      </c>
      <c r="AD735" s="67">
        <f t="shared" si="81"/>
        <v>0.56000000000000005</v>
      </c>
      <c r="AF735" s="36"/>
    </row>
    <row r="736" spans="1:32" ht="14.5" customHeight="1" x14ac:dyDescent="0.2">
      <c r="A736" t="s">
        <v>2973</v>
      </c>
      <c r="B736" s="7">
        <v>1</v>
      </c>
      <c r="C736" s="17">
        <v>0</v>
      </c>
      <c r="D736" s="5" t="s">
        <v>1468</v>
      </c>
      <c r="E736" s="5" t="s">
        <v>3018</v>
      </c>
      <c r="F736" s="4">
        <f t="shared" si="76"/>
        <v>2017</v>
      </c>
      <c r="G736" s="16">
        <v>43088</v>
      </c>
      <c r="H736" s="5" t="s">
        <v>2979</v>
      </c>
      <c r="I736" s="4">
        <v>0</v>
      </c>
      <c r="J736" s="22" t="s">
        <v>1475</v>
      </c>
      <c r="K736" s="17">
        <v>1</v>
      </c>
      <c r="L736" s="59">
        <v>1</v>
      </c>
      <c r="M736" s="55" t="s">
        <v>2555</v>
      </c>
      <c r="N736" s="55" t="s">
        <v>422</v>
      </c>
      <c r="P736" s="55" t="s">
        <v>1476</v>
      </c>
      <c r="Q736" s="29" t="s">
        <v>1477</v>
      </c>
      <c r="R736" s="95">
        <v>1</v>
      </c>
      <c r="S736" s="95">
        <v>0</v>
      </c>
      <c r="T736" s="95">
        <v>0</v>
      </c>
      <c r="U736" s="17">
        <v>0</v>
      </c>
      <c r="V736" s="17">
        <v>0</v>
      </c>
      <c r="W736" s="98">
        <v>44</v>
      </c>
      <c r="X736" s="98">
        <v>106</v>
      </c>
      <c r="Y736" s="98">
        <v>0</v>
      </c>
      <c r="Z736" s="98">
        <f t="shared" si="77"/>
        <v>150</v>
      </c>
      <c r="AA736" s="11">
        <f t="shared" si="78"/>
        <v>0.29333333333333333</v>
      </c>
      <c r="AB736" s="11">
        <f t="shared" si="79"/>
        <v>0.70666666666666667</v>
      </c>
      <c r="AC736" s="66">
        <f t="shared" si="80"/>
        <v>0.70666666666666667</v>
      </c>
      <c r="AD736" s="67">
        <f t="shared" si="81"/>
        <v>0.56000000000000005</v>
      </c>
    </row>
    <row r="737" spans="1:30" ht="14.5" customHeight="1" x14ac:dyDescent="0.2">
      <c r="A737" t="s">
        <v>2973</v>
      </c>
      <c r="B737" s="7">
        <v>1</v>
      </c>
      <c r="C737" s="17">
        <v>1</v>
      </c>
      <c r="D737" s="5" t="s">
        <v>1468</v>
      </c>
      <c r="E737" s="5" t="s">
        <v>3018</v>
      </c>
      <c r="F737" s="4">
        <f t="shared" si="76"/>
        <v>2018</v>
      </c>
      <c r="G737" s="16">
        <v>43286</v>
      </c>
      <c r="H737" s="5" t="s">
        <v>2979</v>
      </c>
      <c r="I737" s="4">
        <v>0</v>
      </c>
      <c r="J737" s="22" t="s">
        <v>1478</v>
      </c>
      <c r="K737" s="17">
        <v>1</v>
      </c>
      <c r="L737" s="59">
        <v>1</v>
      </c>
      <c r="M737" s="55" t="s">
        <v>2555</v>
      </c>
      <c r="N737" s="55" t="s">
        <v>422</v>
      </c>
      <c r="P737" s="55" t="s">
        <v>1479</v>
      </c>
      <c r="Q737" s="29" t="s">
        <v>1480</v>
      </c>
      <c r="R737" s="95">
        <v>1</v>
      </c>
      <c r="S737" s="95">
        <v>0</v>
      </c>
      <c r="T737" s="95">
        <v>0</v>
      </c>
      <c r="U737" s="17">
        <v>0</v>
      </c>
      <c r="V737" s="17">
        <v>0</v>
      </c>
      <c r="W737" s="98">
        <v>44</v>
      </c>
      <c r="X737" s="98">
        <v>106</v>
      </c>
      <c r="Y737" s="98">
        <v>0</v>
      </c>
      <c r="Z737" s="98">
        <f t="shared" si="77"/>
        <v>150</v>
      </c>
      <c r="AA737" s="11">
        <f t="shared" si="78"/>
        <v>0.29333333333333333</v>
      </c>
      <c r="AB737" s="11">
        <f t="shared" si="79"/>
        <v>0.70666666666666667</v>
      </c>
      <c r="AC737" s="66">
        <f t="shared" si="80"/>
        <v>0.70666666666666667</v>
      </c>
      <c r="AD737" s="67">
        <f t="shared" si="81"/>
        <v>0.56000000000000005</v>
      </c>
    </row>
    <row r="738" spans="1:30" ht="15" customHeight="1" x14ac:dyDescent="0.2">
      <c r="A738" t="s">
        <v>2973</v>
      </c>
      <c r="B738" s="7">
        <v>1</v>
      </c>
      <c r="C738" s="17">
        <v>0</v>
      </c>
      <c r="D738" s="5" t="s">
        <v>1468</v>
      </c>
      <c r="E738" s="5" t="s">
        <v>3018</v>
      </c>
      <c r="F738" s="4">
        <f t="shared" si="76"/>
        <v>2019</v>
      </c>
      <c r="G738" s="16">
        <v>43818</v>
      </c>
      <c r="H738" s="5" t="s">
        <v>2979</v>
      </c>
      <c r="I738" s="4">
        <v>0</v>
      </c>
      <c r="J738" s="22" t="s">
        <v>1484</v>
      </c>
      <c r="K738" s="17">
        <v>1</v>
      </c>
      <c r="L738" s="59">
        <v>1</v>
      </c>
      <c r="M738" s="55" t="s">
        <v>2544</v>
      </c>
      <c r="N738" s="22" t="s">
        <v>2121</v>
      </c>
      <c r="P738" s="55" t="s">
        <v>1485</v>
      </c>
      <c r="Q738" s="29" t="s">
        <v>1486</v>
      </c>
      <c r="R738" s="95">
        <v>1</v>
      </c>
      <c r="S738" s="95">
        <v>0</v>
      </c>
      <c r="T738" s="95">
        <v>0</v>
      </c>
      <c r="U738" s="17">
        <v>0</v>
      </c>
      <c r="V738" s="17">
        <v>0</v>
      </c>
      <c r="W738" s="98">
        <v>42</v>
      </c>
      <c r="X738" s="98">
        <v>108</v>
      </c>
      <c r="Y738" s="98">
        <v>0</v>
      </c>
      <c r="Z738" s="98">
        <f t="shared" si="77"/>
        <v>150</v>
      </c>
      <c r="AA738" s="11">
        <f t="shared" si="78"/>
        <v>0.28000000000000003</v>
      </c>
      <c r="AB738" s="11">
        <f t="shared" si="79"/>
        <v>0.72</v>
      </c>
      <c r="AC738" s="66">
        <f t="shared" si="80"/>
        <v>0.72</v>
      </c>
      <c r="AD738" s="67">
        <f t="shared" si="81"/>
        <v>0.57999999999999996</v>
      </c>
    </row>
    <row r="739" spans="1:30" ht="14.5" customHeight="1" x14ac:dyDescent="0.2">
      <c r="A739" t="s">
        <v>2973</v>
      </c>
      <c r="B739" s="7">
        <v>1</v>
      </c>
      <c r="C739" s="17">
        <v>0</v>
      </c>
      <c r="D739" s="5" t="s">
        <v>1468</v>
      </c>
      <c r="E739" s="5" t="s">
        <v>3018</v>
      </c>
      <c r="F739" s="4">
        <f t="shared" si="76"/>
        <v>2019</v>
      </c>
      <c r="G739" s="16">
        <v>43818</v>
      </c>
      <c r="H739" s="5" t="s">
        <v>2979</v>
      </c>
      <c r="I739" s="4">
        <v>0</v>
      </c>
      <c r="J739" s="22" t="s">
        <v>1481</v>
      </c>
      <c r="K739" s="17">
        <v>1</v>
      </c>
      <c r="L739" s="59">
        <v>1</v>
      </c>
      <c r="M739" s="22" t="s">
        <v>2583</v>
      </c>
      <c r="N739" s="22" t="s">
        <v>2121</v>
      </c>
      <c r="P739" s="55" t="s">
        <v>1482</v>
      </c>
      <c r="Q739" s="29" t="s">
        <v>1483</v>
      </c>
      <c r="R739" s="95">
        <v>1</v>
      </c>
      <c r="S739" s="95">
        <v>0</v>
      </c>
      <c r="T739" s="95">
        <v>0</v>
      </c>
      <c r="U739" s="17">
        <v>0</v>
      </c>
      <c r="V739" s="17">
        <v>0</v>
      </c>
      <c r="W739" s="98">
        <v>42</v>
      </c>
      <c r="X739" s="98">
        <v>108</v>
      </c>
      <c r="Y739" s="98">
        <v>0</v>
      </c>
      <c r="Z739" s="98">
        <f t="shared" si="77"/>
        <v>150</v>
      </c>
      <c r="AA739" s="11">
        <f t="shared" si="78"/>
        <v>0.28000000000000003</v>
      </c>
      <c r="AB739" s="11">
        <f t="shared" si="79"/>
        <v>0.72</v>
      </c>
      <c r="AC739" s="66">
        <f t="shared" si="80"/>
        <v>0.72</v>
      </c>
      <c r="AD739" s="67">
        <f t="shared" si="81"/>
        <v>0.57999999999999996</v>
      </c>
    </row>
    <row r="740" spans="1:30" ht="14.5" customHeight="1" x14ac:dyDescent="0.2">
      <c r="A740" t="s">
        <v>2533</v>
      </c>
      <c r="B740" s="17">
        <v>1</v>
      </c>
      <c r="C740" s="17">
        <v>0</v>
      </c>
      <c r="D740" s="22" t="s">
        <v>1487</v>
      </c>
      <c r="E740" s="19" t="s">
        <v>1488</v>
      </c>
      <c r="F740" s="95">
        <f t="shared" si="76"/>
        <v>1991</v>
      </c>
      <c r="G740" s="18">
        <v>33259</v>
      </c>
      <c r="H740" s="22" t="s">
        <v>2981</v>
      </c>
      <c r="I740" s="64">
        <v>0</v>
      </c>
      <c r="J740" s="22" t="s">
        <v>1489</v>
      </c>
      <c r="K740" s="17">
        <v>0</v>
      </c>
      <c r="L740" s="59">
        <v>1</v>
      </c>
      <c r="M740" t="s">
        <v>2638</v>
      </c>
      <c r="N740" s="22" t="s">
        <v>2121</v>
      </c>
      <c r="O740" s="19"/>
      <c r="P740" s="22" t="s">
        <v>1490</v>
      </c>
      <c r="Q740" s="100" t="s">
        <v>1491</v>
      </c>
      <c r="R740" s="95">
        <v>1</v>
      </c>
      <c r="S740" s="95">
        <v>0</v>
      </c>
      <c r="T740" s="17">
        <v>0</v>
      </c>
      <c r="U740" s="17">
        <v>1</v>
      </c>
      <c r="V740" s="17">
        <v>0</v>
      </c>
      <c r="W740" s="17">
        <v>191</v>
      </c>
      <c r="X740" s="17">
        <v>7</v>
      </c>
      <c r="Y740" s="17">
        <v>0</v>
      </c>
      <c r="Z740" s="95">
        <f t="shared" si="77"/>
        <v>198</v>
      </c>
      <c r="AA740" s="11">
        <f t="shared" si="78"/>
        <v>0.96464646464646464</v>
      </c>
      <c r="AB740" s="11">
        <f t="shared" si="79"/>
        <v>3.5353535353535352E-2</v>
      </c>
      <c r="AC740" s="66">
        <f t="shared" si="80"/>
        <v>0.96464646464646464</v>
      </c>
      <c r="AD740" s="67">
        <f t="shared" si="81"/>
        <v>0.94696969696969702</v>
      </c>
    </row>
    <row r="741" spans="1:30" ht="15" customHeight="1" x14ac:dyDescent="0.2">
      <c r="A741" t="s">
        <v>2533</v>
      </c>
      <c r="B741" s="95">
        <v>1</v>
      </c>
      <c r="C741" s="95">
        <v>0</v>
      </c>
      <c r="D741" s="19" t="s">
        <v>1487</v>
      </c>
      <c r="E741" s="19" t="s">
        <v>1488</v>
      </c>
      <c r="F741" s="95">
        <f t="shared" si="76"/>
        <v>1991</v>
      </c>
      <c r="G741" s="34">
        <v>33421</v>
      </c>
      <c r="H741" s="22" t="s">
        <v>2981</v>
      </c>
      <c r="I741" s="64">
        <v>0</v>
      </c>
      <c r="J741" s="43" t="s">
        <v>1492</v>
      </c>
      <c r="K741" s="17">
        <v>0</v>
      </c>
      <c r="L741" s="59">
        <v>1</v>
      </c>
      <c r="M741" s="56" t="s">
        <v>2639</v>
      </c>
      <c r="N741" s="22" t="s">
        <v>2121</v>
      </c>
      <c r="O741" s="19"/>
      <c r="P741" s="19" t="s">
        <v>1493</v>
      </c>
      <c r="Q741" s="100" t="s">
        <v>1494</v>
      </c>
      <c r="R741" s="95">
        <v>1</v>
      </c>
      <c r="S741" s="95">
        <v>0</v>
      </c>
      <c r="T741" s="95">
        <v>0</v>
      </c>
      <c r="U741" s="95">
        <v>1</v>
      </c>
      <c r="V741" s="95">
        <v>0</v>
      </c>
      <c r="W741" s="95">
        <v>222</v>
      </c>
      <c r="X741" s="95">
        <v>9</v>
      </c>
      <c r="Y741" s="95">
        <v>3</v>
      </c>
      <c r="Z741" s="95">
        <f t="shared" si="77"/>
        <v>234</v>
      </c>
      <c r="AA741" s="11">
        <f t="shared" si="78"/>
        <v>0.94871794871794868</v>
      </c>
      <c r="AB741" s="11">
        <f t="shared" si="79"/>
        <v>3.8461538461538464E-2</v>
      </c>
      <c r="AC741" s="66">
        <f t="shared" si="80"/>
        <v>0.94871794871794868</v>
      </c>
      <c r="AD741" s="67">
        <f t="shared" si="81"/>
        <v>0.92307692307692313</v>
      </c>
    </row>
    <row r="742" spans="1:30" ht="14.5" customHeight="1" x14ac:dyDescent="0.2">
      <c r="A742" t="s">
        <v>2533</v>
      </c>
      <c r="B742" s="95">
        <v>1</v>
      </c>
      <c r="C742" s="95">
        <v>0</v>
      </c>
      <c r="D742" s="43" t="s">
        <v>1495</v>
      </c>
      <c r="E742" s="19" t="s">
        <v>1488</v>
      </c>
      <c r="F742" s="95">
        <f t="shared" si="76"/>
        <v>1994</v>
      </c>
      <c r="G742" s="34">
        <v>34529</v>
      </c>
      <c r="H742" s="22" t="s">
        <v>2981</v>
      </c>
      <c r="I742" s="64">
        <v>0</v>
      </c>
      <c r="J742" s="43" t="s">
        <v>1496</v>
      </c>
      <c r="K742" s="17">
        <v>0</v>
      </c>
      <c r="L742" s="59">
        <v>1</v>
      </c>
      <c r="M742" s="22" t="s">
        <v>2547</v>
      </c>
      <c r="N742" s="5" t="s">
        <v>2629</v>
      </c>
      <c r="O742" s="19"/>
      <c r="P742" s="19" t="s">
        <v>1497</v>
      </c>
      <c r="Q742" s="100" t="s">
        <v>1498</v>
      </c>
      <c r="R742" s="95">
        <v>1</v>
      </c>
      <c r="S742" s="95">
        <v>0</v>
      </c>
      <c r="T742" s="95">
        <v>0</v>
      </c>
      <c r="U742" s="95">
        <v>1</v>
      </c>
      <c r="V742" s="95">
        <v>0</v>
      </c>
      <c r="W742" s="95">
        <v>281</v>
      </c>
      <c r="X742" s="95">
        <v>0</v>
      </c>
      <c r="Y742" s="95">
        <v>0</v>
      </c>
      <c r="Z742" s="95">
        <f t="shared" si="77"/>
        <v>281</v>
      </c>
      <c r="AA742" s="11">
        <f t="shared" si="78"/>
        <v>1</v>
      </c>
      <c r="AB742" s="11">
        <f t="shared" si="79"/>
        <v>0</v>
      </c>
      <c r="AC742" s="66">
        <f t="shared" si="80"/>
        <v>1</v>
      </c>
      <c r="AD742" s="67">
        <f t="shared" si="81"/>
        <v>1</v>
      </c>
    </row>
    <row r="743" spans="1:30" ht="15" customHeight="1" x14ac:dyDescent="0.2">
      <c r="A743" t="s">
        <v>2533</v>
      </c>
      <c r="B743" s="95">
        <v>1</v>
      </c>
      <c r="C743" s="95">
        <v>0</v>
      </c>
      <c r="D743" s="43" t="s">
        <v>1499</v>
      </c>
      <c r="E743" s="19" t="s">
        <v>1488</v>
      </c>
      <c r="F743" s="95">
        <f t="shared" si="76"/>
        <v>1995</v>
      </c>
      <c r="G743" s="34">
        <v>34895</v>
      </c>
      <c r="H743" s="22" t="s">
        <v>2981</v>
      </c>
      <c r="I743" s="64">
        <v>0</v>
      </c>
      <c r="J743" s="43" t="s">
        <v>1500</v>
      </c>
      <c r="K743" s="17">
        <v>0</v>
      </c>
      <c r="L743" s="59">
        <v>1</v>
      </c>
      <c r="M743" s="22" t="s">
        <v>2547</v>
      </c>
      <c r="N743" s="5" t="s">
        <v>2629</v>
      </c>
      <c r="O743" s="19"/>
      <c r="P743" s="19" t="s">
        <v>1501</v>
      </c>
      <c r="Q743" s="100" t="s">
        <v>1502</v>
      </c>
      <c r="R743" s="95">
        <v>1</v>
      </c>
      <c r="S743" s="95">
        <v>0</v>
      </c>
      <c r="T743" s="95">
        <v>0</v>
      </c>
      <c r="U743" s="95">
        <v>1</v>
      </c>
      <c r="V743" s="95">
        <v>1</v>
      </c>
      <c r="W743" s="95">
        <v>234</v>
      </c>
      <c r="X743" s="95">
        <v>0</v>
      </c>
      <c r="Y743" s="95">
        <v>0</v>
      </c>
      <c r="Z743" s="95">
        <f t="shared" si="77"/>
        <v>234</v>
      </c>
      <c r="AA743" s="11">
        <f t="shared" si="78"/>
        <v>1</v>
      </c>
      <c r="AB743" s="11">
        <f t="shared" si="79"/>
        <v>0</v>
      </c>
      <c r="AC743" s="66">
        <f t="shared" si="80"/>
        <v>1</v>
      </c>
      <c r="AD743" s="67">
        <f t="shared" si="81"/>
        <v>1</v>
      </c>
    </row>
    <row r="744" spans="1:30" ht="14.5" customHeight="1" x14ac:dyDescent="0.2">
      <c r="A744" t="s">
        <v>2533</v>
      </c>
      <c r="B744" s="95">
        <v>1</v>
      </c>
      <c r="C744" s="95">
        <v>0</v>
      </c>
      <c r="D744" s="43" t="s">
        <v>1503</v>
      </c>
      <c r="E744" s="19" t="s">
        <v>1488</v>
      </c>
      <c r="F744" s="95">
        <f t="shared" si="76"/>
        <v>1995</v>
      </c>
      <c r="G744" s="34">
        <v>34895</v>
      </c>
      <c r="H744" s="22" t="s">
        <v>2981</v>
      </c>
      <c r="I744" s="64">
        <v>0</v>
      </c>
      <c r="J744" s="43" t="s">
        <v>1504</v>
      </c>
      <c r="K744" s="17">
        <v>0</v>
      </c>
      <c r="L744" s="59">
        <v>1</v>
      </c>
      <c r="M744" s="22" t="s">
        <v>2585</v>
      </c>
      <c r="N744" s="22" t="s">
        <v>2629</v>
      </c>
      <c r="O744" s="19"/>
      <c r="P744" s="19" t="s">
        <v>1501</v>
      </c>
      <c r="Q744" s="100" t="s">
        <v>1505</v>
      </c>
      <c r="R744" s="95">
        <v>1</v>
      </c>
      <c r="S744" s="95">
        <v>0</v>
      </c>
      <c r="T744" s="95">
        <v>0</v>
      </c>
      <c r="U744" s="95">
        <v>1</v>
      </c>
      <c r="V744" s="95">
        <v>0</v>
      </c>
      <c r="W744" s="95">
        <v>234</v>
      </c>
      <c r="X744" s="95">
        <v>0</v>
      </c>
      <c r="Y744" s="95">
        <v>0</v>
      </c>
      <c r="Z744" s="95">
        <f t="shared" si="77"/>
        <v>234</v>
      </c>
      <c r="AA744" s="11">
        <f t="shared" si="78"/>
        <v>1</v>
      </c>
      <c r="AB744" s="11">
        <f t="shared" si="79"/>
        <v>0</v>
      </c>
      <c r="AC744" s="66">
        <f t="shared" si="80"/>
        <v>1</v>
      </c>
      <c r="AD744" s="67">
        <f t="shared" si="81"/>
        <v>1</v>
      </c>
    </row>
    <row r="745" spans="1:30" ht="14.5" customHeight="1" x14ac:dyDescent="0.2">
      <c r="A745" t="s">
        <v>2533</v>
      </c>
      <c r="B745" s="95">
        <v>1</v>
      </c>
      <c r="C745" s="95">
        <v>1</v>
      </c>
      <c r="D745" s="43" t="s">
        <v>1503</v>
      </c>
      <c r="E745" s="19" t="s">
        <v>1488</v>
      </c>
      <c r="F745" s="95">
        <f t="shared" si="76"/>
        <v>1996</v>
      </c>
      <c r="G745" s="34">
        <v>35273</v>
      </c>
      <c r="H745" s="22" t="s">
        <v>2981</v>
      </c>
      <c r="I745" s="64">
        <v>0</v>
      </c>
      <c r="J745" s="43" t="s">
        <v>1506</v>
      </c>
      <c r="K745" s="17">
        <v>0</v>
      </c>
      <c r="L745" s="59">
        <v>1</v>
      </c>
      <c r="M745" s="22" t="s">
        <v>2547</v>
      </c>
      <c r="N745" s="5" t="s">
        <v>2629</v>
      </c>
      <c r="O745" s="19"/>
      <c r="P745" s="19" t="s">
        <v>1507</v>
      </c>
      <c r="Q745" s="100" t="s">
        <v>1508</v>
      </c>
      <c r="R745" s="95">
        <v>1</v>
      </c>
      <c r="S745" s="95">
        <v>0</v>
      </c>
      <c r="T745" s="95">
        <v>0</v>
      </c>
      <c r="U745" s="95">
        <v>1</v>
      </c>
      <c r="V745" s="95">
        <v>1</v>
      </c>
      <c r="W745" s="95">
        <v>269</v>
      </c>
      <c r="X745" s="95">
        <v>0</v>
      </c>
      <c r="Y745" s="95">
        <v>0</v>
      </c>
      <c r="Z745" s="95">
        <f t="shared" si="77"/>
        <v>269</v>
      </c>
      <c r="AA745" s="11">
        <f t="shared" si="78"/>
        <v>1</v>
      </c>
      <c r="AB745" s="11">
        <f t="shared" si="79"/>
        <v>0</v>
      </c>
      <c r="AC745" s="66">
        <f t="shared" si="80"/>
        <v>1</v>
      </c>
      <c r="AD745" s="67">
        <f t="shared" si="81"/>
        <v>1</v>
      </c>
    </row>
    <row r="746" spans="1:30" ht="14.5" customHeight="1" x14ac:dyDescent="0.2">
      <c r="A746" t="s">
        <v>2533</v>
      </c>
      <c r="B746" s="95">
        <v>1</v>
      </c>
      <c r="C746" s="95">
        <v>1</v>
      </c>
      <c r="D746" s="43" t="s">
        <v>1503</v>
      </c>
      <c r="E746" s="19" t="s">
        <v>1488</v>
      </c>
      <c r="F746" s="95">
        <f t="shared" si="76"/>
        <v>1996</v>
      </c>
      <c r="G746" s="34">
        <v>35273</v>
      </c>
      <c r="H746" s="22" t="s">
        <v>2981</v>
      </c>
      <c r="I746" s="64">
        <v>0</v>
      </c>
      <c r="J746" s="43" t="s">
        <v>1509</v>
      </c>
      <c r="K746" s="17">
        <v>0</v>
      </c>
      <c r="L746" s="59">
        <v>1</v>
      </c>
      <c r="M746" s="22" t="s">
        <v>2586</v>
      </c>
      <c r="N746" s="22" t="s">
        <v>2629</v>
      </c>
      <c r="O746" s="19"/>
      <c r="P746" s="19" t="s">
        <v>1507</v>
      </c>
      <c r="Q746" s="100" t="s">
        <v>1510</v>
      </c>
      <c r="R746" s="95">
        <v>1</v>
      </c>
      <c r="S746" s="95">
        <v>0</v>
      </c>
      <c r="T746" s="95">
        <v>0</v>
      </c>
      <c r="U746" s="95">
        <v>1</v>
      </c>
      <c r="V746" s="95">
        <v>1</v>
      </c>
      <c r="W746" s="95">
        <v>269</v>
      </c>
      <c r="X746" s="95">
        <v>0</v>
      </c>
      <c r="Y746" s="95">
        <v>0</v>
      </c>
      <c r="Z746" s="95">
        <f t="shared" si="77"/>
        <v>269</v>
      </c>
      <c r="AA746" s="11">
        <f t="shared" si="78"/>
        <v>1</v>
      </c>
      <c r="AB746" s="11">
        <f t="shared" si="79"/>
        <v>0</v>
      </c>
      <c r="AC746" s="66">
        <f t="shared" si="80"/>
        <v>1</v>
      </c>
      <c r="AD746" s="67">
        <f t="shared" si="81"/>
        <v>1</v>
      </c>
    </row>
    <row r="747" spans="1:30" ht="14.5" customHeight="1" x14ac:dyDescent="0.2">
      <c r="A747" t="s">
        <v>2533</v>
      </c>
      <c r="B747" s="95">
        <v>1</v>
      </c>
      <c r="C747" s="95">
        <v>1</v>
      </c>
      <c r="D747" s="19" t="s">
        <v>1511</v>
      </c>
      <c r="E747" s="19" t="s">
        <v>1488</v>
      </c>
      <c r="F747" s="95">
        <f t="shared" si="76"/>
        <v>1997</v>
      </c>
      <c r="G747" s="34">
        <v>35641</v>
      </c>
      <c r="H747" s="22" t="s">
        <v>2981</v>
      </c>
      <c r="I747" s="64">
        <v>0</v>
      </c>
      <c r="J747" s="43" t="s">
        <v>1512</v>
      </c>
      <c r="K747" s="17">
        <v>0</v>
      </c>
      <c r="L747" s="59">
        <v>1</v>
      </c>
      <c r="M747" s="22" t="s">
        <v>2547</v>
      </c>
      <c r="N747" s="5" t="s">
        <v>2629</v>
      </c>
      <c r="O747" s="19"/>
      <c r="P747" s="19" t="s">
        <v>1513</v>
      </c>
      <c r="Q747" s="100" t="s">
        <v>1514</v>
      </c>
      <c r="R747" s="95">
        <v>1</v>
      </c>
      <c r="S747" s="95">
        <v>0</v>
      </c>
      <c r="T747" s="95">
        <v>0</v>
      </c>
      <c r="U747" s="95">
        <v>1</v>
      </c>
      <c r="V747" s="95">
        <v>1</v>
      </c>
      <c r="W747" s="95">
        <v>236</v>
      </c>
      <c r="X747" s="95">
        <v>0</v>
      </c>
      <c r="Y747" s="95">
        <v>0</v>
      </c>
      <c r="Z747" s="95">
        <f t="shared" si="77"/>
        <v>236</v>
      </c>
      <c r="AA747" s="11">
        <f t="shared" si="78"/>
        <v>1</v>
      </c>
      <c r="AB747" s="11">
        <f t="shared" si="79"/>
        <v>0</v>
      </c>
      <c r="AC747" s="66">
        <f t="shared" si="80"/>
        <v>1</v>
      </c>
      <c r="AD747" s="67">
        <f t="shared" si="81"/>
        <v>1</v>
      </c>
    </row>
    <row r="748" spans="1:30" ht="14.5" customHeight="1" x14ac:dyDescent="0.2">
      <c r="A748" t="s">
        <v>2533</v>
      </c>
      <c r="B748" s="95">
        <v>1</v>
      </c>
      <c r="C748" s="95">
        <v>0</v>
      </c>
      <c r="D748" s="19" t="s">
        <v>1515</v>
      </c>
      <c r="E748" s="5" t="s">
        <v>1516</v>
      </c>
      <c r="F748" s="95">
        <f t="shared" si="76"/>
        <v>1998</v>
      </c>
      <c r="G748" s="34">
        <v>36029</v>
      </c>
      <c r="H748" s="22" t="s">
        <v>2981</v>
      </c>
      <c r="I748" s="64">
        <v>0</v>
      </c>
      <c r="J748" s="43" t="s">
        <v>1517</v>
      </c>
      <c r="K748" s="17">
        <v>0</v>
      </c>
      <c r="L748" s="59">
        <v>1</v>
      </c>
      <c r="M748" s="22" t="s">
        <v>2547</v>
      </c>
      <c r="N748" s="5" t="s">
        <v>2629</v>
      </c>
      <c r="O748" s="19"/>
      <c r="P748" s="19" t="s">
        <v>1518</v>
      </c>
      <c r="Q748" s="100" t="s">
        <v>1519</v>
      </c>
      <c r="R748" s="95">
        <v>1</v>
      </c>
      <c r="S748" s="95">
        <v>0</v>
      </c>
      <c r="T748" s="95">
        <v>0</v>
      </c>
      <c r="U748" s="95">
        <v>1</v>
      </c>
      <c r="V748" s="95">
        <v>1</v>
      </c>
      <c r="W748" s="95">
        <v>169</v>
      </c>
      <c r="X748" s="95">
        <v>0</v>
      </c>
      <c r="Y748" s="95">
        <v>0</v>
      </c>
      <c r="Z748" s="95">
        <f t="shared" si="77"/>
        <v>169</v>
      </c>
      <c r="AA748" s="11">
        <f t="shared" si="78"/>
        <v>1</v>
      </c>
      <c r="AB748" s="11">
        <f t="shared" si="79"/>
        <v>0</v>
      </c>
      <c r="AC748" s="66">
        <f t="shared" si="80"/>
        <v>1</v>
      </c>
      <c r="AD748" s="67">
        <f t="shared" si="81"/>
        <v>1</v>
      </c>
    </row>
    <row r="749" spans="1:30" ht="15" customHeight="1" x14ac:dyDescent="0.2">
      <c r="A749" t="s">
        <v>2533</v>
      </c>
      <c r="B749" s="95">
        <v>1</v>
      </c>
      <c r="C749" s="95">
        <v>0</v>
      </c>
      <c r="D749" s="19" t="s">
        <v>1515</v>
      </c>
      <c r="E749" s="5" t="s">
        <v>1516</v>
      </c>
      <c r="F749" s="95">
        <f t="shared" ref="F749:F812" si="82">YEAR(G749)</f>
        <v>1999</v>
      </c>
      <c r="G749" s="34">
        <v>36431</v>
      </c>
      <c r="H749" s="22" t="s">
        <v>2981</v>
      </c>
      <c r="I749" s="64">
        <v>0</v>
      </c>
      <c r="J749" s="43" t="s">
        <v>1520</v>
      </c>
      <c r="K749" s="17">
        <v>0</v>
      </c>
      <c r="L749" s="59">
        <v>1</v>
      </c>
      <c r="M749" t="s">
        <v>2587</v>
      </c>
      <c r="N749" t="s">
        <v>2634</v>
      </c>
      <c r="O749" s="19"/>
      <c r="P749" s="19" t="s">
        <v>1521</v>
      </c>
      <c r="Q749" s="100" t="s">
        <v>1522</v>
      </c>
      <c r="R749" s="95">
        <v>1</v>
      </c>
      <c r="S749" s="95">
        <v>0</v>
      </c>
      <c r="T749" s="95">
        <v>0</v>
      </c>
      <c r="U749" s="95">
        <v>1</v>
      </c>
      <c r="V749" s="95">
        <v>0</v>
      </c>
      <c r="W749" s="95">
        <v>158</v>
      </c>
      <c r="X749" s="95">
        <v>1</v>
      </c>
      <c r="Y749" s="95">
        <v>1</v>
      </c>
      <c r="Z749" s="95">
        <f t="shared" si="77"/>
        <v>160</v>
      </c>
      <c r="AA749" s="11">
        <f t="shared" si="78"/>
        <v>0.98750000000000004</v>
      </c>
      <c r="AB749" s="11">
        <f t="shared" si="79"/>
        <v>6.2500000000000003E-3</v>
      </c>
      <c r="AC749" s="66">
        <f t="shared" si="80"/>
        <v>0.98750000000000004</v>
      </c>
      <c r="AD749" s="67">
        <f t="shared" si="81"/>
        <v>0.98124999999999996</v>
      </c>
    </row>
    <row r="750" spans="1:30" ht="14.5" customHeight="1" x14ac:dyDescent="0.2">
      <c r="A750" t="s">
        <v>2533</v>
      </c>
      <c r="B750" s="95">
        <v>1</v>
      </c>
      <c r="C750" s="95">
        <v>0</v>
      </c>
      <c r="D750" s="19" t="s">
        <v>1523</v>
      </c>
      <c r="E750" s="5" t="s">
        <v>2534</v>
      </c>
      <c r="F750" s="95">
        <f t="shared" si="82"/>
        <v>2000</v>
      </c>
      <c r="G750" s="34">
        <v>36798</v>
      </c>
      <c r="H750" s="22" t="s">
        <v>2981</v>
      </c>
      <c r="I750" s="64">
        <v>0</v>
      </c>
      <c r="J750" s="19" t="s">
        <v>1524</v>
      </c>
      <c r="K750" s="17">
        <v>0</v>
      </c>
      <c r="L750" s="59">
        <v>1</v>
      </c>
      <c r="M750" s="22" t="s">
        <v>2587</v>
      </c>
      <c r="N750" t="s">
        <v>2634</v>
      </c>
      <c r="O750" s="19"/>
      <c r="P750" s="19" t="s">
        <v>1525</v>
      </c>
      <c r="Q750" s="100" t="s">
        <v>1526</v>
      </c>
      <c r="R750" s="95">
        <v>1</v>
      </c>
      <c r="S750" s="95">
        <v>0</v>
      </c>
      <c r="T750" s="95">
        <v>0</v>
      </c>
      <c r="U750" s="95">
        <v>1</v>
      </c>
      <c r="V750" s="95">
        <v>1</v>
      </c>
      <c r="W750" s="95">
        <v>139</v>
      </c>
      <c r="X750" s="95">
        <v>0</v>
      </c>
      <c r="Y750" s="95">
        <v>0</v>
      </c>
      <c r="Z750" s="95">
        <f t="shared" si="77"/>
        <v>139</v>
      </c>
      <c r="AA750" s="11">
        <f t="shared" si="78"/>
        <v>1</v>
      </c>
      <c r="AB750" s="11">
        <f t="shared" si="79"/>
        <v>0</v>
      </c>
      <c r="AC750" s="66">
        <f t="shared" si="80"/>
        <v>1</v>
      </c>
      <c r="AD750" s="67">
        <f t="shared" si="81"/>
        <v>1</v>
      </c>
    </row>
    <row r="751" spans="1:30" ht="15" customHeight="1" x14ac:dyDescent="0.2">
      <c r="A751" t="s">
        <v>2533</v>
      </c>
      <c r="B751" s="95">
        <v>1</v>
      </c>
      <c r="C751" s="95">
        <v>0</v>
      </c>
      <c r="D751" s="19" t="s">
        <v>1523</v>
      </c>
      <c r="E751" s="5" t="s">
        <v>2534</v>
      </c>
      <c r="F751" s="95">
        <f t="shared" si="82"/>
        <v>2000</v>
      </c>
      <c r="G751" s="34">
        <v>36868</v>
      </c>
      <c r="H751" s="22" t="s">
        <v>2981</v>
      </c>
      <c r="I751" s="64">
        <v>0</v>
      </c>
      <c r="J751" s="43" t="s">
        <v>1527</v>
      </c>
      <c r="K751" s="17">
        <v>0</v>
      </c>
      <c r="L751" s="59">
        <v>1</v>
      </c>
      <c r="M751" s="22" t="s">
        <v>2547</v>
      </c>
      <c r="N751" s="5" t="s">
        <v>2629</v>
      </c>
      <c r="O751" s="19"/>
      <c r="P751" s="19" t="s">
        <v>1528</v>
      </c>
      <c r="Q751" s="100" t="s">
        <v>1529</v>
      </c>
      <c r="R751" s="95">
        <v>1</v>
      </c>
      <c r="S751" s="95">
        <v>0</v>
      </c>
      <c r="T751" s="95">
        <v>0</v>
      </c>
      <c r="U751" s="95">
        <v>1</v>
      </c>
      <c r="V751" s="95">
        <v>1</v>
      </c>
      <c r="W751" s="95">
        <v>255</v>
      </c>
      <c r="X751" s="95">
        <v>0</v>
      </c>
      <c r="Y751" s="95">
        <v>0</v>
      </c>
      <c r="Z751" s="95">
        <f t="shared" si="77"/>
        <v>255</v>
      </c>
      <c r="AA751" s="11">
        <f t="shared" si="78"/>
        <v>1</v>
      </c>
      <c r="AB751" s="11">
        <f t="shared" si="79"/>
        <v>0</v>
      </c>
      <c r="AC751" s="66">
        <f t="shared" si="80"/>
        <v>1</v>
      </c>
      <c r="AD751" s="67">
        <f t="shared" si="81"/>
        <v>1</v>
      </c>
    </row>
    <row r="752" spans="1:30" ht="14.5" customHeight="1" x14ac:dyDescent="0.2">
      <c r="A752" t="s">
        <v>2533</v>
      </c>
      <c r="B752" s="95">
        <v>1</v>
      </c>
      <c r="C752" s="95">
        <v>0</v>
      </c>
      <c r="D752" s="19" t="s">
        <v>1523</v>
      </c>
      <c r="E752" s="5" t="s">
        <v>1530</v>
      </c>
      <c r="F752" s="95">
        <f t="shared" si="82"/>
        <v>2001</v>
      </c>
      <c r="G752" s="34">
        <v>37231</v>
      </c>
      <c r="H752" s="22" t="s">
        <v>2981</v>
      </c>
      <c r="I752" s="64">
        <v>0</v>
      </c>
      <c r="J752" s="43" t="s">
        <v>1534</v>
      </c>
      <c r="K752" s="17">
        <v>0</v>
      </c>
      <c r="L752" s="59">
        <v>1</v>
      </c>
      <c r="M752" s="56" t="s">
        <v>830</v>
      </c>
      <c r="N752" s="56" t="s">
        <v>422</v>
      </c>
      <c r="O752" s="19"/>
      <c r="P752" s="19" t="s">
        <v>1532</v>
      </c>
      <c r="Q752" s="100" t="s">
        <v>1535</v>
      </c>
      <c r="R752" s="95">
        <v>1</v>
      </c>
      <c r="S752" s="95">
        <v>0</v>
      </c>
      <c r="T752" s="95">
        <v>0</v>
      </c>
      <c r="U752" s="95">
        <v>1</v>
      </c>
      <c r="V752" s="95">
        <v>0</v>
      </c>
      <c r="W752" s="95">
        <v>252</v>
      </c>
      <c r="X752" s="95">
        <v>0</v>
      </c>
      <c r="Y752" s="95">
        <v>0</v>
      </c>
      <c r="Z752" s="95">
        <f t="shared" si="77"/>
        <v>252</v>
      </c>
      <c r="AA752" s="11">
        <f t="shared" si="78"/>
        <v>1</v>
      </c>
      <c r="AB752" s="11">
        <f t="shared" si="79"/>
        <v>0</v>
      </c>
      <c r="AC752" s="66">
        <f t="shared" si="80"/>
        <v>1</v>
      </c>
      <c r="AD752" s="67">
        <f t="shared" si="81"/>
        <v>1</v>
      </c>
    </row>
    <row r="753" spans="1:30" ht="16" customHeight="1" x14ac:dyDescent="0.2">
      <c r="A753" t="s">
        <v>2533</v>
      </c>
      <c r="B753" s="95">
        <v>1</v>
      </c>
      <c r="C753" s="95">
        <v>0</v>
      </c>
      <c r="D753" s="19" t="s">
        <v>1523</v>
      </c>
      <c r="E753" s="5" t="s">
        <v>1530</v>
      </c>
      <c r="F753" s="95">
        <f t="shared" si="82"/>
        <v>2001</v>
      </c>
      <c r="G753" s="34">
        <v>37231</v>
      </c>
      <c r="H753" s="22" t="s">
        <v>2981</v>
      </c>
      <c r="I753" s="64">
        <v>0</v>
      </c>
      <c r="J753" s="43" t="s">
        <v>1531</v>
      </c>
      <c r="K753" s="17">
        <v>0</v>
      </c>
      <c r="L753" s="59">
        <v>1</v>
      </c>
      <c r="M753" s="22" t="s">
        <v>2547</v>
      </c>
      <c r="N753" s="5" t="s">
        <v>2629</v>
      </c>
      <c r="O753" s="19"/>
      <c r="P753" s="19" t="s">
        <v>1532</v>
      </c>
      <c r="Q753" s="100" t="s">
        <v>1533</v>
      </c>
      <c r="R753" s="95">
        <v>1</v>
      </c>
      <c r="S753" s="95">
        <v>0</v>
      </c>
      <c r="T753" s="95">
        <v>0</v>
      </c>
      <c r="U753" s="95">
        <v>1</v>
      </c>
      <c r="V753" s="95">
        <v>1</v>
      </c>
      <c r="W753" s="95">
        <v>252</v>
      </c>
      <c r="X753" s="95">
        <v>0</v>
      </c>
      <c r="Y753" s="95">
        <v>0</v>
      </c>
      <c r="Z753" s="95">
        <f t="shared" si="77"/>
        <v>252</v>
      </c>
      <c r="AA753" s="11">
        <f t="shared" si="78"/>
        <v>1</v>
      </c>
      <c r="AB753" s="11">
        <f t="shared" si="79"/>
        <v>0</v>
      </c>
      <c r="AC753" s="66">
        <f t="shared" si="80"/>
        <v>1</v>
      </c>
      <c r="AD753" s="67">
        <f t="shared" si="81"/>
        <v>1</v>
      </c>
    </row>
    <row r="754" spans="1:30" ht="14.5" customHeight="1" x14ac:dyDescent="0.2">
      <c r="A754" t="s">
        <v>2533</v>
      </c>
      <c r="B754" s="95">
        <v>1</v>
      </c>
      <c r="C754" s="95">
        <v>0</v>
      </c>
      <c r="D754" s="19" t="s">
        <v>1523</v>
      </c>
      <c r="E754" s="5" t="s">
        <v>1530</v>
      </c>
      <c r="F754" s="95">
        <f t="shared" si="82"/>
        <v>2001</v>
      </c>
      <c r="G754" s="34">
        <v>37239</v>
      </c>
      <c r="H754" s="22" t="s">
        <v>2981</v>
      </c>
      <c r="I754" s="64">
        <v>0</v>
      </c>
      <c r="J754" s="43" t="s">
        <v>1536</v>
      </c>
      <c r="K754" s="17">
        <v>0</v>
      </c>
      <c r="L754" s="59">
        <v>1</v>
      </c>
      <c r="M754" s="22" t="s">
        <v>2587</v>
      </c>
      <c r="N754" t="s">
        <v>2634</v>
      </c>
      <c r="O754" s="19"/>
      <c r="P754" s="19" t="s">
        <v>1537</v>
      </c>
      <c r="Q754" s="100" t="s">
        <v>1538</v>
      </c>
      <c r="R754" s="95">
        <v>1</v>
      </c>
      <c r="S754" s="95">
        <v>0</v>
      </c>
      <c r="T754" s="95">
        <v>0</v>
      </c>
      <c r="U754" s="95">
        <v>1</v>
      </c>
      <c r="V754" s="95">
        <v>1</v>
      </c>
      <c r="W754" s="95">
        <v>190</v>
      </c>
      <c r="X754" s="95">
        <v>0</v>
      </c>
      <c r="Y754" s="95">
        <v>0</v>
      </c>
      <c r="Z754" s="95">
        <f t="shared" si="77"/>
        <v>190</v>
      </c>
      <c r="AA754" s="11">
        <f t="shared" si="78"/>
        <v>1</v>
      </c>
      <c r="AB754" s="11">
        <f t="shared" si="79"/>
        <v>0</v>
      </c>
      <c r="AC754" s="66">
        <f t="shared" si="80"/>
        <v>1</v>
      </c>
      <c r="AD754" s="67">
        <f t="shared" si="81"/>
        <v>1</v>
      </c>
    </row>
    <row r="755" spans="1:30" ht="14.5" customHeight="1" x14ac:dyDescent="0.2">
      <c r="A755" t="s">
        <v>2533</v>
      </c>
      <c r="B755" s="95">
        <v>1</v>
      </c>
      <c r="C755" s="95">
        <v>0</v>
      </c>
      <c r="D755" s="19" t="s">
        <v>1539</v>
      </c>
      <c r="E755" s="5" t="s">
        <v>1530</v>
      </c>
      <c r="F755" s="95">
        <f t="shared" si="82"/>
        <v>2002</v>
      </c>
      <c r="G755" s="34">
        <v>37568</v>
      </c>
      <c r="H755" s="22" t="s">
        <v>2981</v>
      </c>
      <c r="I755" s="64">
        <v>0</v>
      </c>
      <c r="J755" s="43" t="s">
        <v>1545</v>
      </c>
      <c r="K755" s="17">
        <v>0</v>
      </c>
      <c r="L755" s="59">
        <v>1</v>
      </c>
      <c r="M755" s="56" t="s">
        <v>830</v>
      </c>
      <c r="N755" s="56" t="s">
        <v>422</v>
      </c>
      <c r="O755" s="19"/>
      <c r="P755" s="19" t="s">
        <v>1541</v>
      </c>
      <c r="Q755" s="100" t="s">
        <v>1546</v>
      </c>
      <c r="R755" s="95">
        <v>1</v>
      </c>
      <c r="S755" s="95">
        <v>0</v>
      </c>
      <c r="T755" s="95">
        <v>0</v>
      </c>
      <c r="U755" s="95">
        <v>1</v>
      </c>
      <c r="V755" s="95">
        <v>1</v>
      </c>
      <c r="W755" s="95">
        <v>232</v>
      </c>
      <c r="X755" s="95">
        <v>0</v>
      </c>
      <c r="Y755" s="95">
        <v>0</v>
      </c>
      <c r="Z755" s="95">
        <f t="shared" si="77"/>
        <v>232</v>
      </c>
      <c r="AA755" s="11">
        <f t="shared" si="78"/>
        <v>1</v>
      </c>
      <c r="AB755" s="11">
        <f t="shared" si="79"/>
        <v>0</v>
      </c>
      <c r="AC755" s="66">
        <f t="shared" si="80"/>
        <v>1</v>
      </c>
      <c r="AD755" s="67">
        <f t="shared" si="81"/>
        <v>1</v>
      </c>
    </row>
    <row r="756" spans="1:30" ht="14.5" customHeight="1" x14ac:dyDescent="0.2">
      <c r="A756" t="s">
        <v>2533</v>
      </c>
      <c r="B756" s="95">
        <v>1</v>
      </c>
      <c r="C756" s="95">
        <v>0</v>
      </c>
      <c r="D756" s="19" t="s">
        <v>1539</v>
      </c>
      <c r="E756" s="5" t="s">
        <v>1530</v>
      </c>
      <c r="F756" s="95">
        <f t="shared" si="82"/>
        <v>2002</v>
      </c>
      <c r="G756" s="34">
        <v>37568</v>
      </c>
      <c r="H756" s="22" t="s">
        <v>2981</v>
      </c>
      <c r="I756" s="64">
        <v>0</v>
      </c>
      <c r="J756" s="43" t="s">
        <v>1543</v>
      </c>
      <c r="K756" s="17">
        <v>0</v>
      </c>
      <c r="L756" s="59">
        <v>1</v>
      </c>
      <c r="M756" s="22" t="s">
        <v>2547</v>
      </c>
      <c r="N756" s="5" t="s">
        <v>2629</v>
      </c>
      <c r="O756" s="19"/>
      <c r="P756" s="19" t="s">
        <v>1541</v>
      </c>
      <c r="Q756" s="100" t="s">
        <v>1544</v>
      </c>
      <c r="R756" s="95">
        <v>1</v>
      </c>
      <c r="S756" s="95">
        <v>0</v>
      </c>
      <c r="T756" s="95">
        <v>0</v>
      </c>
      <c r="U756" s="95">
        <v>1</v>
      </c>
      <c r="V756" s="95">
        <v>1</v>
      </c>
      <c r="W756" s="95">
        <v>232</v>
      </c>
      <c r="X756" s="95">
        <v>0</v>
      </c>
      <c r="Y756" s="95">
        <v>0</v>
      </c>
      <c r="Z756" s="95">
        <f t="shared" si="77"/>
        <v>232</v>
      </c>
      <c r="AA756" s="11">
        <f t="shared" si="78"/>
        <v>1</v>
      </c>
      <c r="AB756" s="11">
        <f t="shared" si="79"/>
        <v>0</v>
      </c>
      <c r="AC756" s="66">
        <f t="shared" si="80"/>
        <v>1</v>
      </c>
      <c r="AD756" s="67">
        <f t="shared" si="81"/>
        <v>1</v>
      </c>
    </row>
    <row r="757" spans="1:30" ht="14.5" customHeight="1" x14ac:dyDescent="0.2">
      <c r="A757" t="s">
        <v>2533</v>
      </c>
      <c r="B757" s="95">
        <v>1</v>
      </c>
      <c r="C757" s="95">
        <v>0</v>
      </c>
      <c r="D757" s="19" t="s">
        <v>1539</v>
      </c>
      <c r="E757" s="5" t="s">
        <v>1530</v>
      </c>
      <c r="F757" s="95">
        <f t="shared" si="82"/>
        <v>2002</v>
      </c>
      <c r="G757" s="34">
        <v>37568</v>
      </c>
      <c r="H757" s="22" t="s">
        <v>2981</v>
      </c>
      <c r="I757" s="64">
        <v>0</v>
      </c>
      <c r="J757" s="43" t="s">
        <v>1540</v>
      </c>
      <c r="K757" s="17">
        <v>0</v>
      </c>
      <c r="L757" s="59">
        <v>1</v>
      </c>
      <c r="M757" s="22" t="s">
        <v>2587</v>
      </c>
      <c r="N757" t="s">
        <v>2634</v>
      </c>
      <c r="O757" s="19"/>
      <c r="P757" s="19" t="s">
        <v>1541</v>
      </c>
      <c r="Q757" s="100" t="s">
        <v>1542</v>
      </c>
      <c r="R757" s="95">
        <v>1</v>
      </c>
      <c r="S757" s="95">
        <v>0</v>
      </c>
      <c r="T757" s="95">
        <v>0</v>
      </c>
      <c r="U757" s="95">
        <v>1</v>
      </c>
      <c r="V757" s="95">
        <v>1</v>
      </c>
      <c r="W757" s="95">
        <v>232</v>
      </c>
      <c r="X757" s="95">
        <v>0</v>
      </c>
      <c r="Y757" s="95">
        <v>0</v>
      </c>
      <c r="Z757" s="95">
        <f t="shared" si="77"/>
        <v>232</v>
      </c>
      <c r="AA757" s="11">
        <f t="shared" si="78"/>
        <v>1</v>
      </c>
      <c r="AB757" s="11">
        <f t="shared" si="79"/>
        <v>0</v>
      </c>
      <c r="AC757" s="66">
        <f t="shared" si="80"/>
        <v>1</v>
      </c>
      <c r="AD757" s="67">
        <f t="shared" si="81"/>
        <v>1</v>
      </c>
    </row>
    <row r="758" spans="1:30" ht="14.5" customHeight="1" x14ac:dyDescent="0.2">
      <c r="A758" t="s">
        <v>2533</v>
      </c>
      <c r="B758" s="95">
        <v>1</v>
      </c>
      <c r="C758" s="95">
        <v>0</v>
      </c>
      <c r="D758" s="19" t="s">
        <v>1539</v>
      </c>
      <c r="E758" s="5" t="s">
        <v>1530</v>
      </c>
      <c r="F758" s="95">
        <f t="shared" si="82"/>
        <v>2003</v>
      </c>
      <c r="G758" s="23">
        <v>37643</v>
      </c>
      <c r="H758" s="22" t="s">
        <v>2981</v>
      </c>
      <c r="I758" s="64">
        <v>0</v>
      </c>
      <c r="J758" s="43" t="s">
        <v>1547</v>
      </c>
      <c r="K758" s="17">
        <v>0</v>
      </c>
      <c r="L758" s="59">
        <v>1</v>
      </c>
      <c r="M758" s="56" t="s">
        <v>830</v>
      </c>
      <c r="N758" s="56" t="s">
        <v>422</v>
      </c>
      <c r="O758" s="19"/>
      <c r="P758" s="19" t="s">
        <v>1548</v>
      </c>
      <c r="Q758" s="100" t="s">
        <v>1549</v>
      </c>
      <c r="R758" s="95">
        <v>1</v>
      </c>
      <c r="S758" s="95">
        <v>0</v>
      </c>
      <c r="T758" s="95">
        <v>0</v>
      </c>
      <c r="U758" s="95">
        <v>1</v>
      </c>
      <c r="V758" s="95">
        <v>0</v>
      </c>
      <c r="W758" s="95">
        <v>173</v>
      </c>
      <c r="X758" s="95">
        <v>19</v>
      </c>
      <c r="Y758" s="95">
        <v>6</v>
      </c>
      <c r="Z758" s="95">
        <f t="shared" si="77"/>
        <v>198</v>
      </c>
      <c r="AA758" s="11">
        <f t="shared" si="78"/>
        <v>0.8737373737373737</v>
      </c>
      <c r="AB758" s="11">
        <f t="shared" si="79"/>
        <v>9.5959595959595953E-2</v>
      </c>
      <c r="AC758" s="66">
        <f t="shared" si="80"/>
        <v>0.8737373737373737</v>
      </c>
      <c r="AD758" s="67">
        <f t="shared" si="81"/>
        <v>0.81060606060606055</v>
      </c>
    </row>
    <row r="759" spans="1:30" ht="14.5" customHeight="1" x14ac:dyDescent="0.2">
      <c r="A759" t="s">
        <v>2533</v>
      </c>
      <c r="B759" s="95">
        <v>1</v>
      </c>
      <c r="C759" s="95">
        <v>0</v>
      </c>
      <c r="D759" s="19" t="s">
        <v>1511</v>
      </c>
      <c r="E759" s="101" t="s">
        <v>1550</v>
      </c>
      <c r="F759" s="95">
        <f t="shared" si="82"/>
        <v>2003</v>
      </c>
      <c r="G759" s="34">
        <v>37713</v>
      </c>
      <c r="H759" s="22" t="s">
        <v>2981</v>
      </c>
      <c r="I759" s="64">
        <v>0</v>
      </c>
      <c r="J759" s="43" t="s">
        <v>1551</v>
      </c>
      <c r="K759" s="17">
        <v>0</v>
      </c>
      <c r="L759" s="59">
        <v>1</v>
      </c>
      <c r="M759" s="56" t="s">
        <v>2640</v>
      </c>
      <c r="N759" s="56" t="s">
        <v>2121</v>
      </c>
      <c r="O759" s="19"/>
      <c r="P759" s="19" t="s">
        <v>1552</v>
      </c>
      <c r="Q759" s="100" t="s">
        <v>1553</v>
      </c>
      <c r="R759" s="95">
        <v>1</v>
      </c>
      <c r="S759" s="95">
        <v>0</v>
      </c>
      <c r="T759" s="95">
        <v>0</v>
      </c>
      <c r="U759" s="95">
        <v>1</v>
      </c>
      <c r="V759" s="95">
        <v>0</v>
      </c>
      <c r="W759" s="95">
        <v>179</v>
      </c>
      <c r="X759" s="95">
        <v>68</v>
      </c>
      <c r="Y759" s="95">
        <v>9</v>
      </c>
      <c r="Z759" s="95">
        <f t="shared" si="77"/>
        <v>256</v>
      </c>
      <c r="AA759" s="11">
        <f t="shared" si="78"/>
        <v>0.69921875</v>
      </c>
      <c r="AB759" s="11">
        <f t="shared" si="79"/>
        <v>0.265625</v>
      </c>
      <c r="AC759" s="66">
        <f t="shared" si="80"/>
        <v>0.69921875</v>
      </c>
      <c r="AD759" s="67">
        <f t="shared" si="81"/>
        <v>0.548828125</v>
      </c>
    </row>
    <row r="760" spans="1:30" ht="14.5" customHeight="1" x14ac:dyDescent="0.2">
      <c r="A760" t="s">
        <v>2533</v>
      </c>
      <c r="B760" s="95">
        <v>1</v>
      </c>
      <c r="C760" s="95">
        <v>0</v>
      </c>
      <c r="D760" s="19" t="s">
        <v>1511</v>
      </c>
      <c r="E760" s="101" t="s">
        <v>1550</v>
      </c>
      <c r="F760" s="95">
        <f t="shared" si="82"/>
        <v>2003</v>
      </c>
      <c r="G760" s="34">
        <v>37946</v>
      </c>
      <c r="H760" s="22" t="s">
        <v>2981</v>
      </c>
      <c r="I760" s="64">
        <v>0</v>
      </c>
      <c r="J760" s="43" t="s">
        <v>1554</v>
      </c>
      <c r="K760" s="17">
        <v>0</v>
      </c>
      <c r="L760" s="59">
        <v>1</v>
      </c>
      <c r="M760" s="22" t="s">
        <v>2547</v>
      </c>
      <c r="N760" s="5" t="s">
        <v>2629</v>
      </c>
      <c r="O760" s="19"/>
      <c r="P760" s="19" t="s">
        <v>1555</v>
      </c>
      <c r="Q760" s="100" t="s">
        <v>1556</v>
      </c>
      <c r="R760" s="95">
        <v>1</v>
      </c>
      <c r="S760" s="95">
        <v>0</v>
      </c>
      <c r="T760" s="95">
        <v>0</v>
      </c>
      <c r="U760" s="95">
        <v>1</v>
      </c>
      <c r="V760" s="95">
        <v>1</v>
      </c>
      <c r="W760" s="95">
        <v>179</v>
      </c>
      <c r="X760" s="95">
        <v>2</v>
      </c>
      <c r="Y760" s="95">
        <v>1</v>
      </c>
      <c r="Z760" s="95">
        <f t="shared" si="77"/>
        <v>182</v>
      </c>
      <c r="AA760" s="11">
        <f t="shared" si="78"/>
        <v>0.98351648351648346</v>
      </c>
      <c r="AB760" s="11">
        <f t="shared" si="79"/>
        <v>1.098901098901099E-2</v>
      </c>
      <c r="AC760" s="66">
        <f t="shared" si="80"/>
        <v>0.98351648351648346</v>
      </c>
      <c r="AD760" s="67">
        <f t="shared" si="81"/>
        <v>0.97527472527472525</v>
      </c>
    </row>
    <row r="761" spans="1:30" ht="14" customHeight="1" x14ac:dyDescent="0.2">
      <c r="A761" t="s">
        <v>2533</v>
      </c>
      <c r="B761" s="95">
        <v>1</v>
      </c>
      <c r="C761" s="95">
        <v>0</v>
      </c>
      <c r="D761" s="19" t="s">
        <v>1511</v>
      </c>
      <c r="E761" s="101" t="s">
        <v>1550</v>
      </c>
      <c r="F761" s="95">
        <f t="shared" si="82"/>
        <v>2003</v>
      </c>
      <c r="G761" s="34">
        <v>37959</v>
      </c>
      <c r="H761" s="22" t="s">
        <v>2981</v>
      </c>
      <c r="I761" s="64">
        <v>0</v>
      </c>
      <c r="J761" s="43" t="s">
        <v>1545</v>
      </c>
      <c r="K761" s="17">
        <v>0</v>
      </c>
      <c r="L761" s="59">
        <v>1</v>
      </c>
      <c r="M761" s="56" t="s">
        <v>830</v>
      </c>
      <c r="N761" s="56" t="s">
        <v>422</v>
      </c>
      <c r="O761" s="19"/>
      <c r="P761" s="19" t="s">
        <v>1557</v>
      </c>
      <c r="Q761" s="100" t="s">
        <v>1558</v>
      </c>
      <c r="R761" s="95">
        <v>1</v>
      </c>
      <c r="S761" s="95">
        <v>0</v>
      </c>
      <c r="T761" s="95">
        <v>0</v>
      </c>
      <c r="U761" s="95">
        <v>1</v>
      </c>
      <c r="V761" s="95">
        <v>1</v>
      </c>
      <c r="W761" s="95">
        <v>218</v>
      </c>
      <c r="X761" s="95">
        <v>3</v>
      </c>
      <c r="Y761" s="95">
        <v>1</v>
      </c>
      <c r="Z761" s="95">
        <f t="shared" si="77"/>
        <v>222</v>
      </c>
      <c r="AA761" s="11">
        <f t="shared" si="78"/>
        <v>0.98198198198198194</v>
      </c>
      <c r="AB761" s="11">
        <f t="shared" si="79"/>
        <v>1.3513513513513514E-2</v>
      </c>
      <c r="AC761" s="66">
        <f t="shared" si="80"/>
        <v>0.98198198198198194</v>
      </c>
      <c r="AD761" s="67">
        <f t="shared" si="81"/>
        <v>0.97297297297297303</v>
      </c>
    </row>
    <row r="762" spans="1:30" ht="14.5" customHeight="1" x14ac:dyDescent="0.2">
      <c r="A762" t="s">
        <v>2533</v>
      </c>
      <c r="B762" s="95">
        <v>1</v>
      </c>
      <c r="C762" s="95">
        <v>0</v>
      </c>
      <c r="D762" s="19" t="s">
        <v>1511</v>
      </c>
      <c r="E762" s="101" t="s">
        <v>1550</v>
      </c>
      <c r="F762" s="95">
        <f t="shared" si="82"/>
        <v>2003</v>
      </c>
      <c r="G762" s="34">
        <v>37959</v>
      </c>
      <c r="H762" s="22" t="s">
        <v>2981</v>
      </c>
      <c r="I762" s="64">
        <v>0</v>
      </c>
      <c r="J762" s="43" t="s">
        <v>1559</v>
      </c>
      <c r="K762" s="17">
        <v>0</v>
      </c>
      <c r="L762" s="59">
        <v>1</v>
      </c>
      <c r="M762" s="56" t="s">
        <v>2641</v>
      </c>
      <c r="N762" s="56" t="s">
        <v>422</v>
      </c>
      <c r="O762" s="19"/>
      <c r="P762" s="19" t="s">
        <v>1557</v>
      </c>
      <c r="Q762" s="100" t="s">
        <v>1560</v>
      </c>
      <c r="R762" s="95">
        <v>1</v>
      </c>
      <c r="S762" s="95">
        <v>0</v>
      </c>
      <c r="T762" s="95">
        <v>0</v>
      </c>
      <c r="U762" s="95">
        <v>1</v>
      </c>
      <c r="V762" s="95">
        <v>1</v>
      </c>
      <c r="W762" s="95">
        <v>215</v>
      </c>
      <c r="X762" s="95">
        <v>5</v>
      </c>
      <c r="Y762" s="95">
        <v>1</v>
      </c>
      <c r="Z762" s="95">
        <f t="shared" si="77"/>
        <v>221</v>
      </c>
      <c r="AA762" s="11">
        <f t="shared" si="78"/>
        <v>0.97285067873303166</v>
      </c>
      <c r="AB762" s="11">
        <f t="shared" si="79"/>
        <v>2.2624434389140271E-2</v>
      </c>
      <c r="AC762" s="66">
        <f t="shared" si="80"/>
        <v>0.97285067873303166</v>
      </c>
      <c r="AD762" s="67">
        <f t="shared" si="81"/>
        <v>0.95927601809954754</v>
      </c>
    </row>
    <row r="763" spans="1:30" ht="14.5" customHeight="1" x14ac:dyDescent="0.2">
      <c r="A763" t="s">
        <v>2533</v>
      </c>
      <c r="B763" s="95">
        <v>1</v>
      </c>
      <c r="C763" s="95">
        <v>0</v>
      </c>
      <c r="D763" s="19" t="s">
        <v>1511</v>
      </c>
      <c r="E763" s="101" t="s">
        <v>1550</v>
      </c>
      <c r="F763" s="95">
        <f t="shared" si="82"/>
        <v>2003</v>
      </c>
      <c r="G763" s="34">
        <v>37959</v>
      </c>
      <c r="H763" s="22" t="s">
        <v>2981</v>
      </c>
      <c r="I763" s="64">
        <v>0</v>
      </c>
      <c r="J763" s="43" t="s">
        <v>1561</v>
      </c>
      <c r="K763" s="17">
        <v>0</v>
      </c>
      <c r="L763" s="59">
        <v>1</v>
      </c>
      <c r="M763" s="56" t="s">
        <v>2640</v>
      </c>
      <c r="N763" s="56" t="s">
        <v>2121</v>
      </c>
      <c r="O763" s="19"/>
      <c r="P763" s="19" t="s">
        <v>1557</v>
      </c>
      <c r="Q763" s="100" t="s">
        <v>1562</v>
      </c>
      <c r="R763" s="95">
        <v>1</v>
      </c>
      <c r="S763" s="95">
        <v>0</v>
      </c>
      <c r="T763" s="95">
        <v>0</v>
      </c>
      <c r="U763" s="95">
        <v>1</v>
      </c>
      <c r="V763" s="95">
        <v>1</v>
      </c>
      <c r="W763" s="95">
        <v>201</v>
      </c>
      <c r="X763" s="95">
        <v>15</v>
      </c>
      <c r="Y763" s="95">
        <v>6</v>
      </c>
      <c r="Z763" s="95">
        <f t="shared" si="77"/>
        <v>222</v>
      </c>
      <c r="AA763" s="11">
        <f t="shared" si="78"/>
        <v>0.90540540540540537</v>
      </c>
      <c r="AB763" s="11">
        <f t="shared" si="79"/>
        <v>6.7567567567567571E-2</v>
      </c>
      <c r="AC763" s="66">
        <f t="shared" si="80"/>
        <v>0.90540540540540537</v>
      </c>
      <c r="AD763" s="67">
        <f t="shared" si="81"/>
        <v>0.85810810810810811</v>
      </c>
    </row>
    <row r="764" spans="1:30" ht="14" customHeight="1" x14ac:dyDescent="0.2">
      <c r="A764" t="s">
        <v>2533</v>
      </c>
      <c r="B764" s="95">
        <v>1</v>
      </c>
      <c r="C764" s="95">
        <v>0</v>
      </c>
      <c r="D764" s="19" t="s">
        <v>1511</v>
      </c>
      <c r="E764" s="101" t="s">
        <v>1550</v>
      </c>
      <c r="F764" s="95">
        <f t="shared" si="82"/>
        <v>2004</v>
      </c>
      <c r="G764" s="34">
        <v>38030</v>
      </c>
      <c r="H764" s="22" t="s">
        <v>2981</v>
      </c>
      <c r="I764" s="64">
        <v>0</v>
      </c>
      <c r="J764" s="43" t="s">
        <v>1563</v>
      </c>
      <c r="K764" s="17">
        <v>0</v>
      </c>
      <c r="L764" s="59">
        <v>1</v>
      </c>
      <c r="M764" s="56" t="s">
        <v>2640</v>
      </c>
      <c r="N764" s="56" t="s">
        <v>2121</v>
      </c>
      <c r="O764" s="19"/>
      <c r="P764" s="19" t="s">
        <v>1564</v>
      </c>
      <c r="Q764" s="100" t="s">
        <v>1565</v>
      </c>
      <c r="R764" s="95">
        <v>1</v>
      </c>
      <c r="S764" s="95">
        <v>0</v>
      </c>
      <c r="T764" s="95">
        <v>0</v>
      </c>
      <c r="U764" s="95">
        <v>1</v>
      </c>
      <c r="V764" s="95">
        <v>0</v>
      </c>
      <c r="W764" s="95">
        <v>155</v>
      </c>
      <c r="X764" s="95">
        <v>50</v>
      </c>
      <c r="Y764" s="95">
        <v>6</v>
      </c>
      <c r="Z764" s="95">
        <f t="shared" si="77"/>
        <v>211</v>
      </c>
      <c r="AA764" s="11">
        <f t="shared" si="78"/>
        <v>0.7345971563981043</v>
      </c>
      <c r="AB764" s="11">
        <f t="shared" si="79"/>
        <v>0.23696682464454977</v>
      </c>
      <c r="AC764" s="66">
        <f t="shared" si="80"/>
        <v>0.7345971563981043</v>
      </c>
      <c r="AD764" s="67">
        <f t="shared" si="81"/>
        <v>0.6018957345971564</v>
      </c>
    </row>
    <row r="765" spans="1:30" ht="14.5" customHeight="1" x14ac:dyDescent="0.2">
      <c r="A765" t="s">
        <v>2533</v>
      </c>
      <c r="B765" s="95">
        <v>1</v>
      </c>
      <c r="C765" s="95">
        <v>0</v>
      </c>
      <c r="D765" s="19" t="s">
        <v>1566</v>
      </c>
      <c r="E765" s="101" t="s">
        <v>1550</v>
      </c>
      <c r="F765" s="95">
        <f t="shared" si="82"/>
        <v>2004</v>
      </c>
      <c r="G765" s="34">
        <v>38330</v>
      </c>
      <c r="H765" s="22" t="s">
        <v>2981</v>
      </c>
      <c r="I765" s="64">
        <v>0</v>
      </c>
      <c r="J765" s="43" t="s">
        <v>1545</v>
      </c>
      <c r="K765" s="17">
        <v>0</v>
      </c>
      <c r="L765" s="59">
        <v>1</v>
      </c>
      <c r="M765" s="56" t="s">
        <v>830</v>
      </c>
      <c r="N765" s="56" t="s">
        <v>422</v>
      </c>
      <c r="O765" s="19"/>
      <c r="P765" s="19" t="s">
        <v>1567</v>
      </c>
      <c r="Q765" s="100" t="s">
        <v>1569</v>
      </c>
      <c r="R765" s="95">
        <v>1</v>
      </c>
      <c r="S765" s="95">
        <v>0</v>
      </c>
      <c r="T765" s="95">
        <v>0</v>
      </c>
      <c r="U765" s="95">
        <v>1</v>
      </c>
      <c r="V765" s="95">
        <v>1</v>
      </c>
      <c r="W765" s="95">
        <v>174</v>
      </c>
      <c r="X765" s="95">
        <v>21</v>
      </c>
      <c r="Y765" s="95">
        <v>7</v>
      </c>
      <c r="Z765" s="95">
        <f t="shared" si="77"/>
        <v>202</v>
      </c>
      <c r="AA765" s="11">
        <f t="shared" si="78"/>
        <v>0.86138613861386137</v>
      </c>
      <c r="AB765" s="11">
        <f t="shared" si="79"/>
        <v>0.10396039603960396</v>
      </c>
      <c r="AC765" s="66">
        <f t="shared" si="80"/>
        <v>0.86138613861386137</v>
      </c>
      <c r="AD765" s="67">
        <f t="shared" si="81"/>
        <v>0.79207920792079212</v>
      </c>
    </row>
    <row r="766" spans="1:30" ht="14.5" customHeight="1" x14ac:dyDescent="0.2">
      <c r="A766" t="s">
        <v>2533</v>
      </c>
      <c r="B766" s="95">
        <v>1</v>
      </c>
      <c r="C766" s="95">
        <v>0</v>
      </c>
      <c r="D766" s="19" t="s">
        <v>1566</v>
      </c>
      <c r="E766" s="101" t="s">
        <v>1550</v>
      </c>
      <c r="F766" s="95">
        <f t="shared" si="82"/>
        <v>2004</v>
      </c>
      <c r="G766" s="34">
        <v>38330</v>
      </c>
      <c r="H766" s="22" t="s">
        <v>2981</v>
      </c>
      <c r="I766" s="64">
        <v>0</v>
      </c>
      <c r="J766" s="43" t="s">
        <v>1570</v>
      </c>
      <c r="K766" s="17">
        <v>0</v>
      </c>
      <c r="L766" s="59">
        <v>1</v>
      </c>
      <c r="M766" s="56" t="s">
        <v>2641</v>
      </c>
      <c r="N766" s="56" t="s">
        <v>422</v>
      </c>
      <c r="O766" s="19"/>
      <c r="P766" s="19" t="s">
        <v>1567</v>
      </c>
      <c r="Q766" s="100" t="s">
        <v>1571</v>
      </c>
      <c r="R766" s="95">
        <v>1</v>
      </c>
      <c r="S766" s="95">
        <v>0</v>
      </c>
      <c r="T766" s="95">
        <v>0</v>
      </c>
      <c r="U766" s="95">
        <v>1</v>
      </c>
      <c r="V766" s="95">
        <v>1</v>
      </c>
      <c r="W766" s="95">
        <v>178</v>
      </c>
      <c r="X766" s="95">
        <v>18</v>
      </c>
      <c r="Y766" s="95">
        <v>6</v>
      </c>
      <c r="Z766" s="95">
        <f t="shared" si="77"/>
        <v>202</v>
      </c>
      <c r="AA766" s="11">
        <f t="shared" si="78"/>
        <v>0.88118811881188119</v>
      </c>
      <c r="AB766" s="11">
        <f t="shared" si="79"/>
        <v>8.9108910891089105E-2</v>
      </c>
      <c r="AC766" s="66">
        <f t="shared" si="80"/>
        <v>0.88118811881188119</v>
      </c>
      <c r="AD766" s="67">
        <f t="shared" si="81"/>
        <v>0.82178217821782173</v>
      </c>
    </row>
    <row r="767" spans="1:30" ht="14.5" customHeight="1" x14ac:dyDescent="0.2">
      <c r="A767" t="s">
        <v>2533</v>
      </c>
      <c r="B767" s="95">
        <v>1</v>
      </c>
      <c r="C767" s="95">
        <v>0</v>
      </c>
      <c r="D767" s="19" t="s">
        <v>1566</v>
      </c>
      <c r="E767" s="101" t="s">
        <v>1550</v>
      </c>
      <c r="F767" s="95">
        <f t="shared" si="82"/>
        <v>2004</v>
      </c>
      <c r="G767" s="34">
        <v>38330</v>
      </c>
      <c r="H767" s="22" t="s">
        <v>2981</v>
      </c>
      <c r="I767" s="64">
        <v>0</v>
      </c>
      <c r="J767" s="43" t="s">
        <v>1554</v>
      </c>
      <c r="K767" s="17">
        <v>0</v>
      </c>
      <c r="L767" s="59">
        <v>1</v>
      </c>
      <c r="M767" s="22" t="s">
        <v>2547</v>
      </c>
      <c r="N767" s="5" t="s">
        <v>2629</v>
      </c>
      <c r="O767" s="19"/>
      <c r="P767" s="19" t="s">
        <v>1567</v>
      </c>
      <c r="Q767" s="100" t="s">
        <v>1568</v>
      </c>
      <c r="R767" s="95">
        <v>1</v>
      </c>
      <c r="S767" s="95">
        <v>0</v>
      </c>
      <c r="T767" s="95">
        <v>0</v>
      </c>
      <c r="U767" s="95">
        <v>1</v>
      </c>
      <c r="V767" s="95">
        <v>1</v>
      </c>
      <c r="W767" s="95">
        <v>180</v>
      </c>
      <c r="X767" s="95">
        <v>1</v>
      </c>
      <c r="Y767" s="95">
        <v>1</v>
      </c>
      <c r="Z767" s="95">
        <f t="shared" si="77"/>
        <v>182</v>
      </c>
      <c r="AA767" s="11">
        <f t="shared" si="78"/>
        <v>0.98901098901098905</v>
      </c>
      <c r="AB767" s="11">
        <f t="shared" si="79"/>
        <v>5.4945054945054949E-3</v>
      </c>
      <c r="AC767" s="66">
        <f t="shared" si="80"/>
        <v>0.98901098901098905</v>
      </c>
      <c r="AD767" s="67">
        <f t="shared" si="81"/>
        <v>0.98351648351648346</v>
      </c>
    </row>
    <row r="768" spans="1:30" ht="14.5" customHeight="1" x14ac:dyDescent="0.2">
      <c r="A768" t="s">
        <v>2533</v>
      </c>
      <c r="B768" s="95">
        <v>1</v>
      </c>
      <c r="C768" s="95">
        <v>0</v>
      </c>
      <c r="D768" s="19" t="s">
        <v>1566</v>
      </c>
      <c r="E768" s="101" t="s">
        <v>1550</v>
      </c>
      <c r="F768" s="95">
        <f t="shared" si="82"/>
        <v>2004</v>
      </c>
      <c r="G768" s="34">
        <v>38352</v>
      </c>
      <c r="H768" s="22" t="s">
        <v>2981</v>
      </c>
      <c r="I768" s="64">
        <v>0</v>
      </c>
      <c r="J768" s="43" t="s">
        <v>1572</v>
      </c>
      <c r="K768" s="17">
        <v>0</v>
      </c>
      <c r="L768" s="59">
        <v>1</v>
      </c>
      <c r="M768" s="56" t="s">
        <v>2640</v>
      </c>
      <c r="N768" s="56" t="s">
        <v>2121</v>
      </c>
      <c r="O768" s="19"/>
      <c r="P768" s="19" t="s">
        <v>1573</v>
      </c>
      <c r="Q768" s="100" t="s">
        <v>1574</v>
      </c>
      <c r="R768" s="95">
        <v>1</v>
      </c>
      <c r="S768" s="95">
        <v>0</v>
      </c>
      <c r="T768" s="95">
        <v>0</v>
      </c>
      <c r="U768" s="95">
        <v>1</v>
      </c>
      <c r="V768" s="95">
        <v>1</v>
      </c>
      <c r="W768" s="95">
        <v>161</v>
      </c>
      <c r="X768" s="95">
        <v>63</v>
      </c>
      <c r="Y768" s="95">
        <v>54</v>
      </c>
      <c r="Z768" s="95">
        <f t="shared" si="77"/>
        <v>278</v>
      </c>
      <c r="AA768" s="11">
        <f t="shared" si="78"/>
        <v>0.57913669064748197</v>
      </c>
      <c r="AB768" s="11">
        <f t="shared" si="79"/>
        <v>0.22661870503597123</v>
      </c>
      <c r="AC768" s="66">
        <f t="shared" si="80"/>
        <v>0.57913669064748197</v>
      </c>
      <c r="AD768" s="67">
        <f t="shared" si="81"/>
        <v>0.36870503597122301</v>
      </c>
    </row>
    <row r="769" spans="1:30" ht="14.5" customHeight="1" x14ac:dyDescent="0.2">
      <c r="A769" t="s">
        <v>2533</v>
      </c>
      <c r="B769" s="95">
        <v>1</v>
      </c>
      <c r="C769" s="95">
        <v>0</v>
      </c>
      <c r="D769" s="19" t="s">
        <v>1566</v>
      </c>
      <c r="E769" s="101" t="s">
        <v>1550</v>
      </c>
      <c r="F769" s="95">
        <f t="shared" si="82"/>
        <v>2005</v>
      </c>
      <c r="G769" s="34">
        <v>38687</v>
      </c>
      <c r="H769" s="22" t="s">
        <v>2981</v>
      </c>
      <c r="I769" s="64">
        <v>0</v>
      </c>
      <c r="J769" s="43" t="s">
        <v>2518</v>
      </c>
      <c r="K769" s="17">
        <v>0</v>
      </c>
      <c r="L769" s="59">
        <v>1</v>
      </c>
      <c r="M769" s="22" t="s">
        <v>2547</v>
      </c>
      <c r="N769" s="5" t="s">
        <v>2629</v>
      </c>
      <c r="O769" s="19"/>
      <c r="P769" s="19" t="s">
        <v>1575</v>
      </c>
      <c r="Q769" s="100" t="s">
        <v>1576</v>
      </c>
      <c r="R769" s="95">
        <v>1</v>
      </c>
      <c r="S769" s="95">
        <v>0</v>
      </c>
      <c r="T769" s="95">
        <v>0</v>
      </c>
      <c r="U769" s="95">
        <v>1</v>
      </c>
      <c r="V769" s="95">
        <v>1</v>
      </c>
      <c r="W769" s="95">
        <v>212</v>
      </c>
      <c r="X769" s="95">
        <v>3</v>
      </c>
      <c r="Y769" s="95">
        <v>9</v>
      </c>
      <c r="Z769" s="95">
        <f t="shared" si="77"/>
        <v>224</v>
      </c>
      <c r="AA769" s="11">
        <f t="shared" si="78"/>
        <v>0.9464285714285714</v>
      </c>
      <c r="AB769" s="11">
        <f t="shared" si="79"/>
        <v>1.3392857142857142E-2</v>
      </c>
      <c r="AC769" s="66">
        <f t="shared" si="80"/>
        <v>0.9464285714285714</v>
      </c>
      <c r="AD769" s="67">
        <f t="shared" si="81"/>
        <v>0.9196428571428571</v>
      </c>
    </row>
    <row r="770" spans="1:30" ht="14.5" customHeight="1" x14ac:dyDescent="0.2">
      <c r="A770" t="s">
        <v>2533</v>
      </c>
      <c r="B770" s="95">
        <v>1</v>
      </c>
      <c r="C770" s="95">
        <v>0</v>
      </c>
      <c r="D770" s="19" t="s">
        <v>1566</v>
      </c>
      <c r="E770" s="101" t="s">
        <v>1550</v>
      </c>
      <c r="F770" s="95">
        <f t="shared" si="82"/>
        <v>2005</v>
      </c>
      <c r="G770" s="34">
        <v>38716</v>
      </c>
      <c r="H770" s="22" t="s">
        <v>2981</v>
      </c>
      <c r="I770" s="64">
        <v>0</v>
      </c>
      <c r="J770" s="43" t="s">
        <v>1580</v>
      </c>
      <c r="K770" s="17">
        <v>0</v>
      </c>
      <c r="L770" s="59">
        <v>1</v>
      </c>
      <c r="M770" s="56" t="s">
        <v>830</v>
      </c>
      <c r="N770" s="56" t="s">
        <v>422</v>
      </c>
      <c r="O770" s="19"/>
      <c r="P770" s="19" t="s">
        <v>1578</v>
      </c>
      <c r="Q770" s="100" t="s">
        <v>1581</v>
      </c>
      <c r="R770" s="95">
        <v>1</v>
      </c>
      <c r="S770" s="95">
        <v>0</v>
      </c>
      <c r="T770" s="95">
        <v>0</v>
      </c>
      <c r="U770" s="95">
        <v>1</v>
      </c>
      <c r="V770" s="95">
        <v>1</v>
      </c>
      <c r="W770" s="95">
        <v>130</v>
      </c>
      <c r="X770" s="95">
        <v>16</v>
      </c>
      <c r="Y770" s="95">
        <v>11</v>
      </c>
      <c r="Z770" s="95">
        <f t="shared" si="77"/>
        <v>157</v>
      </c>
      <c r="AA770" s="11">
        <f t="shared" si="78"/>
        <v>0.82802547770700641</v>
      </c>
      <c r="AB770" s="11">
        <f t="shared" si="79"/>
        <v>0.10191082802547771</v>
      </c>
      <c r="AC770" s="66">
        <f t="shared" si="80"/>
        <v>0.82802547770700641</v>
      </c>
      <c r="AD770" s="67">
        <f t="shared" si="81"/>
        <v>0.7420382165605095</v>
      </c>
    </row>
    <row r="771" spans="1:30" ht="14.5" customHeight="1" x14ac:dyDescent="0.2">
      <c r="A771" t="s">
        <v>2533</v>
      </c>
      <c r="B771" s="95">
        <v>1</v>
      </c>
      <c r="C771" s="95">
        <v>0</v>
      </c>
      <c r="D771" s="19" t="s">
        <v>1566</v>
      </c>
      <c r="E771" s="101" t="s">
        <v>1550</v>
      </c>
      <c r="F771" s="95">
        <f t="shared" si="82"/>
        <v>2005</v>
      </c>
      <c r="G771" s="34">
        <v>38716</v>
      </c>
      <c r="H771" s="22" t="s">
        <v>2981</v>
      </c>
      <c r="I771" s="64">
        <v>0</v>
      </c>
      <c r="J771" s="43" t="s">
        <v>1582</v>
      </c>
      <c r="K771" s="17">
        <v>0</v>
      </c>
      <c r="L771" s="59">
        <v>1</v>
      </c>
      <c r="M771" s="56" t="s">
        <v>2641</v>
      </c>
      <c r="N771" s="56" t="s">
        <v>422</v>
      </c>
      <c r="O771" s="19"/>
      <c r="P771" s="19" t="s">
        <v>1578</v>
      </c>
      <c r="Q771" s="100" t="s">
        <v>1583</v>
      </c>
      <c r="R771" s="95">
        <v>1</v>
      </c>
      <c r="S771" s="95">
        <v>0</v>
      </c>
      <c r="T771" s="95">
        <v>0</v>
      </c>
      <c r="U771" s="95">
        <v>1</v>
      </c>
      <c r="V771" s="95">
        <v>1</v>
      </c>
      <c r="W771" s="95">
        <v>129</v>
      </c>
      <c r="X771" s="95">
        <v>15</v>
      </c>
      <c r="Y771" s="95">
        <v>12</v>
      </c>
      <c r="Z771" s="95">
        <f t="shared" si="77"/>
        <v>156</v>
      </c>
      <c r="AA771" s="11">
        <f t="shared" si="78"/>
        <v>0.82692307692307687</v>
      </c>
      <c r="AB771" s="11">
        <f t="shared" si="79"/>
        <v>9.6153846153846159E-2</v>
      </c>
      <c r="AC771" s="66">
        <f t="shared" si="80"/>
        <v>0.82692307692307687</v>
      </c>
      <c r="AD771" s="67">
        <f t="shared" si="81"/>
        <v>0.74038461538461542</v>
      </c>
    </row>
    <row r="772" spans="1:30" ht="14.5" customHeight="1" x14ac:dyDescent="0.2">
      <c r="A772" t="s">
        <v>2533</v>
      </c>
      <c r="B772" s="95">
        <v>1</v>
      </c>
      <c r="C772" s="95">
        <v>0</v>
      </c>
      <c r="D772" s="19" t="s">
        <v>1566</v>
      </c>
      <c r="E772" s="101" t="s">
        <v>1550</v>
      </c>
      <c r="F772" s="95">
        <f t="shared" si="82"/>
        <v>2005</v>
      </c>
      <c r="G772" s="34">
        <v>38716</v>
      </c>
      <c r="H772" s="22" t="s">
        <v>2981</v>
      </c>
      <c r="I772" s="64">
        <v>0</v>
      </c>
      <c r="J772" s="43" t="s">
        <v>1577</v>
      </c>
      <c r="K772" s="17">
        <v>0</v>
      </c>
      <c r="L772" s="59">
        <v>1</v>
      </c>
      <c r="M772" s="56" t="s">
        <v>2640</v>
      </c>
      <c r="N772" s="56" t="s">
        <v>2121</v>
      </c>
      <c r="O772" s="19"/>
      <c r="P772" s="19" t="s">
        <v>1578</v>
      </c>
      <c r="Q772" s="100" t="s">
        <v>1579</v>
      </c>
      <c r="R772" s="95">
        <v>1</v>
      </c>
      <c r="S772" s="95">
        <v>0</v>
      </c>
      <c r="T772" s="95">
        <v>0</v>
      </c>
      <c r="U772" s="95">
        <v>1</v>
      </c>
      <c r="V772" s="95">
        <v>1</v>
      </c>
      <c r="W772" s="95">
        <v>110</v>
      </c>
      <c r="X772" s="95">
        <v>31</v>
      </c>
      <c r="Y772" s="95">
        <v>17</v>
      </c>
      <c r="Z772" s="95">
        <f t="shared" si="77"/>
        <v>158</v>
      </c>
      <c r="AA772" s="11">
        <f t="shared" si="78"/>
        <v>0.69620253164556967</v>
      </c>
      <c r="AB772" s="11">
        <f t="shared" si="79"/>
        <v>0.19620253164556961</v>
      </c>
      <c r="AC772" s="66">
        <f t="shared" si="80"/>
        <v>0.69620253164556967</v>
      </c>
      <c r="AD772" s="67">
        <f t="shared" si="81"/>
        <v>0.54430379746835444</v>
      </c>
    </row>
    <row r="773" spans="1:30" ht="14.5" customHeight="1" x14ac:dyDescent="0.2">
      <c r="A773" t="s">
        <v>2533</v>
      </c>
      <c r="B773" s="95">
        <v>1</v>
      </c>
      <c r="C773" s="95">
        <v>0</v>
      </c>
      <c r="D773" s="19" t="s">
        <v>1584</v>
      </c>
      <c r="E773" s="101" t="s">
        <v>1550</v>
      </c>
      <c r="F773" s="95">
        <f t="shared" si="82"/>
        <v>2006</v>
      </c>
      <c r="G773" s="34">
        <v>39073</v>
      </c>
      <c r="H773" s="22" t="s">
        <v>2981</v>
      </c>
      <c r="I773" s="64">
        <v>0</v>
      </c>
      <c r="J773" s="43" t="s">
        <v>1580</v>
      </c>
      <c r="K773" s="17">
        <v>0</v>
      </c>
      <c r="L773" s="59">
        <v>1</v>
      </c>
      <c r="M773" s="56" t="s">
        <v>830</v>
      </c>
      <c r="N773" s="56" t="s">
        <v>422</v>
      </c>
      <c r="O773" s="19"/>
      <c r="P773" s="19" t="s">
        <v>1586</v>
      </c>
      <c r="Q773" s="100" t="s">
        <v>1590</v>
      </c>
      <c r="R773" s="95">
        <v>1</v>
      </c>
      <c r="S773" s="95">
        <v>0</v>
      </c>
      <c r="T773" s="95">
        <v>0</v>
      </c>
      <c r="U773" s="95">
        <v>1</v>
      </c>
      <c r="V773" s="95">
        <v>1</v>
      </c>
      <c r="W773" s="95">
        <v>164</v>
      </c>
      <c r="X773" s="95">
        <v>40</v>
      </c>
      <c r="Y773" s="95">
        <v>19</v>
      </c>
      <c r="Z773" s="95">
        <f t="shared" si="77"/>
        <v>223</v>
      </c>
      <c r="AA773" s="11">
        <f t="shared" si="78"/>
        <v>0.73542600896860988</v>
      </c>
      <c r="AB773" s="11">
        <f t="shared" si="79"/>
        <v>0.17937219730941703</v>
      </c>
      <c r="AC773" s="66">
        <f t="shared" si="80"/>
        <v>0.73542600896860988</v>
      </c>
      <c r="AD773" s="67">
        <f t="shared" si="81"/>
        <v>0.60313901345291476</v>
      </c>
    </row>
    <row r="774" spans="1:30" ht="14.5" customHeight="1" x14ac:dyDescent="0.2">
      <c r="A774" t="s">
        <v>2533</v>
      </c>
      <c r="B774" s="95">
        <v>1</v>
      </c>
      <c r="C774" s="95">
        <v>0</v>
      </c>
      <c r="D774" s="19" t="s">
        <v>1584</v>
      </c>
      <c r="E774" s="101" t="s">
        <v>1550</v>
      </c>
      <c r="F774" s="95">
        <f t="shared" si="82"/>
        <v>2006</v>
      </c>
      <c r="G774" s="34">
        <v>39073</v>
      </c>
      <c r="H774" s="22" t="s">
        <v>2981</v>
      </c>
      <c r="I774" s="64">
        <v>0</v>
      </c>
      <c r="J774" s="43" t="s">
        <v>1582</v>
      </c>
      <c r="K774" s="17">
        <v>0</v>
      </c>
      <c r="L774" s="59">
        <v>1</v>
      </c>
      <c r="M774" s="56" t="s">
        <v>2641</v>
      </c>
      <c r="N774" s="56" t="s">
        <v>422</v>
      </c>
      <c r="O774" s="19"/>
      <c r="P774" s="19" t="s">
        <v>1586</v>
      </c>
      <c r="Q774" s="100" t="s">
        <v>1591</v>
      </c>
      <c r="R774" s="95">
        <v>1</v>
      </c>
      <c r="S774" s="95">
        <v>0</v>
      </c>
      <c r="T774" s="95">
        <v>0</v>
      </c>
      <c r="U774" s="95">
        <v>1</v>
      </c>
      <c r="V774" s="95">
        <v>1</v>
      </c>
      <c r="W774" s="95">
        <v>138</v>
      </c>
      <c r="X774" s="95">
        <v>37</v>
      </c>
      <c r="Y774" s="95">
        <v>17</v>
      </c>
      <c r="Z774" s="95">
        <f t="shared" si="77"/>
        <v>192</v>
      </c>
      <c r="AA774" s="11">
        <f t="shared" si="78"/>
        <v>0.71875</v>
      </c>
      <c r="AB774" s="11">
        <f t="shared" si="79"/>
        <v>0.19270833333333334</v>
      </c>
      <c r="AC774" s="66">
        <f t="shared" si="80"/>
        <v>0.71875</v>
      </c>
      <c r="AD774" s="67">
        <f t="shared" si="81"/>
        <v>0.578125</v>
      </c>
    </row>
    <row r="775" spans="1:30" ht="14.5" customHeight="1" x14ac:dyDescent="0.2">
      <c r="A775" t="s">
        <v>2533</v>
      </c>
      <c r="B775" s="95">
        <v>1</v>
      </c>
      <c r="C775" s="95">
        <v>0</v>
      </c>
      <c r="D775" s="19" t="s">
        <v>1584</v>
      </c>
      <c r="E775" s="101" t="s">
        <v>1550</v>
      </c>
      <c r="F775" s="95">
        <f t="shared" si="82"/>
        <v>2006</v>
      </c>
      <c r="G775" s="34">
        <v>39073</v>
      </c>
      <c r="H775" s="22" t="s">
        <v>2981</v>
      </c>
      <c r="I775" s="64">
        <v>0</v>
      </c>
      <c r="J775" s="43" t="s">
        <v>1588</v>
      </c>
      <c r="K775" s="17">
        <v>0</v>
      </c>
      <c r="L775" s="59">
        <v>1</v>
      </c>
      <c r="M775" s="56" t="s">
        <v>2642</v>
      </c>
      <c r="N775" s="56" t="s">
        <v>2121</v>
      </c>
      <c r="O775" s="19"/>
      <c r="P775" s="19" t="s">
        <v>1586</v>
      </c>
      <c r="Q775" s="100" t="s">
        <v>1589</v>
      </c>
      <c r="R775" s="102">
        <v>1</v>
      </c>
      <c r="S775" s="102">
        <v>0</v>
      </c>
      <c r="T775" s="95">
        <v>0</v>
      </c>
      <c r="U775" s="95">
        <v>1</v>
      </c>
      <c r="V775" s="95">
        <v>1</v>
      </c>
      <c r="W775" s="95">
        <v>114</v>
      </c>
      <c r="X775" s="95">
        <v>60</v>
      </c>
      <c r="Y775" s="95">
        <v>16</v>
      </c>
      <c r="Z775" s="95">
        <f t="shared" si="77"/>
        <v>190</v>
      </c>
      <c r="AA775" s="11">
        <f t="shared" si="78"/>
        <v>0.6</v>
      </c>
      <c r="AB775" s="11">
        <f t="shared" si="79"/>
        <v>0.31578947368421051</v>
      </c>
      <c r="AC775" s="66">
        <f t="shared" si="80"/>
        <v>0.6</v>
      </c>
      <c r="AD775" s="67">
        <f t="shared" si="81"/>
        <v>0.4</v>
      </c>
    </row>
    <row r="776" spans="1:30" ht="14.5" customHeight="1" x14ac:dyDescent="0.2">
      <c r="A776" t="s">
        <v>2533</v>
      </c>
      <c r="B776" s="95">
        <v>1</v>
      </c>
      <c r="C776" s="95">
        <v>0</v>
      </c>
      <c r="D776" s="19" t="s">
        <v>1584</v>
      </c>
      <c r="E776" s="101" t="s">
        <v>1550</v>
      </c>
      <c r="F776" s="95">
        <f t="shared" si="82"/>
        <v>2006</v>
      </c>
      <c r="G776" s="34">
        <v>39073</v>
      </c>
      <c r="H776" s="22" t="s">
        <v>2981</v>
      </c>
      <c r="I776" s="64">
        <v>0</v>
      </c>
      <c r="J776" s="43" t="s">
        <v>1585</v>
      </c>
      <c r="K776" s="17">
        <v>0</v>
      </c>
      <c r="L776" s="59">
        <v>1</v>
      </c>
      <c r="M776" t="s">
        <v>202</v>
      </c>
      <c r="N776" t="s">
        <v>2121</v>
      </c>
      <c r="O776" s="19"/>
      <c r="P776" s="19" t="s">
        <v>1586</v>
      </c>
      <c r="Q776" s="100" t="s">
        <v>1587</v>
      </c>
      <c r="R776" s="95">
        <v>1</v>
      </c>
      <c r="S776" s="95">
        <v>0</v>
      </c>
      <c r="T776" s="95">
        <v>0</v>
      </c>
      <c r="U776" s="95">
        <v>1</v>
      </c>
      <c r="V776" s="95">
        <v>0</v>
      </c>
      <c r="W776" s="95">
        <v>119</v>
      </c>
      <c r="X776" s="95">
        <v>34</v>
      </c>
      <c r="Y776" s="95">
        <v>22</v>
      </c>
      <c r="Z776" s="95">
        <f t="shared" si="77"/>
        <v>175</v>
      </c>
      <c r="AA776" s="11">
        <f t="shared" si="78"/>
        <v>0.68</v>
      </c>
      <c r="AB776" s="11">
        <f t="shared" si="79"/>
        <v>0.19428571428571428</v>
      </c>
      <c r="AC776" s="66">
        <f t="shared" si="80"/>
        <v>0.68</v>
      </c>
      <c r="AD776" s="67">
        <f t="shared" si="81"/>
        <v>0.52</v>
      </c>
    </row>
    <row r="777" spans="1:30" ht="14.5" customHeight="1" x14ac:dyDescent="0.2">
      <c r="A777" t="s">
        <v>2533</v>
      </c>
      <c r="B777" s="95">
        <v>1</v>
      </c>
      <c r="C777" s="95">
        <v>0</v>
      </c>
      <c r="D777" s="19" t="s">
        <v>1592</v>
      </c>
      <c r="E777" s="101" t="s">
        <v>1550</v>
      </c>
      <c r="F777" s="95">
        <f t="shared" si="82"/>
        <v>2007</v>
      </c>
      <c r="G777" s="34">
        <v>39444</v>
      </c>
      <c r="H777" s="22" t="s">
        <v>2981</v>
      </c>
      <c r="I777" s="64">
        <v>0</v>
      </c>
      <c r="J777" s="43" t="s">
        <v>1593</v>
      </c>
      <c r="K777" s="17">
        <v>0</v>
      </c>
      <c r="L777" s="59">
        <v>1</v>
      </c>
      <c r="M777" s="56" t="s">
        <v>2643</v>
      </c>
      <c r="N777" s="56" t="s">
        <v>2121</v>
      </c>
      <c r="O777" s="19"/>
      <c r="P777" s="19" t="s">
        <v>1594</v>
      </c>
      <c r="Q777" s="100" t="s">
        <v>1595</v>
      </c>
      <c r="R777" s="95">
        <v>1</v>
      </c>
      <c r="S777" s="95">
        <v>0</v>
      </c>
      <c r="T777" s="95">
        <v>0</v>
      </c>
      <c r="U777" s="95">
        <v>1</v>
      </c>
      <c r="V777" s="95">
        <v>1</v>
      </c>
      <c r="W777" s="95">
        <v>146</v>
      </c>
      <c r="X777" s="95">
        <v>104</v>
      </c>
      <c r="Y777" s="95">
        <v>6</v>
      </c>
      <c r="Z777" s="95">
        <f t="shared" si="77"/>
        <v>256</v>
      </c>
      <c r="AA777" s="11">
        <f t="shared" si="78"/>
        <v>0.5703125</v>
      </c>
      <c r="AB777" s="11">
        <f t="shared" si="79"/>
        <v>0.40625</v>
      </c>
      <c r="AC777" s="66">
        <f t="shared" si="80"/>
        <v>0.5703125</v>
      </c>
      <c r="AD777" s="67">
        <f t="shared" si="81"/>
        <v>0.35546875</v>
      </c>
    </row>
    <row r="778" spans="1:30" ht="14.5" customHeight="1" x14ac:dyDescent="0.2">
      <c r="A778" t="s">
        <v>2533</v>
      </c>
      <c r="B778" s="95">
        <v>1</v>
      </c>
      <c r="C778" s="95">
        <v>0</v>
      </c>
      <c r="D778" s="19" t="s">
        <v>1596</v>
      </c>
      <c r="E778" s="15" t="s">
        <v>2535</v>
      </c>
      <c r="F778" s="95">
        <f t="shared" si="82"/>
        <v>2008</v>
      </c>
      <c r="G778" s="34">
        <v>39645</v>
      </c>
      <c r="H778" s="22" t="s">
        <v>2981</v>
      </c>
      <c r="I778" s="64">
        <v>0</v>
      </c>
      <c r="J778" s="43" t="s">
        <v>1624</v>
      </c>
      <c r="K778" s="17">
        <v>0</v>
      </c>
      <c r="L778" s="59">
        <v>1</v>
      </c>
      <c r="M778" t="s">
        <v>202</v>
      </c>
      <c r="N778" t="s">
        <v>2121</v>
      </c>
      <c r="O778" s="19"/>
      <c r="P778" s="19" t="s">
        <v>1598</v>
      </c>
      <c r="Q778" s="100" t="s">
        <v>1599</v>
      </c>
      <c r="R778" s="95">
        <v>1</v>
      </c>
      <c r="S778" s="95">
        <v>0</v>
      </c>
      <c r="T778" s="95">
        <v>0</v>
      </c>
      <c r="U778" s="95">
        <v>1</v>
      </c>
      <c r="V778" s="95">
        <v>1</v>
      </c>
      <c r="W778" s="95">
        <v>187</v>
      </c>
      <c r="X778" s="95">
        <v>10</v>
      </c>
      <c r="Y778" s="95">
        <v>2</v>
      </c>
      <c r="Z778" s="95">
        <f t="shared" si="77"/>
        <v>199</v>
      </c>
      <c r="AA778" s="11">
        <f t="shared" si="78"/>
        <v>0.93969849246231152</v>
      </c>
      <c r="AB778" s="11">
        <f t="shared" si="79"/>
        <v>5.0251256281407038E-2</v>
      </c>
      <c r="AC778" s="66">
        <f t="shared" si="80"/>
        <v>0.93969849246231152</v>
      </c>
      <c r="AD778" s="67">
        <f t="shared" si="81"/>
        <v>0.90954773869346739</v>
      </c>
    </row>
    <row r="779" spans="1:30" ht="14.5" customHeight="1" x14ac:dyDescent="0.2">
      <c r="A779" t="s">
        <v>2533</v>
      </c>
      <c r="B779" s="95">
        <v>1</v>
      </c>
      <c r="C779" s="95">
        <v>0</v>
      </c>
      <c r="D779" s="19" t="s">
        <v>1596</v>
      </c>
      <c r="E779" s="15" t="s">
        <v>2535</v>
      </c>
      <c r="F779" s="95">
        <f t="shared" si="82"/>
        <v>2009</v>
      </c>
      <c r="G779" s="34">
        <v>39874</v>
      </c>
      <c r="H779" s="22" t="s">
        <v>2981</v>
      </c>
      <c r="I779" s="64">
        <v>0</v>
      </c>
      <c r="J779" s="43" t="s">
        <v>1600</v>
      </c>
      <c r="K779" s="17">
        <v>0</v>
      </c>
      <c r="L779" s="59">
        <v>1</v>
      </c>
      <c r="M779" t="s">
        <v>2859</v>
      </c>
      <c r="N779" s="54" t="s">
        <v>2631</v>
      </c>
      <c r="O779" s="19"/>
      <c r="P779" s="19" t="s">
        <v>1601</v>
      </c>
      <c r="Q779" s="100" t="s">
        <v>1602</v>
      </c>
      <c r="R779" s="95">
        <v>1</v>
      </c>
      <c r="S779" s="95">
        <v>0</v>
      </c>
      <c r="T779" s="95">
        <v>0</v>
      </c>
      <c r="U779" s="95">
        <v>1</v>
      </c>
      <c r="V779" s="95">
        <v>0</v>
      </c>
      <c r="W779" s="95">
        <v>170</v>
      </c>
      <c r="X779" s="95">
        <v>1</v>
      </c>
      <c r="Y779" s="95">
        <v>1</v>
      </c>
      <c r="Z779" s="95">
        <f t="shared" si="77"/>
        <v>172</v>
      </c>
      <c r="AA779" s="11">
        <f t="shared" si="78"/>
        <v>0.98837209302325579</v>
      </c>
      <c r="AB779" s="11">
        <f t="shared" si="79"/>
        <v>5.8139534883720929E-3</v>
      </c>
      <c r="AC779" s="66">
        <f t="shared" si="80"/>
        <v>0.98837209302325579</v>
      </c>
      <c r="AD779" s="67">
        <f t="shared" si="81"/>
        <v>0.98255813953488369</v>
      </c>
    </row>
    <row r="780" spans="1:30" ht="14.5" customHeight="1" x14ac:dyDescent="0.2">
      <c r="A780" t="s">
        <v>2533</v>
      </c>
      <c r="B780" s="95">
        <v>1</v>
      </c>
      <c r="C780" s="95">
        <v>0</v>
      </c>
      <c r="D780" s="19" t="s">
        <v>1596</v>
      </c>
      <c r="E780" s="15" t="s">
        <v>2535</v>
      </c>
      <c r="F780" s="95">
        <f t="shared" si="82"/>
        <v>2009</v>
      </c>
      <c r="G780" s="34">
        <v>40009</v>
      </c>
      <c r="H780" s="22" t="s">
        <v>2981</v>
      </c>
      <c r="I780" s="64">
        <v>0</v>
      </c>
      <c r="J780" s="43" t="s">
        <v>1603</v>
      </c>
      <c r="K780" s="17">
        <v>0</v>
      </c>
      <c r="L780" s="59">
        <v>1</v>
      </c>
      <c r="M780" t="s">
        <v>202</v>
      </c>
      <c r="N780" t="s">
        <v>2121</v>
      </c>
      <c r="O780" s="19"/>
      <c r="P780" s="19" t="s">
        <v>1604</v>
      </c>
      <c r="Q780" s="100" t="s">
        <v>1605</v>
      </c>
      <c r="R780" s="95">
        <v>1</v>
      </c>
      <c r="S780" s="95">
        <v>0</v>
      </c>
      <c r="T780" s="95">
        <v>0</v>
      </c>
      <c r="U780" s="95">
        <v>1</v>
      </c>
      <c r="V780" s="95">
        <v>1</v>
      </c>
      <c r="W780" s="95">
        <v>221</v>
      </c>
      <c r="X780" s="95">
        <v>11</v>
      </c>
      <c r="Y780" s="95">
        <v>13</v>
      </c>
      <c r="Z780" s="95">
        <f t="shared" si="77"/>
        <v>245</v>
      </c>
      <c r="AA780" s="11">
        <f t="shared" si="78"/>
        <v>0.90204081632653066</v>
      </c>
      <c r="AB780" s="11">
        <f t="shared" si="79"/>
        <v>4.4897959183673466E-2</v>
      </c>
      <c r="AC780" s="66">
        <f t="shared" si="80"/>
        <v>0.90204081632653066</v>
      </c>
      <c r="AD780" s="67">
        <f t="shared" si="81"/>
        <v>0.85306122448979593</v>
      </c>
    </row>
    <row r="781" spans="1:30" ht="14.5" customHeight="1" x14ac:dyDescent="0.2">
      <c r="A781" t="s">
        <v>2533</v>
      </c>
      <c r="B781" s="95">
        <v>1</v>
      </c>
      <c r="C781" s="95">
        <v>0</v>
      </c>
      <c r="D781" s="19" t="s">
        <v>1606</v>
      </c>
      <c r="E781" s="15" t="s">
        <v>2535</v>
      </c>
      <c r="F781" s="95">
        <f t="shared" si="82"/>
        <v>2009</v>
      </c>
      <c r="G781" s="34">
        <v>40176</v>
      </c>
      <c r="H781" s="22" t="s">
        <v>2981</v>
      </c>
      <c r="I781" s="64">
        <v>0</v>
      </c>
      <c r="J781" s="43" t="s">
        <v>1607</v>
      </c>
      <c r="K781" s="17">
        <v>0</v>
      </c>
      <c r="L781" s="59">
        <v>1</v>
      </c>
      <c r="M781" t="s">
        <v>2859</v>
      </c>
      <c r="N781" s="54" t="s">
        <v>2631</v>
      </c>
      <c r="O781" s="19"/>
      <c r="P781" s="19" t="s">
        <v>1608</v>
      </c>
      <c r="Q781" s="100" t="s">
        <v>1609</v>
      </c>
      <c r="R781" s="95">
        <v>1</v>
      </c>
      <c r="S781" s="95">
        <v>0</v>
      </c>
      <c r="T781" s="95">
        <v>0</v>
      </c>
      <c r="U781" s="95">
        <v>1</v>
      </c>
      <c r="V781" s="95">
        <v>1</v>
      </c>
      <c r="W781" s="95">
        <v>183</v>
      </c>
      <c r="X781" s="95">
        <v>2</v>
      </c>
      <c r="Y781" s="95">
        <v>0</v>
      </c>
      <c r="Z781" s="95">
        <f t="shared" si="77"/>
        <v>185</v>
      </c>
      <c r="AA781" s="11">
        <f t="shared" si="78"/>
        <v>0.98918918918918919</v>
      </c>
      <c r="AB781" s="11">
        <f t="shared" si="79"/>
        <v>1.0810810810810811E-2</v>
      </c>
      <c r="AC781" s="66">
        <f t="shared" si="80"/>
        <v>0.98918918918918919</v>
      </c>
      <c r="AD781" s="67">
        <f t="shared" si="81"/>
        <v>0.98378378378378384</v>
      </c>
    </row>
    <row r="782" spans="1:30" ht="14.5" customHeight="1" x14ac:dyDescent="0.2">
      <c r="A782" t="s">
        <v>2533</v>
      </c>
      <c r="B782" s="95">
        <v>1</v>
      </c>
      <c r="C782" s="95">
        <v>0</v>
      </c>
      <c r="D782" s="19" t="s">
        <v>1606</v>
      </c>
      <c r="E782" s="15" t="s">
        <v>2535</v>
      </c>
      <c r="F782" s="95">
        <f t="shared" si="82"/>
        <v>2010</v>
      </c>
      <c r="G782" s="34">
        <v>40218</v>
      </c>
      <c r="H782" s="22" t="s">
        <v>2981</v>
      </c>
      <c r="I782" s="64">
        <v>0</v>
      </c>
      <c r="J782" s="43" t="s">
        <v>1610</v>
      </c>
      <c r="K782" s="17">
        <v>0</v>
      </c>
      <c r="L782" s="59">
        <v>1</v>
      </c>
      <c r="M782" s="22" t="s">
        <v>2550</v>
      </c>
      <c r="N782" s="22" t="s">
        <v>2632</v>
      </c>
      <c r="O782" s="19"/>
      <c r="P782" s="19" t="s">
        <v>1611</v>
      </c>
      <c r="Q782" s="100" t="s">
        <v>1612</v>
      </c>
      <c r="R782" s="95">
        <v>1</v>
      </c>
      <c r="S782" s="95">
        <v>0</v>
      </c>
      <c r="T782" s="95">
        <v>0</v>
      </c>
      <c r="U782" s="95">
        <v>1</v>
      </c>
      <c r="V782" s="95">
        <v>0</v>
      </c>
      <c r="W782" s="95">
        <v>173</v>
      </c>
      <c r="X782" s="95">
        <v>0</v>
      </c>
      <c r="Y782" s="95">
        <v>0</v>
      </c>
      <c r="Z782" s="95">
        <f t="shared" si="77"/>
        <v>173</v>
      </c>
      <c r="AA782" s="11">
        <f t="shared" si="78"/>
        <v>1</v>
      </c>
      <c r="AB782" s="11">
        <f t="shared" si="79"/>
        <v>0</v>
      </c>
      <c r="AC782" s="66">
        <f t="shared" si="80"/>
        <v>1</v>
      </c>
      <c r="AD782" s="67">
        <f t="shared" si="81"/>
        <v>1</v>
      </c>
    </row>
    <row r="783" spans="1:30" ht="14.5" customHeight="1" x14ac:dyDescent="0.2">
      <c r="A783" t="s">
        <v>2533</v>
      </c>
      <c r="B783" s="95">
        <v>1</v>
      </c>
      <c r="C783" s="95">
        <v>0</v>
      </c>
      <c r="D783" s="19" t="s">
        <v>1606</v>
      </c>
      <c r="E783" s="15" t="s">
        <v>2535</v>
      </c>
      <c r="F783" s="95">
        <f t="shared" si="82"/>
        <v>2010</v>
      </c>
      <c r="G783" s="34">
        <v>40234</v>
      </c>
      <c r="H783" s="22" t="s">
        <v>2981</v>
      </c>
      <c r="I783" s="64">
        <v>0</v>
      </c>
      <c r="J783" s="43" t="s">
        <v>1613</v>
      </c>
      <c r="K783" s="17">
        <v>0</v>
      </c>
      <c r="L783" s="59">
        <v>1</v>
      </c>
      <c r="M783" t="s">
        <v>129</v>
      </c>
      <c r="N783" s="56" t="s">
        <v>422</v>
      </c>
      <c r="O783" s="19"/>
      <c r="P783" s="19" t="s">
        <v>1614</v>
      </c>
      <c r="Q783" s="100" t="s">
        <v>1615</v>
      </c>
      <c r="R783" s="102">
        <v>1</v>
      </c>
      <c r="S783" s="102">
        <v>0</v>
      </c>
      <c r="T783" s="95">
        <v>0</v>
      </c>
      <c r="U783" s="95">
        <v>1</v>
      </c>
      <c r="V783" s="95">
        <v>0</v>
      </c>
      <c r="W783" s="95">
        <v>148</v>
      </c>
      <c r="X783" s="95">
        <v>10</v>
      </c>
      <c r="Y783" s="95">
        <v>10</v>
      </c>
      <c r="Z783" s="95">
        <f t="shared" si="77"/>
        <v>168</v>
      </c>
      <c r="AA783" s="11">
        <f t="shared" si="78"/>
        <v>0.88095238095238093</v>
      </c>
      <c r="AB783" s="11">
        <f t="shared" si="79"/>
        <v>5.9523809523809521E-2</v>
      </c>
      <c r="AC783" s="66">
        <f t="shared" si="80"/>
        <v>0.88095238095238093</v>
      </c>
      <c r="AD783" s="67">
        <f t="shared" si="81"/>
        <v>0.8214285714285714</v>
      </c>
    </row>
    <row r="784" spans="1:30" ht="14.5" customHeight="1" x14ac:dyDescent="0.2">
      <c r="A784" t="s">
        <v>2533</v>
      </c>
      <c r="B784" s="95">
        <v>1</v>
      </c>
      <c r="C784" s="95">
        <v>0</v>
      </c>
      <c r="D784" s="19" t="s">
        <v>1616</v>
      </c>
      <c r="E784" s="15" t="s">
        <v>2535</v>
      </c>
      <c r="F784" s="95">
        <f t="shared" si="82"/>
        <v>2010</v>
      </c>
      <c r="G784" s="34">
        <v>40520</v>
      </c>
      <c r="H784" s="22" t="s">
        <v>2981</v>
      </c>
      <c r="I784" s="64">
        <v>0</v>
      </c>
      <c r="J784" s="43" t="s">
        <v>1620</v>
      </c>
      <c r="K784" s="17">
        <v>0</v>
      </c>
      <c r="L784" s="59">
        <v>1</v>
      </c>
      <c r="M784" t="s">
        <v>2859</v>
      </c>
      <c r="N784" s="54" t="s">
        <v>2631</v>
      </c>
      <c r="O784" s="19"/>
      <c r="P784" s="19" t="s">
        <v>1618</v>
      </c>
      <c r="Q784" s="100" t="s">
        <v>1621</v>
      </c>
      <c r="R784" s="95">
        <v>1</v>
      </c>
      <c r="S784" s="95">
        <v>0</v>
      </c>
      <c r="T784" s="95">
        <v>0</v>
      </c>
      <c r="U784" s="95">
        <v>1</v>
      </c>
      <c r="V784" s="95">
        <v>1</v>
      </c>
      <c r="W784" s="95">
        <v>162</v>
      </c>
      <c r="X784" s="95">
        <v>0</v>
      </c>
      <c r="Y784" s="95">
        <v>0</v>
      </c>
      <c r="Z784" s="95">
        <f t="shared" si="77"/>
        <v>162</v>
      </c>
      <c r="AA784" s="11">
        <f t="shared" si="78"/>
        <v>1</v>
      </c>
      <c r="AB784" s="11">
        <f t="shared" si="79"/>
        <v>0</v>
      </c>
      <c r="AC784" s="66">
        <f t="shared" si="80"/>
        <v>1</v>
      </c>
      <c r="AD784" s="67">
        <f t="shared" si="81"/>
        <v>1</v>
      </c>
    </row>
    <row r="785" spans="1:30" ht="14.5" customHeight="1" x14ac:dyDescent="0.2">
      <c r="A785" t="s">
        <v>2533</v>
      </c>
      <c r="B785" s="95">
        <v>1</v>
      </c>
      <c r="C785" s="95">
        <v>0</v>
      </c>
      <c r="D785" s="19" t="s">
        <v>1616</v>
      </c>
      <c r="E785" s="15" t="s">
        <v>2535</v>
      </c>
      <c r="F785" s="95">
        <f t="shared" si="82"/>
        <v>2010</v>
      </c>
      <c r="G785" s="34">
        <v>40520</v>
      </c>
      <c r="H785" s="22" t="s">
        <v>2981</v>
      </c>
      <c r="I785" s="64">
        <v>0</v>
      </c>
      <c r="J785" s="43" t="s">
        <v>1622</v>
      </c>
      <c r="K785" s="17">
        <v>0</v>
      </c>
      <c r="L785" s="59">
        <v>1</v>
      </c>
      <c r="M785" s="22" t="s">
        <v>2550</v>
      </c>
      <c r="N785" s="22" t="s">
        <v>2632</v>
      </c>
      <c r="O785" s="19"/>
      <c r="P785" s="19" t="s">
        <v>1618</v>
      </c>
      <c r="Q785" s="100" t="s">
        <v>1623</v>
      </c>
      <c r="R785" s="95">
        <v>1</v>
      </c>
      <c r="S785" s="95">
        <v>0</v>
      </c>
      <c r="T785" s="95">
        <v>0</v>
      </c>
      <c r="U785" s="95">
        <v>1</v>
      </c>
      <c r="V785" s="95">
        <v>1</v>
      </c>
      <c r="W785" s="95">
        <v>157</v>
      </c>
      <c r="X785" s="95">
        <v>0</v>
      </c>
      <c r="Y785" s="95">
        <v>0</v>
      </c>
      <c r="Z785" s="95">
        <f t="shared" si="77"/>
        <v>157</v>
      </c>
      <c r="AA785" s="11">
        <f t="shared" si="78"/>
        <v>1</v>
      </c>
      <c r="AB785" s="11">
        <f t="shared" si="79"/>
        <v>0</v>
      </c>
      <c r="AC785" s="66">
        <f t="shared" si="80"/>
        <v>1</v>
      </c>
      <c r="AD785" s="67">
        <f t="shared" si="81"/>
        <v>1</v>
      </c>
    </row>
    <row r="786" spans="1:30" ht="14.5" customHeight="1" x14ac:dyDescent="0.2">
      <c r="A786" t="s">
        <v>2533</v>
      </c>
      <c r="B786" s="95">
        <v>1</v>
      </c>
      <c r="C786" s="95">
        <v>0</v>
      </c>
      <c r="D786" s="19" t="s">
        <v>1616</v>
      </c>
      <c r="E786" s="15" t="s">
        <v>2535</v>
      </c>
      <c r="F786" s="95">
        <f t="shared" si="82"/>
        <v>2010</v>
      </c>
      <c r="G786" s="34">
        <v>40520</v>
      </c>
      <c r="H786" s="22" t="s">
        <v>2981</v>
      </c>
      <c r="I786" s="64">
        <v>0</v>
      </c>
      <c r="J786" s="43" t="s">
        <v>1617</v>
      </c>
      <c r="K786" s="17">
        <v>0</v>
      </c>
      <c r="L786" s="59">
        <v>1</v>
      </c>
      <c r="M786" s="56" t="s">
        <v>2644</v>
      </c>
      <c r="N786" s="56" t="s">
        <v>2121</v>
      </c>
      <c r="O786" s="19"/>
      <c r="P786" s="19" t="s">
        <v>1618</v>
      </c>
      <c r="Q786" s="100" t="s">
        <v>1619</v>
      </c>
      <c r="R786" s="102">
        <v>1</v>
      </c>
      <c r="S786" s="102">
        <v>0</v>
      </c>
      <c r="T786" s="95">
        <v>0</v>
      </c>
      <c r="U786" s="95">
        <v>1</v>
      </c>
      <c r="V786" s="95">
        <v>0</v>
      </c>
      <c r="W786" s="95">
        <v>150</v>
      </c>
      <c r="X786" s="95">
        <v>2</v>
      </c>
      <c r="Y786" s="95">
        <v>6</v>
      </c>
      <c r="Z786" s="95">
        <f t="shared" si="77"/>
        <v>158</v>
      </c>
      <c r="AA786" s="11">
        <f t="shared" si="78"/>
        <v>0.94936708860759489</v>
      </c>
      <c r="AB786" s="11">
        <f t="shared" si="79"/>
        <v>1.2658227848101266E-2</v>
      </c>
      <c r="AC786" s="66">
        <f t="shared" si="80"/>
        <v>0.94936708860759489</v>
      </c>
      <c r="AD786" s="67">
        <f t="shared" si="81"/>
        <v>0.92405063291139244</v>
      </c>
    </row>
    <row r="787" spans="1:30" ht="14.5" customHeight="1" x14ac:dyDescent="0.2">
      <c r="A787" t="s">
        <v>2533</v>
      </c>
      <c r="B787" s="95">
        <v>1</v>
      </c>
      <c r="C787" s="95">
        <v>0</v>
      </c>
      <c r="D787" s="19" t="s">
        <v>1616</v>
      </c>
      <c r="E787" s="15" t="s">
        <v>2535</v>
      </c>
      <c r="F787" s="95">
        <f t="shared" si="82"/>
        <v>2010</v>
      </c>
      <c r="G787" s="34">
        <v>40520</v>
      </c>
      <c r="H787" s="22" t="s">
        <v>2981</v>
      </c>
      <c r="I787" s="64">
        <v>0</v>
      </c>
      <c r="J787" s="43" t="s">
        <v>1624</v>
      </c>
      <c r="K787" s="17">
        <v>0</v>
      </c>
      <c r="L787" s="59">
        <v>1</v>
      </c>
      <c r="M787" t="s">
        <v>202</v>
      </c>
      <c r="N787" t="s">
        <v>2121</v>
      </c>
      <c r="O787" s="19"/>
      <c r="P787" s="19" t="s">
        <v>1618</v>
      </c>
      <c r="Q787" s="100" t="s">
        <v>1625</v>
      </c>
      <c r="R787" s="95">
        <v>1</v>
      </c>
      <c r="S787" s="95">
        <v>0</v>
      </c>
      <c r="T787" s="95">
        <v>0</v>
      </c>
      <c r="U787" s="95">
        <v>1</v>
      </c>
      <c r="V787" s="95">
        <v>1</v>
      </c>
      <c r="W787" s="95">
        <v>161</v>
      </c>
      <c r="X787" s="95">
        <v>0</v>
      </c>
      <c r="Y787" s="95">
        <v>0</v>
      </c>
      <c r="Z787" s="95">
        <f t="shared" si="77"/>
        <v>161</v>
      </c>
      <c r="AA787" s="11">
        <f t="shared" si="78"/>
        <v>1</v>
      </c>
      <c r="AB787" s="11">
        <f t="shared" si="79"/>
        <v>0</v>
      </c>
      <c r="AC787" s="66">
        <f t="shared" si="80"/>
        <v>1</v>
      </c>
      <c r="AD787" s="67">
        <f t="shared" si="81"/>
        <v>1</v>
      </c>
    </row>
    <row r="788" spans="1:30" ht="14.5" customHeight="1" x14ac:dyDescent="0.2">
      <c r="A788" t="s">
        <v>2533</v>
      </c>
      <c r="B788" s="95">
        <v>1</v>
      </c>
      <c r="C788" s="95">
        <v>0</v>
      </c>
      <c r="D788" s="19" t="s">
        <v>1616</v>
      </c>
      <c r="E788" s="15" t="s">
        <v>2535</v>
      </c>
      <c r="F788" s="95">
        <f t="shared" si="82"/>
        <v>2011</v>
      </c>
      <c r="G788" s="34">
        <v>40896</v>
      </c>
      <c r="H788" s="22" t="s">
        <v>2981</v>
      </c>
      <c r="I788" s="64">
        <v>0</v>
      </c>
      <c r="J788" s="43" t="s">
        <v>1626</v>
      </c>
      <c r="K788" s="17">
        <v>0</v>
      </c>
      <c r="L788" s="59">
        <v>1</v>
      </c>
      <c r="M788" s="22" t="s">
        <v>2550</v>
      </c>
      <c r="N788" s="22" t="s">
        <v>2632</v>
      </c>
      <c r="O788" s="19"/>
      <c r="P788" s="19" t="s">
        <v>1627</v>
      </c>
      <c r="Q788" s="100" t="s">
        <v>1628</v>
      </c>
      <c r="R788" s="95">
        <v>1</v>
      </c>
      <c r="S788" s="95">
        <v>0</v>
      </c>
      <c r="T788" s="95">
        <v>0</v>
      </c>
      <c r="U788" s="95">
        <v>1</v>
      </c>
      <c r="V788" s="95">
        <v>1</v>
      </c>
      <c r="W788" s="95">
        <v>148</v>
      </c>
      <c r="X788" s="95">
        <v>1</v>
      </c>
      <c r="Y788" s="95">
        <v>1</v>
      </c>
      <c r="Z788" s="95">
        <f t="shared" ref="Z788:Z825" si="83">SUM(W788:Y788)</f>
        <v>150</v>
      </c>
      <c r="AA788" s="11">
        <f t="shared" ref="AA788:AA825" si="84">W788/Z788</f>
        <v>0.98666666666666669</v>
      </c>
      <c r="AB788" s="11">
        <f t="shared" ref="AB788:AB825" si="85">X788/Z788</f>
        <v>6.6666666666666671E-3</v>
      </c>
      <c r="AC788" s="66">
        <f t="shared" ref="AC788:AC825" si="86">IF(K788=1,AB788,AA788)</f>
        <v>0.98666666666666669</v>
      </c>
      <c r="AD788" s="67">
        <f t="shared" ref="AD788:AD825" si="87">SUM((MAX(W788,X788,Y788)-0.5*(SUM(W788+X788+Y788)-MAX(W788,X788,Y788)))/SUM(W788+X788+Y788))</f>
        <v>0.98</v>
      </c>
    </row>
    <row r="789" spans="1:30" ht="15" customHeight="1" x14ac:dyDescent="0.2">
      <c r="A789" t="s">
        <v>2533</v>
      </c>
      <c r="B789" s="95">
        <v>1</v>
      </c>
      <c r="C789" s="95">
        <v>0</v>
      </c>
      <c r="D789" s="19" t="s">
        <v>1616</v>
      </c>
      <c r="E789" s="15" t="s">
        <v>2535</v>
      </c>
      <c r="F789" s="95">
        <f t="shared" si="82"/>
        <v>2011</v>
      </c>
      <c r="G789" s="34">
        <v>40896</v>
      </c>
      <c r="H789" s="22" t="s">
        <v>2981</v>
      </c>
      <c r="I789" s="64">
        <v>0</v>
      </c>
      <c r="J789" s="43" t="s">
        <v>1629</v>
      </c>
      <c r="K789" s="17">
        <v>0</v>
      </c>
      <c r="L789" s="59">
        <v>1</v>
      </c>
      <c r="M789" t="s">
        <v>202</v>
      </c>
      <c r="N789" t="s">
        <v>2121</v>
      </c>
      <c r="O789" s="19"/>
      <c r="P789" s="19" t="s">
        <v>1627</v>
      </c>
      <c r="Q789" s="100" t="s">
        <v>1630</v>
      </c>
      <c r="R789" s="95">
        <v>1</v>
      </c>
      <c r="S789" s="95">
        <v>0</v>
      </c>
      <c r="T789" s="95">
        <v>0</v>
      </c>
      <c r="U789" s="95">
        <v>1</v>
      </c>
      <c r="V789" s="95">
        <v>1</v>
      </c>
      <c r="W789" s="95">
        <v>145</v>
      </c>
      <c r="X789" s="95">
        <v>3</v>
      </c>
      <c r="Y789" s="95">
        <v>1</v>
      </c>
      <c r="Z789" s="95">
        <f t="shared" si="83"/>
        <v>149</v>
      </c>
      <c r="AA789" s="11">
        <f t="shared" si="84"/>
        <v>0.97315436241610742</v>
      </c>
      <c r="AB789" s="11">
        <f t="shared" si="85"/>
        <v>2.0134228187919462E-2</v>
      </c>
      <c r="AC789" s="66">
        <f t="shared" si="86"/>
        <v>0.97315436241610742</v>
      </c>
      <c r="AD789" s="67">
        <f t="shared" si="87"/>
        <v>0.95973154362416102</v>
      </c>
    </row>
    <row r="790" spans="1:30" ht="16" x14ac:dyDescent="0.2">
      <c r="A790" t="s">
        <v>2533</v>
      </c>
      <c r="B790" s="95">
        <v>1</v>
      </c>
      <c r="C790" s="95">
        <v>0</v>
      </c>
      <c r="D790" s="19" t="s">
        <v>1616</v>
      </c>
      <c r="E790" s="15" t="s">
        <v>2535</v>
      </c>
      <c r="F790" s="95">
        <f t="shared" si="82"/>
        <v>2011</v>
      </c>
      <c r="G790" s="34">
        <v>40899</v>
      </c>
      <c r="H790" s="22" t="s">
        <v>2981</v>
      </c>
      <c r="I790" s="64">
        <v>0</v>
      </c>
      <c r="J790" s="43" t="s">
        <v>1607</v>
      </c>
      <c r="K790" s="17">
        <v>0</v>
      </c>
      <c r="L790" s="59">
        <v>1</v>
      </c>
      <c r="M790" t="s">
        <v>2859</v>
      </c>
      <c r="N790" s="54" t="s">
        <v>2631</v>
      </c>
      <c r="O790" s="19"/>
      <c r="P790" s="19" t="s">
        <v>1631</v>
      </c>
      <c r="Q790" s="100" t="s">
        <v>1632</v>
      </c>
      <c r="R790" s="95">
        <v>1</v>
      </c>
      <c r="S790" s="95">
        <v>0</v>
      </c>
      <c r="T790" s="95">
        <v>0</v>
      </c>
      <c r="U790" s="95">
        <v>1</v>
      </c>
      <c r="V790" s="95">
        <v>1</v>
      </c>
      <c r="W790" s="95">
        <v>161</v>
      </c>
      <c r="X790" s="95">
        <v>1</v>
      </c>
      <c r="Y790" s="95">
        <v>2</v>
      </c>
      <c r="Z790" s="95">
        <f t="shared" si="83"/>
        <v>164</v>
      </c>
      <c r="AA790" s="11">
        <f t="shared" si="84"/>
        <v>0.98170731707317072</v>
      </c>
      <c r="AB790" s="11">
        <f t="shared" si="85"/>
        <v>6.0975609756097563E-3</v>
      </c>
      <c r="AC790" s="66">
        <f t="shared" si="86"/>
        <v>0.98170731707317072</v>
      </c>
      <c r="AD790" s="67">
        <f t="shared" si="87"/>
        <v>0.97256097560975607</v>
      </c>
    </row>
    <row r="791" spans="1:30" ht="14.5" customHeight="1" x14ac:dyDescent="0.2">
      <c r="A791" t="s">
        <v>2533</v>
      </c>
      <c r="B791" s="95">
        <v>1</v>
      </c>
      <c r="C791" s="95">
        <v>0</v>
      </c>
      <c r="D791" s="19" t="s">
        <v>1616</v>
      </c>
      <c r="E791" s="15" t="s">
        <v>1597</v>
      </c>
      <c r="F791" s="95">
        <f t="shared" si="82"/>
        <v>2012</v>
      </c>
      <c r="G791" s="34">
        <v>41179</v>
      </c>
      <c r="H791" s="22" t="s">
        <v>2981</v>
      </c>
      <c r="I791" s="64">
        <v>0</v>
      </c>
      <c r="J791" s="43" t="s">
        <v>1633</v>
      </c>
      <c r="K791" s="17">
        <v>0</v>
      </c>
      <c r="L791" s="59">
        <v>1</v>
      </c>
      <c r="M791" s="22" t="s">
        <v>2577</v>
      </c>
      <c r="N791" s="22" t="s">
        <v>2629</v>
      </c>
      <c r="O791" s="19"/>
      <c r="P791" s="19" t="s">
        <v>1634</v>
      </c>
      <c r="Q791" s="100" t="s">
        <v>1635</v>
      </c>
      <c r="R791" s="95">
        <v>1</v>
      </c>
      <c r="S791" s="95">
        <v>0</v>
      </c>
      <c r="T791" s="95">
        <v>0</v>
      </c>
      <c r="U791" s="95">
        <v>1</v>
      </c>
      <c r="V791" s="95">
        <v>0</v>
      </c>
      <c r="W791" s="95">
        <v>113</v>
      </c>
      <c r="X791" s="95">
        <v>27</v>
      </c>
      <c r="Y791" s="95">
        <v>19</v>
      </c>
      <c r="Z791" s="95">
        <f t="shared" si="83"/>
        <v>159</v>
      </c>
      <c r="AA791" s="11">
        <f t="shared" si="84"/>
        <v>0.71069182389937102</v>
      </c>
      <c r="AB791" s="11">
        <f t="shared" si="85"/>
        <v>0.16981132075471697</v>
      </c>
      <c r="AC791" s="66">
        <f t="shared" si="86"/>
        <v>0.71069182389937102</v>
      </c>
      <c r="AD791" s="67">
        <f t="shared" si="87"/>
        <v>0.56603773584905659</v>
      </c>
    </row>
    <row r="792" spans="1:30" ht="16" x14ac:dyDescent="0.2">
      <c r="A792" t="s">
        <v>2533</v>
      </c>
      <c r="B792" s="95">
        <v>1</v>
      </c>
      <c r="C792" s="95">
        <v>0</v>
      </c>
      <c r="D792" s="19" t="s">
        <v>1616</v>
      </c>
      <c r="E792" s="15" t="s">
        <v>1597</v>
      </c>
      <c r="F792" s="95">
        <f t="shared" si="82"/>
        <v>2012</v>
      </c>
      <c r="G792" s="34">
        <v>41235</v>
      </c>
      <c r="H792" s="22" t="s">
        <v>2981</v>
      </c>
      <c r="I792" s="64">
        <v>0</v>
      </c>
      <c r="J792" s="43" t="s">
        <v>1639</v>
      </c>
      <c r="K792" s="17">
        <v>0</v>
      </c>
      <c r="L792" s="59">
        <v>1</v>
      </c>
      <c r="M792" t="s">
        <v>2859</v>
      </c>
      <c r="N792" s="54" t="s">
        <v>2631</v>
      </c>
      <c r="O792" s="19"/>
      <c r="P792" s="19" t="s">
        <v>1637</v>
      </c>
      <c r="Q792" s="100" t="s">
        <v>1640</v>
      </c>
      <c r="R792" s="95">
        <v>1</v>
      </c>
      <c r="S792" s="95">
        <v>0</v>
      </c>
      <c r="T792" s="95">
        <v>0</v>
      </c>
      <c r="U792" s="95">
        <v>1</v>
      </c>
      <c r="V792" s="95">
        <v>1</v>
      </c>
      <c r="W792" s="95">
        <v>152</v>
      </c>
      <c r="X792" s="95">
        <v>19</v>
      </c>
      <c r="Y792" s="95">
        <v>15</v>
      </c>
      <c r="Z792" s="95">
        <f t="shared" si="83"/>
        <v>186</v>
      </c>
      <c r="AA792" s="11">
        <f t="shared" si="84"/>
        <v>0.81720430107526887</v>
      </c>
      <c r="AB792" s="11">
        <f t="shared" si="85"/>
        <v>0.10215053763440861</v>
      </c>
      <c r="AC792" s="66">
        <f t="shared" si="86"/>
        <v>0.81720430107526887</v>
      </c>
      <c r="AD792" s="67">
        <f t="shared" si="87"/>
        <v>0.72580645161290325</v>
      </c>
    </row>
    <row r="793" spans="1:30" ht="14.5" customHeight="1" x14ac:dyDescent="0.2">
      <c r="A793" t="s">
        <v>2533</v>
      </c>
      <c r="B793" s="95">
        <v>1</v>
      </c>
      <c r="C793" s="95">
        <v>0</v>
      </c>
      <c r="D793" s="19" t="s">
        <v>1616</v>
      </c>
      <c r="E793" s="15" t="s">
        <v>1597</v>
      </c>
      <c r="F793" s="95">
        <f t="shared" si="82"/>
        <v>2012</v>
      </c>
      <c r="G793" s="34">
        <v>41235</v>
      </c>
      <c r="H793" s="22" t="s">
        <v>2981</v>
      </c>
      <c r="I793" s="64">
        <v>0</v>
      </c>
      <c r="J793" s="43" t="s">
        <v>1636</v>
      </c>
      <c r="K793" s="17">
        <v>0</v>
      </c>
      <c r="L793" s="59">
        <v>1</v>
      </c>
      <c r="M793" t="s">
        <v>129</v>
      </c>
      <c r="N793" s="56" t="s">
        <v>422</v>
      </c>
      <c r="O793" s="19"/>
      <c r="P793" s="19" t="s">
        <v>1637</v>
      </c>
      <c r="Q793" s="100" t="s">
        <v>1638</v>
      </c>
      <c r="R793" s="102">
        <v>1</v>
      </c>
      <c r="S793" s="102">
        <v>0</v>
      </c>
      <c r="T793" s="95">
        <v>0</v>
      </c>
      <c r="U793" s="95">
        <v>1</v>
      </c>
      <c r="V793" s="95">
        <v>1</v>
      </c>
      <c r="W793" s="95">
        <v>112</v>
      </c>
      <c r="X793" s="95">
        <v>47</v>
      </c>
      <c r="Y793" s="95">
        <v>22</v>
      </c>
      <c r="Z793" s="95">
        <f t="shared" si="83"/>
        <v>181</v>
      </c>
      <c r="AA793" s="11">
        <f t="shared" si="84"/>
        <v>0.61878453038674031</v>
      </c>
      <c r="AB793" s="11">
        <f t="shared" si="85"/>
        <v>0.25966850828729282</v>
      </c>
      <c r="AC793" s="66">
        <f t="shared" si="86"/>
        <v>0.61878453038674031</v>
      </c>
      <c r="AD793" s="67">
        <f t="shared" si="87"/>
        <v>0.42817679558011051</v>
      </c>
    </row>
    <row r="794" spans="1:30" ht="14.5" customHeight="1" x14ac:dyDescent="0.2">
      <c r="A794" t="s">
        <v>2533</v>
      </c>
      <c r="B794" s="95">
        <v>1</v>
      </c>
      <c r="C794" s="95">
        <v>0</v>
      </c>
      <c r="D794" s="19" t="s">
        <v>1616</v>
      </c>
      <c r="E794" s="15" t="s">
        <v>1597</v>
      </c>
      <c r="F794" s="95">
        <f t="shared" si="82"/>
        <v>2012</v>
      </c>
      <c r="G794" s="34">
        <v>41235</v>
      </c>
      <c r="H794" s="22" t="s">
        <v>2981</v>
      </c>
      <c r="I794" s="64">
        <v>0</v>
      </c>
      <c r="J794" s="43" t="s">
        <v>1641</v>
      </c>
      <c r="K794" s="17">
        <v>0</v>
      </c>
      <c r="L794" s="59">
        <v>1</v>
      </c>
      <c r="M794" s="56" t="s">
        <v>2644</v>
      </c>
      <c r="N794" s="56" t="s">
        <v>2121</v>
      </c>
      <c r="O794" s="19"/>
      <c r="P794" s="19" t="s">
        <v>1637</v>
      </c>
      <c r="Q794" s="100" t="s">
        <v>1642</v>
      </c>
      <c r="R794" s="102">
        <v>1</v>
      </c>
      <c r="S794" s="102">
        <v>0</v>
      </c>
      <c r="T794" s="95">
        <v>0</v>
      </c>
      <c r="U794" s="95">
        <v>1</v>
      </c>
      <c r="V794" s="95">
        <v>1</v>
      </c>
      <c r="W794" s="95">
        <v>109</v>
      </c>
      <c r="X794" s="95">
        <v>62</v>
      </c>
      <c r="Y794" s="95">
        <v>19</v>
      </c>
      <c r="Z794" s="95">
        <f t="shared" si="83"/>
        <v>190</v>
      </c>
      <c r="AA794" s="11">
        <f t="shared" si="84"/>
        <v>0.5736842105263158</v>
      </c>
      <c r="AB794" s="11">
        <f t="shared" si="85"/>
        <v>0.32631578947368423</v>
      </c>
      <c r="AC794" s="66">
        <f t="shared" si="86"/>
        <v>0.5736842105263158</v>
      </c>
      <c r="AD794" s="67">
        <f t="shared" si="87"/>
        <v>0.36052631578947369</v>
      </c>
    </row>
    <row r="795" spans="1:30" ht="14.5" customHeight="1" x14ac:dyDescent="0.2">
      <c r="A795" t="s">
        <v>2533</v>
      </c>
      <c r="B795" s="95">
        <v>1</v>
      </c>
      <c r="C795" s="95">
        <v>0</v>
      </c>
      <c r="D795" s="19" t="s">
        <v>1616</v>
      </c>
      <c r="E795" s="15" t="s">
        <v>1597</v>
      </c>
      <c r="F795" s="95">
        <f t="shared" si="82"/>
        <v>2012</v>
      </c>
      <c r="G795" s="34">
        <v>41235</v>
      </c>
      <c r="H795" s="22" t="s">
        <v>2981</v>
      </c>
      <c r="I795" s="64">
        <v>0</v>
      </c>
      <c r="J795" s="43" t="s">
        <v>1629</v>
      </c>
      <c r="K795" s="17">
        <v>0</v>
      </c>
      <c r="L795" s="59">
        <v>1</v>
      </c>
      <c r="M795" t="s">
        <v>202</v>
      </c>
      <c r="N795" t="s">
        <v>2121</v>
      </c>
      <c r="O795" s="19"/>
      <c r="P795" s="19" t="s">
        <v>1637</v>
      </c>
      <c r="Q795" s="100" t="s">
        <v>1643</v>
      </c>
      <c r="R795" s="95">
        <v>1</v>
      </c>
      <c r="S795" s="95">
        <v>0</v>
      </c>
      <c r="T795" s="95">
        <v>0</v>
      </c>
      <c r="U795" s="95">
        <v>1</v>
      </c>
      <c r="V795" s="95">
        <v>1</v>
      </c>
      <c r="W795" s="95">
        <v>118</v>
      </c>
      <c r="X795" s="95">
        <v>15</v>
      </c>
      <c r="Y795" s="95">
        <v>20</v>
      </c>
      <c r="Z795" s="95">
        <f t="shared" si="83"/>
        <v>153</v>
      </c>
      <c r="AA795" s="11">
        <f t="shared" si="84"/>
        <v>0.77124183006535951</v>
      </c>
      <c r="AB795" s="11">
        <f t="shared" si="85"/>
        <v>9.8039215686274508E-2</v>
      </c>
      <c r="AC795" s="66">
        <f t="shared" si="86"/>
        <v>0.77124183006535951</v>
      </c>
      <c r="AD795" s="67">
        <f t="shared" si="87"/>
        <v>0.65686274509803921</v>
      </c>
    </row>
    <row r="796" spans="1:30" ht="14.5" customHeight="1" x14ac:dyDescent="0.2">
      <c r="A796" t="s">
        <v>2533</v>
      </c>
      <c r="B796" s="95">
        <v>1</v>
      </c>
      <c r="C796" s="95">
        <v>1</v>
      </c>
      <c r="D796" s="19" t="s">
        <v>1644</v>
      </c>
      <c r="E796" s="15" t="s">
        <v>2536</v>
      </c>
      <c r="F796" s="95">
        <f t="shared" si="82"/>
        <v>2013</v>
      </c>
      <c r="G796" s="34">
        <v>41613</v>
      </c>
      <c r="H796" s="22" t="s">
        <v>2981</v>
      </c>
      <c r="I796" s="64">
        <v>0</v>
      </c>
      <c r="J796" s="43" t="s">
        <v>1645</v>
      </c>
      <c r="K796" s="17">
        <v>0</v>
      </c>
      <c r="L796" s="59">
        <v>1</v>
      </c>
      <c r="M796" s="56" t="s">
        <v>2852</v>
      </c>
      <c r="N796" s="56" t="s">
        <v>2634</v>
      </c>
      <c r="O796" s="19"/>
      <c r="P796" s="19" t="s">
        <v>1646</v>
      </c>
      <c r="Q796" s="100" t="s">
        <v>1647</v>
      </c>
      <c r="R796" s="95">
        <v>0</v>
      </c>
      <c r="S796" s="95">
        <v>1</v>
      </c>
      <c r="T796" s="95">
        <v>0</v>
      </c>
      <c r="U796" s="95">
        <v>1</v>
      </c>
      <c r="V796" s="95">
        <v>0</v>
      </c>
      <c r="W796" s="95">
        <v>240</v>
      </c>
      <c r="X796" s="95">
        <v>0</v>
      </c>
      <c r="Y796" s="95">
        <v>6</v>
      </c>
      <c r="Z796" s="95">
        <f t="shared" si="83"/>
        <v>246</v>
      </c>
      <c r="AA796" s="11">
        <f t="shared" si="84"/>
        <v>0.97560975609756095</v>
      </c>
      <c r="AB796" s="11">
        <f t="shared" si="85"/>
        <v>0</v>
      </c>
      <c r="AC796" s="66">
        <f t="shared" si="86"/>
        <v>0.97560975609756095</v>
      </c>
      <c r="AD796" s="67">
        <f t="shared" si="87"/>
        <v>0.96341463414634143</v>
      </c>
    </row>
    <row r="797" spans="1:30" ht="15" customHeight="1" x14ac:dyDescent="0.2">
      <c r="A797" t="s">
        <v>2533</v>
      </c>
      <c r="B797" s="95">
        <v>1</v>
      </c>
      <c r="C797" s="95">
        <v>1</v>
      </c>
      <c r="D797" s="19" t="s">
        <v>1644</v>
      </c>
      <c r="E797" s="15" t="s">
        <v>2536</v>
      </c>
      <c r="F797" s="95">
        <f t="shared" si="82"/>
        <v>2013</v>
      </c>
      <c r="G797" s="103">
        <v>41627</v>
      </c>
      <c r="H797" s="22" t="s">
        <v>2981</v>
      </c>
      <c r="I797" s="64">
        <v>0</v>
      </c>
      <c r="J797" s="43" t="s">
        <v>1629</v>
      </c>
      <c r="K797" s="17">
        <v>0</v>
      </c>
      <c r="L797" s="59">
        <v>1</v>
      </c>
      <c r="M797" t="s">
        <v>202</v>
      </c>
      <c r="N797" t="s">
        <v>2121</v>
      </c>
      <c r="O797" s="19"/>
      <c r="P797" s="19" t="s">
        <v>1648</v>
      </c>
      <c r="Q797" s="100" t="s">
        <v>1649</v>
      </c>
      <c r="R797" s="95">
        <v>1</v>
      </c>
      <c r="S797" s="95">
        <v>0</v>
      </c>
      <c r="T797" s="95">
        <v>0</v>
      </c>
      <c r="U797" s="95">
        <v>1</v>
      </c>
      <c r="V797" s="95">
        <v>1</v>
      </c>
      <c r="W797" s="95">
        <v>171</v>
      </c>
      <c r="X797" s="95">
        <v>13</v>
      </c>
      <c r="Y797" s="95">
        <v>10</v>
      </c>
      <c r="Z797" s="95">
        <f t="shared" si="83"/>
        <v>194</v>
      </c>
      <c r="AA797" s="11">
        <f t="shared" si="84"/>
        <v>0.88144329896907214</v>
      </c>
      <c r="AB797" s="11">
        <f t="shared" si="85"/>
        <v>6.7010309278350513E-2</v>
      </c>
      <c r="AC797" s="66">
        <f t="shared" si="86"/>
        <v>0.88144329896907214</v>
      </c>
      <c r="AD797" s="67">
        <f t="shared" si="87"/>
        <v>0.82216494845360821</v>
      </c>
    </row>
    <row r="798" spans="1:30" ht="14.5" customHeight="1" x14ac:dyDescent="0.2">
      <c r="A798" t="s">
        <v>2533</v>
      </c>
      <c r="B798" s="95">
        <v>1</v>
      </c>
      <c r="C798" s="95">
        <v>1</v>
      </c>
      <c r="D798" s="19" t="s">
        <v>1644</v>
      </c>
      <c r="E798" s="15" t="s">
        <v>2536</v>
      </c>
      <c r="F798" s="95">
        <f t="shared" si="82"/>
        <v>2013</v>
      </c>
      <c r="G798" s="103">
        <v>41627</v>
      </c>
      <c r="H798" s="22" t="s">
        <v>2981</v>
      </c>
      <c r="I798" s="64">
        <v>0</v>
      </c>
      <c r="J798" s="43" t="s">
        <v>1650</v>
      </c>
      <c r="K798" s="17">
        <v>0</v>
      </c>
      <c r="L798" s="59">
        <v>1</v>
      </c>
      <c r="M798" s="22" t="s">
        <v>2577</v>
      </c>
      <c r="N798" s="22" t="s">
        <v>2629</v>
      </c>
      <c r="O798" s="19"/>
      <c r="P798" s="19" t="s">
        <v>1648</v>
      </c>
      <c r="Q798" s="100" t="s">
        <v>1651</v>
      </c>
      <c r="R798" s="95">
        <v>1</v>
      </c>
      <c r="S798" s="95">
        <v>0</v>
      </c>
      <c r="T798" s="95">
        <v>0</v>
      </c>
      <c r="U798" s="95">
        <v>1</v>
      </c>
      <c r="V798" s="95">
        <v>1</v>
      </c>
      <c r="W798" s="95">
        <v>180</v>
      </c>
      <c r="X798" s="95">
        <v>13</v>
      </c>
      <c r="Y798" s="95">
        <v>7</v>
      </c>
      <c r="Z798" s="95">
        <f t="shared" si="83"/>
        <v>200</v>
      </c>
      <c r="AA798" s="11">
        <f t="shared" si="84"/>
        <v>0.9</v>
      </c>
      <c r="AB798" s="11">
        <f t="shared" si="85"/>
        <v>6.5000000000000002E-2</v>
      </c>
      <c r="AC798" s="66">
        <f t="shared" si="86"/>
        <v>0.9</v>
      </c>
      <c r="AD798" s="67">
        <f t="shared" si="87"/>
        <v>0.85</v>
      </c>
    </row>
    <row r="799" spans="1:30" ht="14" customHeight="1" x14ac:dyDescent="0.2">
      <c r="A799" t="s">
        <v>2533</v>
      </c>
      <c r="B799" s="95">
        <v>1</v>
      </c>
      <c r="C799" s="95">
        <v>1</v>
      </c>
      <c r="D799" s="19" t="s">
        <v>1644</v>
      </c>
      <c r="E799" s="15" t="s">
        <v>2536</v>
      </c>
      <c r="F799" s="95">
        <f t="shared" si="82"/>
        <v>2013</v>
      </c>
      <c r="G799" s="34">
        <v>41634</v>
      </c>
      <c r="H799" s="22" t="s">
        <v>2981</v>
      </c>
      <c r="I799" s="64">
        <v>0</v>
      </c>
      <c r="J799" s="43" t="s">
        <v>1652</v>
      </c>
      <c r="K799" s="17">
        <v>0</v>
      </c>
      <c r="L799" s="59">
        <v>1</v>
      </c>
      <c r="M799" t="s">
        <v>2859</v>
      </c>
      <c r="N799" s="54" t="s">
        <v>2631</v>
      </c>
      <c r="O799" s="19"/>
      <c r="P799" s="19" t="s">
        <v>1653</v>
      </c>
      <c r="Q799" s="100" t="s">
        <v>1654</v>
      </c>
      <c r="R799" s="95">
        <v>1</v>
      </c>
      <c r="S799" s="95">
        <v>0</v>
      </c>
      <c r="T799" s="95">
        <v>0</v>
      </c>
      <c r="U799" s="95">
        <v>1</v>
      </c>
      <c r="V799" s="95">
        <v>1</v>
      </c>
      <c r="W799" s="95">
        <v>171</v>
      </c>
      <c r="X799" s="95">
        <v>21</v>
      </c>
      <c r="Y799" s="95">
        <v>17</v>
      </c>
      <c r="Z799" s="95">
        <f t="shared" si="83"/>
        <v>209</v>
      </c>
      <c r="AA799" s="11">
        <f t="shared" si="84"/>
        <v>0.81818181818181823</v>
      </c>
      <c r="AB799" s="11">
        <f t="shared" si="85"/>
        <v>0.10047846889952153</v>
      </c>
      <c r="AC799" s="66">
        <f t="shared" si="86"/>
        <v>0.81818181818181823</v>
      </c>
      <c r="AD799" s="67">
        <f t="shared" si="87"/>
        <v>0.72727272727272729</v>
      </c>
    </row>
    <row r="800" spans="1:30" ht="14.5" customHeight="1" x14ac:dyDescent="0.2">
      <c r="A800" t="s">
        <v>2533</v>
      </c>
      <c r="B800" s="95">
        <v>1</v>
      </c>
      <c r="C800" s="95">
        <v>1</v>
      </c>
      <c r="D800" s="19" t="s">
        <v>1644</v>
      </c>
      <c r="E800" s="15" t="s">
        <v>2536</v>
      </c>
      <c r="F800" s="95">
        <f t="shared" si="82"/>
        <v>2013</v>
      </c>
      <c r="G800" s="34">
        <v>41634</v>
      </c>
      <c r="H800" s="22" t="s">
        <v>2981</v>
      </c>
      <c r="I800" s="64">
        <v>0</v>
      </c>
      <c r="J800" s="43" t="s">
        <v>1657</v>
      </c>
      <c r="K800" s="17">
        <v>0</v>
      </c>
      <c r="L800" s="59">
        <v>1</v>
      </c>
      <c r="M800" t="s">
        <v>129</v>
      </c>
      <c r="N800" s="56" t="s">
        <v>422</v>
      </c>
      <c r="O800" s="19"/>
      <c r="P800" s="19" t="s">
        <v>1653</v>
      </c>
      <c r="Q800" s="100" t="s">
        <v>1658</v>
      </c>
      <c r="R800" s="102">
        <v>1</v>
      </c>
      <c r="S800" s="102">
        <v>0</v>
      </c>
      <c r="T800" s="95">
        <v>0</v>
      </c>
      <c r="U800" s="95">
        <v>1</v>
      </c>
      <c r="V800" s="95">
        <v>1</v>
      </c>
      <c r="W800" s="95">
        <v>158</v>
      </c>
      <c r="X800" s="95">
        <v>31</v>
      </c>
      <c r="Y800" s="95">
        <v>19</v>
      </c>
      <c r="Z800" s="95">
        <f t="shared" si="83"/>
        <v>208</v>
      </c>
      <c r="AA800" s="11">
        <f t="shared" si="84"/>
        <v>0.75961538461538458</v>
      </c>
      <c r="AB800" s="11">
        <f t="shared" si="85"/>
        <v>0.14903846153846154</v>
      </c>
      <c r="AC800" s="66">
        <f t="shared" si="86"/>
        <v>0.75961538461538458</v>
      </c>
      <c r="AD800" s="67">
        <f t="shared" si="87"/>
        <v>0.63942307692307687</v>
      </c>
    </row>
    <row r="801" spans="1:30" ht="14.5" customHeight="1" x14ac:dyDescent="0.2">
      <c r="A801" t="s">
        <v>2533</v>
      </c>
      <c r="B801" s="95">
        <v>1</v>
      </c>
      <c r="C801" s="95">
        <v>1</v>
      </c>
      <c r="D801" s="19" t="s">
        <v>1644</v>
      </c>
      <c r="E801" s="15" t="s">
        <v>2536</v>
      </c>
      <c r="F801" s="95">
        <f t="shared" si="82"/>
        <v>2013</v>
      </c>
      <c r="G801" s="34">
        <v>41634</v>
      </c>
      <c r="H801" s="22" t="s">
        <v>2981</v>
      </c>
      <c r="I801" s="64">
        <v>0</v>
      </c>
      <c r="J801" s="43" t="s">
        <v>1655</v>
      </c>
      <c r="K801" s="17">
        <v>0</v>
      </c>
      <c r="L801" s="59">
        <v>1</v>
      </c>
      <c r="M801" s="56" t="s">
        <v>2644</v>
      </c>
      <c r="N801" s="56" t="s">
        <v>2121</v>
      </c>
      <c r="O801" s="19"/>
      <c r="P801" s="19" t="s">
        <v>1653</v>
      </c>
      <c r="Q801" s="100" t="s">
        <v>1656</v>
      </c>
      <c r="R801" s="95">
        <v>1</v>
      </c>
      <c r="S801" s="95">
        <v>0</v>
      </c>
      <c r="T801" s="95">
        <v>0</v>
      </c>
      <c r="U801" s="95">
        <v>1</v>
      </c>
      <c r="V801" s="95">
        <v>1</v>
      </c>
      <c r="W801" s="95">
        <v>111</v>
      </c>
      <c r="X801" s="95">
        <v>44</v>
      </c>
      <c r="Y801" s="95">
        <v>19</v>
      </c>
      <c r="Z801" s="95">
        <f t="shared" si="83"/>
        <v>174</v>
      </c>
      <c r="AA801" s="11">
        <f t="shared" si="84"/>
        <v>0.63793103448275867</v>
      </c>
      <c r="AB801" s="11">
        <f t="shared" si="85"/>
        <v>0.25287356321839083</v>
      </c>
      <c r="AC801" s="66">
        <f t="shared" si="86"/>
        <v>0.63793103448275867</v>
      </c>
      <c r="AD801" s="67">
        <f t="shared" si="87"/>
        <v>0.45689655172413796</v>
      </c>
    </row>
    <row r="802" spans="1:30" ht="12.75" customHeight="1" x14ac:dyDescent="0.2">
      <c r="A802" t="s">
        <v>2533</v>
      </c>
      <c r="B802" s="95">
        <v>1</v>
      </c>
      <c r="C802" s="95">
        <v>1</v>
      </c>
      <c r="D802" s="19" t="s">
        <v>1644</v>
      </c>
      <c r="E802" s="15" t="s">
        <v>2536</v>
      </c>
      <c r="F802" s="95">
        <f t="shared" si="82"/>
        <v>2014</v>
      </c>
      <c r="G802" s="34">
        <v>41975</v>
      </c>
      <c r="H802" s="22" t="s">
        <v>2981</v>
      </c>
      <c r="I802" s="64">
        <v>0</v>
      </c>
      <c r="J802" s="43" t="s">
        <v>1620</v>
      </c>
      <c r="K802" s="17">
        <v>0</v>
      </c>
      <c r="L802" s="59">
        <v>1</v>
      </c>
      <c r="M802" t="s">
        <v>2859</v>
      </c>
      <c r="N802" s="54" t="s">
        <v>2631</v>
      </c>
      <c r="O802" s="19"/>
      <c r="P802" s="19" t="s">
        <v>1659</v>
      </c>
      <c r="Q802" s="100" t="s">
        <v>1663</v>
      </c>
      <c r="R802" s="95">
        <v>1</v>
      </c>
      <c r="S802" s="95">
        <v>0</v>
      </c>
      <c r="T802" s="95">
        <v>0</v>
      </c>
      <c r="U802" s="95">
        <v>1</v>
      </c>
      <c r="V802" s="95">
        <v>1</v>
      </c>
      <c r="W802" s="95">
        <v>215</v>
      </c>
      <c r="X802" s="95">
        <v>12</v>
      </c>
      <c r="Y802" s="95">
        <v>16</v>
      </c>
      <c r="Z802" s="95">
        <f t="shared" si="83"/>
        <v>243</v>
      </c>
      <c r="AA802" s="11">
        <f t="shared" si="84"/>
        <v>0.8847736625514403</v>
      </c>
      <c r="AB802" s="11">
        <f t="shared" si="85"/>
        <v>4.9382716049382713E-2</v>
      </c>
      <c r="AC802" s="66">
        <f t="shared" si="86"/>
        <v>0.8847736625514403</v>
      </c>
      <c r="AD802" s="67">
        <f t="shared" si="87"/>
        <v>0.8271604938271605</v>
      </c>
    </row>
    <row r="803" spans="1:30" ht="15.75" customHeight="1" x14ac:dyDescent="0.2">
      <c r="A803" t="s">
        <v>2533</v>
      </c>
      <c r="B803" s="95">
        <v>1</v>
      </c>
      <c r="C803" s="95">
        <v>1</v>
      </c>
      <c r="D803" s="19" t="s">
        <v>1644</v>
      </c>
      <c r="E803" s="15" t="s">
        <v>2536</v>
      </c>
      <c r="F803" s="95">
        <f t="shared" si="82"/>
        <v>2014</v>
      </c>
      <c r="G803" s="34">
        <v>41975</v>
      </c>
      <c r="H803" s="22" t="s">
        <v>2981</v>
      </c>
      <c r="I803" s="64">
        <v>0</v>
      </c>
      <c r="J803" s="43" t="s">
        <v>1655</v>
      </c>
      <c r="K803" s="17">
        <v>0</v>
      </c>
      <c r="L803" s="59">
        <v>1</v>
      </c>
      <c r="M803" s="56" t="s">
        <v>2644</v>
      </c>
      <c r="N803" s="56" t="s">
        <v>2121</v>
      </c>
      <c r="O803" s="19"/>
      <c r="P803" s="19" t="s">
        <v>1659</v>
      </c>
      <c r="Q803" s="100" t="s">
        <v>1662</v>
      </c>
      <c r="R803" s="95">
        <v>1</v>
      </c>
      <c r="S803" s="95">
        <v>0</v>
      </c>
      <c r="T803" s="95">
        <v>0</v>
      </c>
      <c r="U803" s="95">
        <v>1</v>
      </c>
      <c r="V803" s="95">
        <v>1</v>
      </c>
      <c r="W803" s="95">
        <v>200</v>
      </c>
      <c r="X803" s="95">
        <v>27</v>
      </c>
      <c r="Y803" s="95">
        <v>19</v>
      </c>
      <c r="Z803" s="95">
        <f t="shared" si="83"/>
        <v>246</v>
      </c>
      <c r="AA803" s="11">
        <f t="shared" si="84"/>
        <v>0.81300813008130079</v>
      </c>
      <c r="AB803" s="11">
        <f t="shared" si="85"/>
        <v>0.10975609756097561</v>
      </c>
      <c r="AC803" s="66">
        <f t="shared" si="86"/>
        <v>0.81300813008130079</v>
      </c>
      <c r="AD803" s="67">
        <f t="shared" si="87"/>
        <v>0.71951219512195119</v>
      </c>
    </row>
    <row r="804" spans="1:30" ht="14.5" customHeight="1" x14ac:dyDescent="0.2">
      <c r="A804" t="s">
        <v>2533</v>
      </c>
      <c r="B804" s="95">
        <v>1</v>
      </c>
      <c r="C804" s="95">
        <v>1</v>
      </c>
      <c r="D804" s="19" t="s">
        <v>1644</v>
      </c>
      <c r="E804" s="15" t="s">
        <v>2536</v>
      </c>
      <c r="F804" s="95">
        <f t="shared" si="82"/>
        <v>2014</v>
      </c>
      <c r="G804" s="34">
        <v>41975</v>
      </c>
      <c r="H804" s="22" t="s">
        <v>2981</v>
      </c>
      <c r="I804" s="64">
        <v>0</v>
      </c>
      <c r="J804" s="43" t="s">
        <v>1629</v>
      </c>
      <c r="K804" s="17">
        <v>0</v>
      </c>
      <c r="L804" s="59">
        <v>1</v>
      </c>
      <c r="M804" t="s">
        <v>202</v>
      </c>
      <c r="N804" t="s">
        <v>2121</v>
      </c>
      <c r="O804" s="19"/>
      <c r="P804" s="19" t="s">
        <v>1659</v>
      </c>
      <c r="Q804" s="100" t="s">
        <v>1660</v>
      </c>
      <c r="R804" s="95">
        <v>1</v>
      </c>
      <c r="S804" s="95">
        <v>0</v>
      </c>
      <c r="T804" s="95">
        <v>0</v>
      </c>
      <c r="U804" s="95">
        <v>1</v>
      </c>
      <c r="V804" s="95">
        <v>1</v>
      </c>
      <c r="W804" s="95">
        <v>218</v>
      </c>
      <c r="X804" s="95">
        <v>14</v>
      </c>
      <c r="Y804" s="95">
        <v>19</v>
      </c>
      <c r="Z804" s="95">
        <f t="shared" si="83"/>
        <v>251</v>
      </c>
      <c r="AA804" s="11">
        <f t="shared" si="84"/>
        <v>0.86852589641434264</v>
      </c>
      <c r="AB804" s="11">
        <f t="shared" si="85"/>
        <v>5.5776892430278883E-2</v>
      </c>
      <c r="AC804" s="66">
        <f t="shared" si="86"/>
        <v>0.86852589641434264</v>
      </c>
      <c r="AD804" s="67">
        <f t="shared" si="87"/>
        <v>0.8027888446215139</v>
      </c>
    </row>
    <row r="805" spans="1:30" ht="14.5" customHeight="1" x14ac:dyDescent="0.2">
      <c r="A805" t="s">
        <v>2533</v>
      </c>
      <c r="B805" s="95">
        <v>1</v>
      </c>
      <c r="C805" s="95">
        <v>1</v>
      </c>
      <c r="D805" s="19" t="s">
        <v>1644</v>
      </c>
      <c r="E805" s="15" t="s">
        <v>2536</v>
      </c>
      <c r="F805" s="95">
        <f t="shared" si="82"/>
        <v>2014</v>
      </c>
      <c r="G805" s="34">
        <v>41975</v>
      </c>
      <c r="H805" s="22" t="s">
        <v>2981</v>
      </c>
      <c r="I805" s="64">
        <v>0</v>
      </c>
      <c r="J805" s="43" t="s">
        <v>1650</v>
      </c>
      <c r="K805" s="17">
        <v>0</v>
      </c>
      <c r="L805" s="59">
        <v>1</v>
      </c>
      <c r="M805" s="22" t="s">
        <v>2577</v>
      </c>
      <c r="N805" s="22" t="s">
        <v>2629</v>
      </c>
      <c r="O805" s="19"/>
      <c r="P805" s="19" t="s">
        <v>1659</v>
      </c>
      <c r="Q805" s="100" t="s">
        <v>1661</v>
      </c>
      <c r="R805" s="95">
        <v>1</v>
      </c>
      <c r="S805" s="95">
        <v>0</v>
      </c>
      <c r="T805" s="95">
        <v>0</v>
      </c>
      <c r="U805" s="95">
        <v>1</v>
      </c>
      <c r="V805" s="95">
        <v>1</v>
      </c>
      <c r="W805" s="95">
        <v>214</v>
      </c>
      <c r="X805" s="95">
        <v>17</v>
      </c>
      <c r="Y805" s="95">
        <v>18</v>
      </c>
      <c r="Z805" s="95">
        <f t="shared" si="83"/>
        <v>249</v>
      </c>
      <c r="AA805" s="11">
        <f t="shared" si="84"/>
        <v>0.85943775100401609</v>
      </c>
      <c r="AB805" s="11">
        <f t="shared" si="85"/>
        <v>6.8273092369477914E-2</v>
      </c>
      <c r="AC805" s="66">
        <f t="shared" si="86"/>
        <v>0.85943775100401609</v>
      </c>
      <c r="AD805" s="67">
        <f t="shared" si="87"/>
        <v>0.78915662650602414</v>
      </c>
    </row>
    <row r="806" spans="1:30" ht="14.5" customHeight="1" x14ac:dyDescent="0.2">
      <c r="A806" t="s">
        <v>2533</v>
      </c>
      <c r="B806" s="95">
        <v>1</v>
      </c>
      <c r="C806" s="95">
        <v>0</v>
      </c>
      <c r="D806" s="19" t="s">
        <v>1664</v>
      </c>
      <c r="E806" s="15" t="s">
        <v>2536</v>
      </c>
      <c r="F806" s="95">
        <f t="shared" si="82"/>
        <v>2015</v>
      </c>
      <c r="G806" s="34">
        <v>42338</v>
      </c>
      <c r="H806" s="22" t="s">
        <v>2981</v>
      </c>
      <c r="I806" s="64">
        <v>0</v>
      </c>
      <c r="J806" s="43" t="s">
        <v>1607</v>
      </c>
      <c r="K806" s="17">
        <v>0</v>
      </c>
      <c r="L806" s="59">
        <v>1</v>
      </c>
      <c r="M806" t="s">
        <v>2859</v>
      </c>
      <c r="N806" s="54" t="s">
        <v>2631</v>
      </c>
      <c r="O806" s="19"/>
      <c r="P806" s="19" t="s">
        <v>1665</v>
      </c>
      <c r="Q806" s="100" t="s">
        <v>1667</v>
      </c>
      <c r="R806" s="95">
        <v>1</v>
      </c>
      <c r="S806" s="95">
        <v>0</v>
      </c>
      <c r="T806" s="95">
        <v>0</v>
      </c>
      <c r="U806" s="95">
        <v>1</v>
      </c>
      <c r="V806" s="95">
        <v>1</v>
      </c>
      <c r="W806" s="95">
        <v>201</v>
      </c>
      <c r="X806" s="95">
        <v>6</v>
      </c>
      <c r="Y806" s="95">
        <v>5</v>
      </c>
      <c r="Z806" s="95">
        <f t="shared" si="83"/>
        <v>212</v>
      </c>
      <c r="AA806" s="11">
        <f t="shared" si="84"/>
        <v>0.94811320754716977</v>
      </c>
      <c r="AB806" s="11">
        <f t="shared" si="85"/>
        <v>2.8301886792452831E-2</v>
      </c>
      <c r="AC806" s="66">
        <f t="shared" si="86"/>
        <v>0.94811320754716977</v>
      </c>
      <c r="AD806" s="67">
        <f t="shared" si="87"/>
        <v>0.92216981132075471</v>
      </c>
    </row>
    <row r="807" spans="1:30" ht="14.5" customHeight="1" x14ac:dyDescent="0.2">
      <c r="A807" t="s">
        <v>2533</v>
      </c>
      <c r="B807" s="95">
        <v>1</v>
      </c>
      <c r="C807" s="95">
        <v>0</v>
      </c>
      <c r="D807" s="19" t="s">
        <v>1664</v>
      </c>
      <c r="E807" s="15" t="s">
        <v>2536</v>
      </c>
      <c r="F807" s="95">
        <f t="shared" si="82"/>
        <v>2015</v>
      </c>
      <c r="G807" s="34">
        <v>42338</v>
      </c>
      <c r="H807" s="22" t="s">
        <v>2981</v>
      </c>
      <c r="I807" s="64">
        <v>0</v>
      </c>
      <c r="J807" s="43" t="s">
        <v>1655</v>
      </c>
      <c r="K807" s="17">
        <v>0</v>
      </c>
      <c r="L807" s="59">
        <v>1</v>
      </c>
      <c r="M807" s="56" t="s">
        <v>2644</v>
      </c>
      <c r="N807" s="56" t="s">
        <v>2121</v>
      </c>
      <c r="O807" s="19"/>
      <c r="P807" s="19" t="s">
        <v>1665</v>
      </c>
      <c r="Q807" s="100" t="s">
        <v>1666</v>
      </c>
      <c r="R807" s="95">
        <v>1</v>
      </c>
      <c r="S807" s="95">
        <v>0</v>
      </c>
      <c r="T807" s="95">
        <v>0</v>
      </c>
      <c r="U807" s="95">
        <v>1</v>
      </c>
      <c r="V807" s="95">
        <v>1</v>
      </c>
      <c r="W807" s="95">
        <v>183</v>
      </c>
      <c r="X807" s="95">
        <v>16</v>
      </c>
      <c r="Y807" s="95">
        <v>15</v>
      </c>
      <c r="Z807" s="95">
        <f t="shared" si="83"/>
        <v>214</v>
      </c>
      <c r="AA807" s="11">
        <f t="shared" si="84"/>
        <v>0.85514018691588789</v>
      </c>
      <c r="AB807" s="11">
        <f t="shared" si="85"/>
        <v>7.476635514018691E-2</v>
      </c>
      <c r="AC807" s="66">
        <f t="shared" si="86"/>
        <v>0.85514018691588789</v>
      </c>
      <c r="AD807" s="67">
        <f t="shared" si="87"/>
        <v>0.78271028037383172</v>
      </c>
    </row>
    <row r="808" spans="1:30" ht="14.5" customHeight="1" x14ac:dyDescent="0.2">
      <c r="A808" t="s">
        <v>2533</v>
      </c>
      <c r="B808" s="95">
        <v>1</v>
      </c>
      <c r="C808" s="95">
        <v>0</v>
      </c>
      <c r="D808" s="19" t="s">
        <v>1664</v>
      </c>
      <c r="E808" s="15" t="s">
        <v>2536</v>
      </c>
      <c r="F808" s="95">
        <f t="shared" si="82"/>
        <v>2015</v>
      </c>
      <c r="G808" s="34">
        <v>42338</v>
      </c>
      <c r="H808" s="22" t="s">
        <v>2981</v>
      </c>
      <c r="I808" s="64">
        <v>0</v>
      </c>
      <c r="J808" s="43" t="s">
        <v>1629</v>
      </c>
      <c r="K808" s="17">
        <v>0</v>
      </c>
      <c r="L808" s="59">
        <v>1</v>
      </c>
      <c r="M808" t="s">
        <v>202</v>
      </c>
      <c r="N808" t="s">
        <v>2121</v>
      </c>
      <c r="O808" s="19"/>
      <c r="P808" s="19" t="s">
        <v>1665</v>
      </c>
      <c r="Q808" s="100" t="s">
        <v>1669</v>
      </c>
      <c r="R808" s="95">
        <v>1</v>
      </c>
      <c r="S808" s="95">
        <v>0</v>
      </c>
      <c r="T808" s="95">
        <v>0</v>
      </c>
      <c r="U808" s="95">
        <v>1</v>
      </c>
      <c r="V808" s="95">
        <v>1</v>
      </c>
      <c r="W808" s="95">
        <v>192</v>
      </c>
      <c r="X808" s="95">
        <v>6</v>
      </c>
      <c r="Y808" s="95">
        <v>12</v>
      </c>
      <c r="Z808" s="95">
        <f t="shared" si="83"/>
        <v>210</v>
      </c>
      <c r="AA808" s="11">
        <f t="shared" si="84"/>
        <v>0.91428571428571426</v>
      </c>
      <c r="AB808" s="11">
        <f t="shared" si="85"/>
        <v>2.8571428571428571E-2</v>
      </c>
      <c r="AC808" s="66">
        <f t="shared" si="86"/>
        <v>0.91428571428571426</v>
      </c>
      <c r="AD808" s="67">
        <f t="shared" si="87"/>
        <v>0.87142857142857144</v>
      </c>
    </row>
    <row r="809" spans="1:30" ht="14.5" customHeight="1" x14ac:dyDescent="0.2">
      <c r="A809" t="s">
        <v>2533</v>
      </c>
      <c r="B809" s="95">
        <v>1</v>
      </c>
      <c r="C809" s="95">
        <v>0</v>
      </c>
      <c r="D809" s="19" t="s">
        <v>1664</v>
      </c>
      <c r="E809" s="15" t="s">
        <v>2536</v>
      </c>
      <c r="F809" s="95">
        <f t="shared" si="82"/>
        <v>2015</v>
      </c>
      <c r="G809" s="34">
        <v>42338</v>
      </c>
      <c r="H809" s="22" t="s">
        <v>2981</v>
      </c>
      <c r="I809" s="64">
        <v>0</v>
      </c>
      <c r="J809" s="43" t="s">
        <v>1650</v>
      </c>
      <c r="K809" s="17">
        <v>0</v>
      </c>
      <c r="L809" s="59">
        <v>1</v>
      </c>
      <c r="M809" s="22" t="s">
        <v>2577</v>
      </c>
      <c r="N809" s="22" t="s">
        <v>2629</v>
      </c>
      <c r="O809" s="19"/>
      <c r="P809" s="19" t="s">
        <v>1665</v>
      </c>
      <c r="Q809" s="100" t="s">
        <v>1668</v>
      </c>
      <c r="R809" s="95">
        <v>1</v>
      </c>
      <c r="S809" s="95">
        <v>0</v>
      </c>
      <c r="T809" s="95">
        <v>0</v>
      </c>
      <c r="U809" s="95">
        <v>1</v>
      </c>
      <c r="V809" s="95">
        <v>1</v>
      </c>
      <c r="W809" s="95">
        <v>183</v>
      </c>
      <c r="X809" s="95">
        <v>6</v>
      </c>
      <c r="Y809" s="95">
        <v>13</v>
      </c>
      <c r="Z809" s="95">
        <f t="shared" si="83"/>
        <v>202</v>
      </c>
      <c r="AA809" s="11">
        <f t="shared" si="84"/>
        <v>0.90594059405940597</v>
      </c>
      <c r="AB809" s="11">
        <f t="shared" si="85"/>
        <v>2.9702970297029702E-2</v>
      </c>
      <c r="AC809" s="66">
        <f t="shared" si="86"/>
        <v>0.90594059405940597</v>
      </c>
      <c r="AD809" s="67">
        <f t="shared" si="87"/>
        <v>0.8589108910891089</v>
      </c>
    </row>
    <row r="810" spans="1:30" ht="14" customHeight="1" x14ac:dyDescent="0.2">
      <c r="A810" t="s">
        <v>2533</v>
      </c>
      <c r="B810" s="95">
        <v>1</v>
      </c>
      <c r="C810" s="95">
        <v>0</v>
      </c>
      <c r="D810" s="19" t="s">
        <v>1664</v>
      </c>
      <c r="E810" s="15" t="s">
        <v>2536</v>
      </c>
      <c r="F810" s="95">
        <f t="shared" si="82"/>
        <v>2016</v>
      </c>
      <c r="G810" s="34">
        <v>42691</v>
      </c>
      <c r="H810" s="22" t="s">
        <v>2981</v>
      </c>
      <c r="I810" s="64">
        <v>0</v>
      </c>
      <c r="J810" s="43" t="s">
        <v>1629</v>
      </c>
      <c r="K810" s="17">
        <v>0</v>
      </c>
      <c r="L810" s="59">
        <v>1</v>
      </c>
      <c r="M810" t="s">
        <v>202</v>
      </c>
      <c r="N810" t="s">
        <v>2121</v>
      </c>
      <c r="O810" s="19"/>
      <c r="P810" s="19" t="s">
        <v>1670</v>
      </c>
      <c r="Q810" s="100" t="s">
        <v>1671</v>
      </c>
      <c r="R810" s="95">
        <v>1</v>
      </c>
      <c r="S810" s="95">
        <v>0</v>
      </c>
      <c r="T810" s="95">
        <v>0</v>
      </c>
      <c r="U810" s="95">
        <v>1</v>
      </c>
      <c r="V810" s="95">
        <v>1</v>
      </c>
      <c r="W810" s="95">
        <v>208</v>
      </c>
      <c r="X810" s="95">
        <v>3</v>
      </c>
      <c r="Y810" s="95">
        <v>11</v>
      </c>
      <c r="Z810" s="95">
        <f t="shared" si="83"/>
        <v>222</v>
      </c>
      <c r="AA810" s="11">
        <f t="shared" si="84"/>
        <v>0.93693693693693691</v>
      </c>
      <c r="AB810" s="11">
        <f t="shared" si="85"/>
        <v>1.3513513513513514E-2</v>
      </c>
      <c r="AC810" s="66">
        <f t="shared" si="86"/>
        <v>0.93693693693693691</v>
      </c>
      <c r="AD810" s="67">
        <f t="shared" si="87"/>
        <v>0.90540540540540537</v>
      </c>
    </row>
    <row r="811" spans="1:30" ht="14.5" customHeight="1" x14ac:dyDescent="0.2">
      <c r="A811" t="s">
        <v>2533</v>
      </c>
      <c r="B811" s="95">
        <v>1</v>
      </c>
      <c r="C811" s="95">
        <v>0</v>
      </c>
      <c r="D811" s="19" t="s">
        <v>1664</v>
      </c>
      <c r="E811" s="15" t="s">
        <v>2536</v>
      </c>
      <c r="F811" s="95">
        <f t="shared" si="82"/>
        <v>2016</v>
      </c>
      <c r="G811" s="34">
        <v>42691</v>
      </c>
      <c r="H811" s="22" t="s">
        <v>2981</v>
      </c>
      <c r="I811" s="64">
        <v>0</v>
      </c>
      <c r="J811" s="43" t="s">
        <v>1650</v>
      </c>
      <c r="K811" s="17">
        <v>0</v>
      </c>
      <c r="L811" s="59">
        <v>1</v>
      </c>
      <c r="M811" s="22" t="s">
        <v>2577</v>
      </c>
      <c r="N811" s="22" t="s">
        <v>2629</v>
      </c>
      <c r="O811" s="19"/>
      <c r="P811" s="19" t="s">
        <v>1670</v>
      </c>
      <c r="Q811" s="100" t="s">
        <v>1672</v>
      </c>
      <c r="R811" s="95">
        <v>1</v>
      </c>
      <c r="S811" s="95">
        <v>0</v>
      </c>
      <c r="T811" s="95">
        <v>0</v>
      </c>
      <c r="U811" s="95">
        <v>1</v>
      </c>
      <c r="V811" s="95">
        <v>1</v>
      </c>
      <c r="W811" s="95">
        <v>210</v>
      </c>
      <c r="X811" s="95">
        <v>0</v>
      </c>
      <c r="Y811" s="95">
        <v>16</v>
      </c>
      <c r="Z811" s="95">
        <f t="shared" si="83"/>
        <v>226</v>
      </c>
      <c r="AA811" s="11">
        <f t="shared" si="84"/>
        <v>0.92920353982300885</v>
      </c>
      <c r="AB811" s="11">
        <f t="shared" si="85"/>
        <v>0</v>
      </c>
      <c r="AC811" s="66">
        <f t="shared" si="86"/>
        <v>0.92920353982300885</v>
      </c>
      <c r="AD811" s="67">
        <f t="shared" si="87"/>
        <v>0.89380530973451322</v>
      </c>
    </row>
    <row r="812" spans="1:30" ht="14.5" customHeight="1" x14ac:dyDescent="0.2">
      <c r="A812" t="s">
        <v>2533</v>
      </c>
      <c r="B812" s="95">
        <v>1</v>
      </c>
      <c r="C812" s="95">
        <v>0</v>
      </c>
      <c r="D812" s="19" t="s">
        <v>1664</v>
      </c>
      <c r="E812" s="15" t="s">
        <v>2536</v>
      </c>
      <c r="F812" s="95">
        <f t="shared" si="82"/>
        <v>2016</v>
      </c>
      <c r="G812" s="34">
        <v>42705</v>
      </c>
      <c r="H812" s="22" t="s">
        <v>2981</v>
      </c>
      <c r="I812" s="64">
        <v>0</v>
      </c>
      <c r="J812" s="43" t="s">
        <v>1675</v>
      </c>
      <c r="K812" s="17">
        <v>0</v>
      </c>
      <c r="L812" s="59">
        <v>1</v>
      </c>
      <c r="M812" t="s">
        <v>2859</v>
      </c>
      <c r="N812" s="54" t="s">
        <v>2631</v>
      </c>
      <c r="O812" s="19"/>
      <c r="P812" s="19" t="s">
        <v>1673</v>
      </c>
      <c r="Q812" s="100" t="s">
        <v>1676</v>
      </c>
      <c r="R812" s="95">
        <v>1</v>
      </c>
      <c r="S812" s="95">
        <v>0</v>
      </c>
      <c r="T812" s="95">
        <v>0</v>
      </c>
      <c r="U812" s="95">
        <v>1</v>
      </c>
      <c r="V812" s="95">
        <v>1</v>
      </c>
      <c r="W812" s="95">
        <v>205</v>
      </c>
      <c r="X812" s="95">
        <v>4</v>
      </c>
      <c r="Y812" s="95">
        <v>15</v>
      </c>
      <c r="Z812" s="95">
        <f t="shared" si="83"/>
        <v>224</v>
      </c>
      <c r="AA812" s="11">
        <f t="shared" si="84"/>
        <v>0.9151785714285714</v>
      </c>
      <c r="AB812" s="11">
        <f t="shared" si="85"/>
        <v>1.7857142857142856E-2</v>
      </c>
      <c r="AC812" s="66">
        <f t="shared" si="86"/>
        <v>0.9151785714285714</v>
      </c>
      <c r="AD812" s="67">
        <f t="shared" si="87"/>
        <v>0.8727678571428571</v>
      </c>
    </row>
    <row r="813" spans="1:30" ht="14.5" customHeight="1" x14ac:dyDescent="0.2">
      <c r="A813" t="s">
        <v>2533</v>
      </c>
      <c r="B813" s="95">
        <v>1</v>
      </c>
      <c r="C813" s="95">
        <v>0</v>
      </c>
      <c r="D813" s="19" t="s">
        <v>1664</v>
      </c>
      <c r="E813" s="15" t="s">
        <v>2536</v>
      </c>
      <c r="F813" s="95">
        <f t="shared" ref="F813:F876" si="88">YEAR(G813)</f>
        <v>2016</v>
      </c>
      <c r="G813" s="34">
        <v>42705</v>
      </c>
      <c r="H813" s="22" t="s">
        <v>2981</v>
      </c>
      <c r="I813" s="64">
        <v>0</v>
      </c>
      <c r="J813" s="43" t="s">
        <v>1655</v>
      </c>
      <c r="K813" s="17">
        <v>0</v>
      </c>
      <c r="L813" s="59">
        <v>1</v>
      </c>
      <c r="M813" s="56" t="s">
        <v>2644</v>
      </c>
      <c r="N813" s="56" t="s">
        <v>2121</v>
      </c>
      <c r="O813" s="19"/>
      <c r="P813" s="19" t="s">
        <v>1673</v>
      </c>
      <c r="Q813" s="100" t="s">
        <v>1674</v>
      </c>
      <c r="R813" s="95">
        <v>1</v>
      </c>
      <c r="S813" s="95">
        <v>0</v>
      </c>
      <c r="T813" s="95">
        <v>0</v>
      </c>
      <c r="U813" s="95">
        <v>1</v>
      </c>
      <c r="V813" s="95">
        <v>1</v>
      </c>
      <c r="W813" s="95">
        <v>202</v>
      </c>
      <c r="X813" s="95">
        <v>9</v>
      </c>
      <c r="Y813" s="95">
        <v>13</v>
      </c>
      <c r="Z813" s="95">
        <f t="shared" si="83"/>
        <v>224</v>
      </c>
      <c r="AA813" s="11">
        <f t="shared" si="84"/>
        <v>0.9017857142857143</v>
      </c>
      <c r="AB813" s="11">
        <f t="shared" si="85"/>
        <v>4.0178571428571432E-2</v>
      </c>
      <c r="AC813" s="66">
        <f t="shared" si="86"/>
        <v>0.9017857142857143</v>
      </c>
      <c r="AD813" s="67">
        <f t="shared" si="87"/>
        <v>0.8526785714285714</v>
      </c>
    </row>
    <row r="814" spans="1:30" ht="14.5" customHeight="1" x14ac:dyDescent="0.2">
      <c r="A814" t="s">
        <v>2533</v>
      </c>
      <c r="B814" s="95">
        <v>1</v>
      </c>
      <c r="C814" s="95">
        <v>0</v>
      </c>
      <c r="D814" s="19" t="s">
        <v>1664</v>
      </c>
      <c r="E814" s="15" t="s">
        <v>2538</v>
      </c>
      <c r="F814" s="95">
        <f t="shared" si="88"/>
        <v>2017</v>
      </c>
      <c r="G814" s="34">
        <v>42747</v>
      </c>
      <c r="H814" s="22" t="s">
        <v>2981</v>
      </c>
      <c r="I814" s="64">
        <v>0</v>
      </c>
      <c r="J814" s="43" t="s">
        <v>1675</v>
      </c>
      <c r="K814" s="17">
        <v>0</v>
      </c>
      <c r="L814" s="59">
        <v>1</v>
      </c>
      <c r="M814" t="s">
        <v>2859</v>
      </c>
      <c r="N814" s="54" t="s">
        <v>2631</v>
      </c>
      <c r="O814" s="19"/>
      <c r="P814" s="19" t="s">
        <v>1677</v>
      </c>
      <c r="Q814" s="100" t="s">
        <v>1680</v>
      </c>
      <c r="R814" s="95">
        <v>1</v>
      </c>
      <c r="S814" s="95">
        <v>0</v>
      </c>
      <c r="T814" s="95">
        <v>0</v>
      </c>
      <c r="U814" s="95">
        <v>1</v>
      </c>
      <c r="V814" s="95">
        <v>1</v>
      </c>
      <c r="W814" s="95">
        <v>217</v>
      </c>
      <c r="X814" s="95">
        <v>2</v>
      </c>
      <c r="Y814" s="95">
        <v>14</v>
      </c>
      <c r="Z814" s="95">
        <f t="shared" si="83"/>
        <v>233</v>
      </c>
      <c r="AA814" s="11">
        <f t="shared" si="84"/>
        <v>0.93133047210300424</v>
      </c>
      <c r="AB814" s="11">
        <f t="shared" si="85"/>
        <v>8.5836909871244635E-3</v>
      </c>
      <c r="AC814" s="66">
        <f t="shared" si="86"/>
        <v>0.93133047210300424</v>
      </c>
      <c r="AD814" s="67">
        <f t="shared" si="87"/>
        <v>0.89699570815450647</v>
      </c>
    </row>
    <row r="815" spans="1:30" ht="14.5" customHeight="1" x14ac:dyDescent="0.2">
      <c r="A815" t="s">
        <v>2533</v>
      </c>
      <c r="B815" s="95">
        <v>1</v>
      </c>
      <c r="C815" s="95">
        <v>0</v>
      </c>
      <c r="D815" s="19" t="s">
        <v>1664</v>
      </c>
      <c r="E815" s="15" t="s">
        <v>2538</v>
      </c>
      <c r="F815" s="95">
        <f t="shared" si="88"/>
        <v>2017</v>
      </c>
      <c r="G815" s="34">
        <v>42747</v>
      </c>
      <c r="H815" s="22" t="s">
        <v>2981</v>
      </c>
      <c r="I815" s="64">
        <v>0</v>
      </c>
      <c r="J815" s="43" t="s">
        <v>1655</v>
      </c>
      <c r="K815" s="17">
        <v>0</v>
      </c>
      <c r="L815" s="59">
        <v>1</v>
      </c>
      <c r="M815" s="56" t="s">
        <v>2644</v>
      </c>
      <c r="N815" s="56" t="s">
        <v>2121</v>
      </c>
      <c r="O815" s="19"/>
      <c r="P815" s="19" t="s">
        <v>1677</v>
      </c>
      <c r="Q815" s="100" t="s">
        <v>1681</v>
      </c>
      <c r="R815" s="95">
        <v>1</v>
      </c>
      <c r="S815" s="95">
        <v>0</v>
      </c>
      <c r="T815" s="95">
        <v>0</v>
      </c>
      <c r="U815" s="95">
        <v>1</v>
      </c>
      <c r="V815" s="95">
        <v>1</v>
      </c>
      <c r="W815" s="95">
        <v>205</v>
      </c>
      <c r="X815" s="95">
        <v>12</v>
      </c>
      <c r="Y815" s="95">
        <v>16</v>
      </c>
      <c r="Z815" s="95">
        <f t="shared" si="83"/>
        <v>233</v>
      </c>
      <c r="AA815" s="11">
        <f t="shared" si="84"/>
        <v>0.87982832618025753</v>
      </c>
      <c r="AB815" s="11">
        <f t="shared" si="85"/>
        <v>5.1502145922746781E-2</v>
      </c>
      <c r="AC815" s="66">
        <f t="shared" si="86"/>
        <v>0.87982832618025753</v>
      </c>
      <c r="AD815" s="67">
        <f t="shared" si="87"/>
        <v>0.81974248927038629</v>
      </c>
    </row>
    <row r="816" spans="1:30" ht="14.5" customHeight="1" x14ac:dyDescent="0.2">
      <c r="A816" t="s">
        <v>2533</v>
      </c>
      <c r="B816" s="95">
        <v>1</v>
      </c>
      <c r="C816" s="95">
        <v>0</v>
      </c>
      <c r="D816" s="19" t="s">
        <v>1664</v>
      </c>
      <c r="E816" s="15" t="s">
        <v>2538</v>
      </c>
      <c r="F816" s="95">
        <f t="shared" si="88"/>
        <v>2017</v>
      </c>
      <c r="G816" s="34">
        <v>42747</v>
      </c>
      <c r="H816" s="22" t="s">
        <v>2981</v>
      </c>
      <c r="I816" s="64">
        <v>0</v>
      </c>
      <c r="J816" s="43" t="s">
        <v>1629</v>
      </c>
      <c r="K816" s="17">
        <v>0</v>
      </c>
      <c r="L816" s="59">
        <v>1</v>
      </c>
      <c r="M816" t="s">
        <v>202</v>
      </c>
      <c r="N816" t="s">
        <v>2121</v>
      </c>
      <c r="O816" s="19"/>
      <c r="P816" s="19" t="s">
        <v>1677</v>
      </c>
      <c r="Q816" s="100" t="s">
        <v>1679</v>
      </c>
      <c r="R816" s="95">
        <v>1</v>
      </c>
      <c r="S816" s="95">
        <v>0</v>
      </c>
      <c r="T816" s="95">
        <v>0</v>
      </c>
      <c r="U816" s="95">
        <v>1</v>
      </c>
      <c r="V816" s="95">
        <v>1</v>
      </c>
      <c r="W816" s="95">
        <v>204</v>
      </c>
      <c r="X816" s="95">
        <v>4</v>
      </c>
      <c r="Y816" s="95">
        <v>20</v>
      </c>
      <c r="Z816" s="95">
        <f t="shared" si="83"/>
        <v>228</v>
      </c>
      <c r="AA816" s="11">
        <f t="shared" si="84"/>
        <v>0.89473684210526316</v>
      </c>
      <c r="AB816" s="11">
        <f t="shared" si="85"/>
        <v>1.7543859649122806E-2</v>
      </c>
      <c r="AC816" s="66">
        <f t="shared" si="86"/>
        <v>0.89473684210526316</v>
      </c>
      <c r="AD816" s="67">
        <f t="shared" si="87"/>
        <v>0.84210526315789469</v>
      </c>
    </row>
    <row r="817" spans="1:30" ht="14.5" customHeight="1" x14ac:dyDescent="0.2">
      <c r="A817" t="s">
        <v>2533</v>
      </c>
      <c r="B817" s="95">
        <v>1</v>
      </c>
      <c r="C817" s="95">
        <v>0</v>
      </c>
      <c r="D817" s="19" t="s">
        <v>2537</v>
      </c>
      <c r="E817" s="15" t="s">
        <v>2538</v>
      </c>
      <c r="F817" s="95">
        <f t="shared" si="88"/>
        <v>2017</v>
      </c>
      <c r="G817" s="34">
        <v>42747</v>
      </c>
      <c r="H817" s="22" t="s">
        <v>2981</v>
      </c>
      <c r="I817" s="64">
        <v>0</v>
      </c>
      <c r="J817" s="43" t="s">
        <v>1650</v>
      </c>
      <c r="K817" s="17">
        <v>0</v>
      </c>
      <c r="L817" s="59">
        <v>1</v>
      </c>
      <c r="M817" s="22" t="s">
        <v>2577</v>
      </c>
      <c r="N817" s="22" t="s">
        <v>2629</v>
      </c>
      <c r="O817" s="19"/>
      <c r="P817" s="19" t="s">
        <v>1677</v>
      </c>
      <c r="Q817" s="100" t="s">
        <v>1678</v>
      </c>
      <c r="R817" s="95">
        <v>1</v>
      </c>
      <c r="S817" s="95">
        <v>0</v>
      </c>
      <c r="T817" s="95">
        <v>0</v>
      </c>
      <c r="U817" s="95">
        <v>1</v>
      </c>
      <c r="V817" s="95">
        <v>1</v>
      </c>
      <c r="W817" s="95">
        <v>215</v>
      </c>
      <c r="X817" s="95">
        <v>1</v>
      </c>
      <c r="Y817" s="95">
        <v>13</v>
      </c>
      <c r="Z817" s="95">
        <f t="shared" si="83"/>
        <v>229</v>
      </c>
      <c r="AA817" s="11">
        <f t="shared" si="84"/>
        <v>0.93886462882096067</v>
      </c>
      <c r="AB817" s="11">
        <f t="shared" si="85"/>
        <v>4.3668122270742356E-3</v>
      </c>
      <c r="AC817" s="66">
        <f t="shared" si="86"/>
        <v>0.93886462882096067</v>
      </c>
      <c r="AD817" s="67">
        <f t="shared" si="87"/>
        <v>0.90829694323144106</v>
      </c>
    </row>
    <row r="818" spans="1:30" ht="14.5" customHeight="1" x14ac:dyDescent="0.2">
      <c r="A818" t="s">
        <v>2533</v>
      </c>
      <c r="B818" s="95">
        <v>1</v>
      </c>
      <c r="C818" s="95">
        <v>0</v>
      </c>
      <c r="D818" s="19" t="s">
        <v>1682</v>
      </c>
      <c r="E818" s="15" t="s">
        <v>1683</v>
      </c>
      <c r="F818" s="95">
        <f t="shared" si="88"/>
        <v>2018</v>
      </c>
      <c r="G818" s="34">
        <v>43441</v>
      </c>
      <c r="H818" s="22" t="s">
        <v>2981</v>
      </c>
      <c r="I818" s="64">
        <v>0</v>
      </c>
      <c r="J818" s="43" t="s">
        <v>1675</v>
      </c>
      <c r="K818" s="17">
        <v>0</v>
      </c>
      <c r="L818" s="59">
        <v>1</v>
      </c>
      <c r="M818" t="s">
        <v>2859</v>
      </c>
      <c r="N818" s="54" t="s">
        <v>2631</v>
      </c>
      <c r="O818" s="19"/>
      <c r="P818" s="19" t="s">
        <v>1684</v>
      </c>
      <c r="Q818" s="100" t="s">
        <v>1687</v>
      </c>
      <c r="R818" s="95">
        <v>1</v>
      </c>
      <c r="S818" s="95">
        <v>0</v>
      </c>
      <c r="T818" s="95">
        <v>0</v>
      </c>
      <c r="U818" s="95">
        <v>1</v>
      </c>
      <c r="V818" s="95">
        <v>1</v>
      </c>
      <c r="W818" s="95">
        <v>218</v>
      </c>
      <c r="X818" s="95">
        <v>0</v>
      </c>
      <c r="Y818" s="95">
        <v>3</v>
      </c>
      <c r="Z818" s="95">
        <f t="shared" si="83"/>
        <v>221</v>
      </c>
      <c r="AA818" s="11">
        <f t="shared" si="84"/>
        <v>0.98642533936651589</v>
      </c>
      <c r="AB818" s="11">
        <f t="shared" si="85"/>
        <v>0</v>
      </c>
      <c r="AC818" s="66">
        <f t="shared" si="86"/>
        <v>0.98642533936651589</v>
      </c>
      <c r="AD818" s="67">
        <f t="shared" si="87"/>
        <v>0.97963800904977372</v>
      </c>
    </row>
    <row r="819" spans="1:30" ht="14.5" customHeight="1" x14ac:dyDescent="0.2">
      <c r="A819" t="s">
        <v>2533</v>
      </c>
      <c r="B819" s="95">
        <v>1</v>
      </c>
      <c r="C819" s="95">
        <v>0</v>
      </c>
      <c r="D819" s="19" t="s">
        <v>1682</v>
      </c>
      <c r="E819" s="15" t="s">
        <v>1683</v>
      </c>
      <c r="F819" s="95">
        <f t="shared" si="88"/>
        <v>2018</v>
      </c>
      <c r="G819" s="34">
        <v>43441</v>
      </c>
      <c r="H819" s="22" t="s">
        <v>2981</v>
      </c>
      <c r="I819" s="64">
        <v>0</v>
      </c>
      <c r="J819" s="43" t="s">
        <v>1655</v>
      </c>
      <c r="K819" s="17">
        <v>0</v>
      </c>
      <c r="L819" s="59">
        <v>1</v>
      </c>
      <c r="M819" s="56" t="s">
        <v>2644</v>
      </c>
      <c r="N819" s="56" t="s">
        <v>2121</v>
      </c>
      <c r="O819" s="19"/>
      <c r="P819" s="19" t="s">
        <v>1684</v>
      </c>
      <c r="Q819" s="100" t="s">
        <v>1688</v>
      </c>
      <c r="R819" s="95">
        <v>1</v>
      </c>
      <c r="S819" s="95">
        <v>0</v>
      </c>
      <c r="T819" s="95">
        <v>0</v>
      </c>
      <c r="U819" s="95">
        <v>1</v>
      </c>
      <c r="V819" s="95">
        <v>1</v>
      </c>
      <c r="W819" s="95">
        <v>205</v>
      </c>
      <c r="X819" s="95">
        <v>4</v>
      </c>
      <c r="Y819" s="95">
        <v>12</v>
      </c>
      <c r="Z819" s="95">
        <f t="shared" si="83"/>
        <v>221</v>
      </c>
      <c r="AA819" s="11">
        <f t="shared" si="84"/>
        <v>0.92760180995475117</v>
      </c>
      <c r="AB819" s="11">
        <f t="shared" si="85"/>
        <v>1.8099547511312219E-2</v>
      </c>
      <c r="AC819" s="66">
        <f t="shared" si="86"/>
        <v>0.92760180995475117</v>
      </c>
      <c r="AD819" s="67">
        <f t="shared" si="87"/>
        <v>0.89140271493212675</v>
      </c>
    </row>
    <row r="820" spans="1:30" ht="14.5" customHeight="1" x14ac:dyDescent="0.2">
      <c r="A820" t="s">
        <v>2533</v>
      </c>
      <c r="B820" s="95">
        <v>1</v>
      </c>
      <c r="C820" s="95">
        <v>0</v>
      </c>
      <c r="D820" s="19" t="s">
        <v>1682</v>
      </c>
      <c r="E820" s="15" t="s">
        <v>1683</v>
      </c>
      <c r="F820" s="95">
        <f t="shared" si="88"/>
        <v>2018</v>
      </c>
      <c r="G820" s="34">
        <v>43441</v>
      </c>
      <c r="H820" s="22" t="s">
        <v>2981</v>
      </c>
      <c r="I820" s="64">
        <v>0</v>
      </c>
      <c r="J820" s="43" t="s">
        <v>1629</v>
      </c>
      <c r="K820" s="17">
        <v>0</v>
      </c>
      <c r="L820" s="59">
        <v>1</v>
      </c>
      <c r="M820" t="s">
        <v>202</v>
      </c>
      <c r="N820" t="s">
        <v>2121</v>
      </c>
      <c r="O820" s="19"/>
      <c r="P820" s="19" t="s">
        <v>1684</v>
      </c>
      <c r="Q820" s="100" t="s">
        <v>1686</v>
      </c>
      <c r="R820" s="95">
        <v>1</v>
      </c>
      <c r="S820" s="95">
        <v>0</v>
      </c>
      <c r="T820" s="95">
        <v>0</v>
      </c>
      <c r="U820" s="95">
        <v>1</v>
      </c>
      <c r="V820" s="95">
        <v>1</v>
      </c>
      <c r="W820" s="95">
        <v>193</v>
      </c>
      <c r="X820" s="95">
        <v>1</v>
      </c>
      <c r="Y820" s="95">
        <v>13</v>
      </c>
      <c r="Z820" s="95">
        <f t="shared" si="83"/>
        <v>207</v>
      </c>
      <c r="AA820" s="11">
        <f t="shared" si="84"/>
        <v>0.93236714975845414</v>
      </c>
      <c r="AB820" s="11">
        <f t="shared" si="85"/>
        <v>4.830917874396135E-3</v>
      </c>
      <c r="AC820" s="66">
        <f t="shared" si="86"/>
        <v>0.93236714975845414</v>
      </c>
      <c r="AD820" s="67">
        <f t="shared" si="87"/>
        <v>0.89855072463768115</v>
      </c>
    </row>
    <row r="821" spans="1:30" ht="14.5" customHeight="1" x14ac:dyDescent="0.2">
      <c r="A821" t="s">
        <v>2533</v>
      </c>
      <c r="B821" s="95">
        <v>1</v>
      </c>
      <c r="C821" s="95">
        <v>0</v>
      </c>
      <c r="D821" s="19" t="s">
        <v>1682</v>
      </c>
      <c r="E821" s="15" t="s">
        <v>1683</v>
      </c>
      <c r="F821" s="95">
        <f t="shared" si="88"/>
        <v>2018</v>
      </c>
      <c r="G821" s="34">
        <v>43441</v>
      </c>
      <c r="H821" s="22" t="s">
        <v>2981</v>
      </c>
      <c r="I821" s="64">
        <v>0</v>
      </c>
      <c r="J821" s="43" t="s">
        <v>1650</v>
      </c>
      <c r="K821" s="17">
        <v>0</v>
      </c>
      <c r="L821" s="59">
        <v>1</v>
      </c>
      <c r="M821" s="22" t="s">
        <v>2577</v>
      </c>
      <c r="N821" s="22" t="s">
        <v>2629</v>
      </c>
      <c r="O821" s="19"/>
      <c r="P821" s="19" t="s">
        <v>1684</v>
      </c>
      <c r="Q821" s="100" t="s">
        <v>1685</v>
      </c>
      <c r="R821" s="95">
        <v>1</v>
      </c>
      <c r="S821" s="95">
        <v>0</v>
      </c>
      <c r="T821" s="95">
        <v>0</v>
      </c>
      <c r="U821" s="95">
        <v>1</v>
      </c>
      <c r="V821" s="95">
        <v>1</v>
      </c>
      <c r="W821" s="95">
        <v>192</v>
      </c>
      <c r="X821" s="95">
        <v>1</v>
      </c>
      <c r="Y821" s="95">
        <v>12</v>
      </c>
      <c r="Z821" s="95">
        <f t="shared" si="83"/>
        <v>205</v>
      </c>
      <c r="AA821" s="11">
        <f t="shared" si="84"/>
        <v>0.93658536585365859</v>
      </c>
      <c r="AB821" s="11">
        <f t="shared" si="85"/>
        <v>4.8780487804878049E-3</v>
      </c>
      <c r="AC821" s="66">
        <f t="shared" si="86"/>
        <v>0.93658536585365859</v>
      </c>
      <c r="AD821" s="67">
        <f t="shared" si="87"/>
        <v>0.90487804878048783</v>
      </c>
    </row>
    <row r="822" spans="1:30" ht="14.5" customHeight="1" x14ac:dyDescent="0.2">
      <c r="A822" t="s">
        <v>2533</v>
      </c>
      <c r="B822" s="95">
        <v>1</v>
      </c>
      <c r="C822" s="95">
        <v>0</v>
      </c>
      <c r="D822" s="19" t="s">
        <v>1682</v>
      </c>
      <c r="E822" s="15" t="s">
        <v>1683</v>
      </c>
      <c r="F822" s="95">
        <f t="shared" si="88"/>
        <v>2019</v>
      </c>
      <c r="G822" s="34">
        <v>43809</v>
      </c>
      <c r="H822" s="22" t="s">
        <v>2981</v>
      </c>
      <c r="I822" s="64">
        <v>0</v>
      </c>
      <c r="J822" s="43" t="s">
        <v>1689</v>
      </c>
      <c r="K822" s="17">
        <v>0</v>
      </c>
      <c r="L822" s="59">
        <v>1</v>
      </c>
      <c r="M822" t="s">
        <v>2859</v>
      </c>
      <c r="N822" s="54" t="s">
        <v>2631</v>
      </c>
      <c r="O822" s="19"/>
      <c r="P822" s="19" t="s">
        <v>1690</v>
      </c>
      <c r="Q822" s="100" t="s">
        <v>1691</v>
      </c>
      <c r="R822" s="95">
        <v>1</v>
      </c>
      <c r="S822" s="95">
        <v>0</v>
      </c>
      <c r="T822" s="95">
        <v>0</v>
      </c>
      <c r="U822" s="95">
        <v>1</v>
      </c>
      <c r="V822" s="95">
        <v>1</v>
      </c>
      <c r="W822" s="95">
        <v>234</v>
      </c>
      <c r="X822" s="95">
        <v>7</v>
      </c>
      <c r="Y822" s="95">
        <v>3</v>
      </c>
      <c r="Z822" s="95">
        <f t="shared" si="83"/>
        <v>244</v>
      </c>
      <c r="AA822" s="11">
        <f t="shared" si="84"/>
        <v>0.95901639344262291</v>
      </c>
      <c r="AB822" s="11">
        <f t="shared" si="85"/>
        <v>2.8688524590163935E-2</v>
      </c>
      <c r="AC822" s="66">
        <f t="shared" si="86"/>
        <v>0.95901639344262291</v>
      </c>
      <c r="AD822" s="67">
        <f t="shared" si="87"/>
        <v>0.93852459016393441</v>
      </c>
    </row>
    <row r="823" spans="1:30" ht="14.5" customHeight="1" x14ac:dyDescent="0.2">
      <c r="A823" t="s">
        <v>2533</v>
      </c>
      <c r="B823" s="95">
        <v>1</v>
      </c>
      <c r="C823" s="95">
        <v>0</v>
      </c>
      <c r="D823" s="19" t="s">
        <v>1682</v>
      </c>
      <c r="E823" s="15" t="s">
        <v>1683</v>
      </c>
      <c r="F823" s="95">
        <f t="shared" si="88"/>
        <v>2019</v>
      </c>
      <c r="G823" s="34">
        <v>43809</v>
      </c>
      <c r="H823" s="22" t="s">
        <v>2981</v>
      </c>
      <c r="I823" s="64">
        <v>0</v>
      </c>
      <c r="J823" s="43" t="s">
        <v>1655</v>
      </c>
      <c r="K823" s="17">
        <v>0</v>
      </c>
      <c r="L823" s="59">
        <v>1</v>
      </c>
      <c r="M823" s="56" t="s">
        <v>2644</v>
      </c>
      <c r="N823" s="56" t="s">
        <v>2121</v>
      </c>
      <c r="O823" s="19"/>
      <c r="P823" s="19" t="s">
        <v>1690</v>
      </c>
      <c r="Q823" s="100" t="s">
        <v>1692</v>
      </c>
      <c r="R823" s="95">
        <v>1</v>
      </c>
      <c r="S823" s="95">
        <v>0</v>
      </c>
      <c r="T823" s="95">
        <v>0</v>
      </c>
      <c r="U823" s="95">
        <v>1</v>
      </c>
      <c r="V823" s="95">
        <v>1</v>
      </c>
      <c r="W823" s="95">
        <v>233</v>
      </c>
      <c r="X823" s="95">
        <v>8</v>
      </c>
      <c r="Y823" s="95">
        <v>4</v>
      </c>
      <c r="Z823" s="95">
        <f t="shared" si="83"/>
        <v>245</v>
      </c>
      <c r="AA823" s="11">
        <f t="shared" si="84"/>
        <v>0.95102040816326527</v>
      </c>
      <c r="AB823" s="11">
        <f t="shared" si="85"/>
        <v>3.2653061224489799E-2</v>
      </c>
      <c r="AC823" s="66">
        <f t="shared" si="86"/>
        <v>0.95102040816326527</v>
      </c>
      <c r="AD823" s="67">
        <f t="shared" si="87"/>
        <v>0.92653061224489797</v>
      </c>
    </row>
    <row r="824" spans="1:30" ht="14.5" customHeight="1" x14ac:dyDescent="0.2">
      <c r="A824" t="s">
        <v>2533</v>
      </c>
      <c r="B824" s="95">
        <v>1</v>
      </c>
      <c r="C824" s="95">
        <v>0</v>
      </c>
      <c r="D824" s="19" t="s">
        <v>1682</v>
      </c>
      <c r="E824" s="15" t="s">
        <v>1683</v>
      </c>
      <c r="F824" s="95">
        <f t="shared" si="88"/>
        <v>2019</v>
      </c>
      <c r="G824" s="34">
        <v>43809</v>
      </c>
      <c r="H824" s="22" t="s">
        <v>2981</v>
      </c>
      <c r="I824" s="64">
        <v>0</v>
      </c>
      <c r="J824" s="43" t="s">
        <v>1629</v>
      </c>
      <c r="K824" s="17">
        <v>0</v>
      </c>
      <c r="L824" s="59">
        <v>1</v>
      </c>
      <c r="M824" t="s">
        <v>202</v>
      </c>
      <c r="N824" t="s">
        <v>2121</v>
      </c>
      <c r="O824" s="19"/>
      <c r="P824" s="19" t="s">
        <v>1690</v>
      </c>
      <c r="Q824" s="100" t="s">
        <v>1694</v>
      </c>
      <c r="R824" s="95">
        <v>1</v>
      </c>
      <c r="S824" s="95">
        <v>0</v>
      </c>
      <c r="T824" s="95">
        <v>0</v>
      </c>
      <c r="U824" s="95">
        <v>1</v>
      </c>
      <c r="V824" s="95">
        <v>1</v>
      </c>
      <c r="W824" s="95">
        <v>230</v>
      </c>
      <c r="X824" s="95">
        <v>0</v>
      </c>
      <c r="Y824" s="95">
        <v>9</v>
      </c>
      <c r="Z824" s="95">
        <f t="shared" si="83"/>
        <v>239</v>
      </c>
      <c r="AA824" s="11">
        <f t="shared" si="84"/>
        <v>0.96234309623430958</v>
      </c>
      <c r="AB824" s="11">
        <f t="shared" si="85"/>
        <v>0</v>
      </c>
      <c r="AC824" s="66">
        <f t="shared" si="86"/>
        <v>0.96234309623430958</v>
      </c>
      <c r="AD824" s="67">
        <f t="shared" si="87"/>
        <v>0.94351464435146448</v>
      </c>
    </row>
    <row r="825" spans="1:30" ht="14.5" customHeight="1" x14ac:dyDescent="0.2">
      <c r="A825" t="s">
        <v>2533</v>
      </c>
      <c r="B825" s="95">
        <v>1</v>
      </c>
      <c r="C825" s="95">
        <v>0</v>
      </c>
      <c r="D825" s="19" t="s">
        <v>1682</v>
      </c>
      <c r="E825" s="15" t="s">
        <v>1683</v>
      </c>
      <c r="F825" s="95">
        <f t="shared" si="88"/>
        <v>2019</v>
      </c>
      <c r="G825" s="34">
        <v>43809</v>
      </c>
      <c r="H825" s="22" t="s">
        <v>2981</v>
      </c>
      <c r="I825" s="64">
        <v>0</v>
      </c>
      <c r="J825" s="43" t="s">
        <v>1650</v>
      </c>
      <c r="K825" s="17">
        <v>0</v>
      </c>
      <c r="L825" s="59">
        <v>1</v>
      </c>
      <c r="M825" s="22" t="s">
        <v>2577</v>
      </c>
      <c r="N825" s="22" t="s">
        <v>2629</v>
      </c>
      <c r="O825" s="19"/>
      <c r="P825" s="19" t="s">
        <v>1690</v>
      </c>
      <c r="Q825" s="100" t="s">
        <v>1693</v>
      </c>
      <c r="R825" s="95">
        <v>1</v>
      </c>
      <c r="S825" s="95">
        <v>0</v>
      </c>
      <c r="T825" s="95">
        <v>0</v>
      </c>
      <c r="U825" s="95">
        <v>1</v>
      </c>
      <c r="V825" s="95">
        <v>1</v>
      </c>
      <c r="W825" s="95">
        <v>227</v>
      </c>
      <c r="X825" s="95">
        <v>0</v>
      </c>
      <c r="Y825" s="95">
        <v>11</v>
      </c>
      <c r="Z825" s="95">
        <f t="shared" si="83"/>
        <v>238</v>
      </c>
      <c r="AA825" s="11">
        <f t="shared" si="84"/>
        <v>0.95378151260504207</v>
      </c>
      <c r="AB825" s="11">
        <f t="shared" si="85"/>
        <v>0</v>
      </c>
      <c r="AC825" s="66">
        <f t="shared" si="86"/>
        <v>0.95378151260504207</v>
      </c>
      <c r="AD825" s="67">
        <f t="shared" si="87"/>
        <v>0.93067226890756305</v>
      </c>
    </row>
    <row r="826" spans="1:30" ht="14.5" customHeight="1" x14ac:dyDescent="0.2">
      <c r="A826" t="s">
        <v>1954</v>
      </c>
      <c r="B826" s="17">
        <v>0</v>
      </c>
      <c r="C826" s="17">
        <v>0</v>
      </c>
      <c r="D826" s="22" t="s">
        <v>1955</v>
      </c>
      <c r="E826" s="22" t="s">
        <v>3019</v>
      </c>
      <c r="F826" s="17">
        <f t="shared" si="88"/>
        <v>1996</v>
      </c>
      <c r="G826" s="18">
        <v>35418</v>
      </c>
      <c r="H826" s="22" t="s">
        <v>2978</v>
      </c>
      <c r="I826" s="64">
        <v>0</v>
      </c>
      <c r="J826" s="22" t="s">
        <v>1956</v>
      </c>
      <c r="K826" s="17">
        <v>0</v>
      </c>
      <c r="L826" s="17">
        <v>0</v>
      </c>
      <c r="M826" s="22" t="s">
        <v>2559</v>
      </c>
      <c r="N826" s="22" t="s">
        <v>2630</v>
      </c>
      <c r="Q826" s="29" t="s">
        <v>1957</v>
      </c>
      <c r="R826" s="17">
        <v>1</v>
      </c>
      <c r="S826" s="17">
        <v>0</v>
      </c>
      <c r="T826" s="17">
        <v>0</v>
      </c>
      <c r="U826" s="17">
        <v>1</v>
      </c>
      <c r="V826" s="17">
        <v>0</v>
      </c>
      <c r="W826" s="17" t="s">
        <v>26</v>
      </c>
      <c r="X826" s="17">
        <v>12</v>
      </c>
      <c r="Y826" s="17">
        <v>1</v>
      </c>
      <c r="AA826" s="92"/>
      <c r="AB826" s="92"/>
      <c r="AC826" s="93"/>
      <c r="AD826" s="67"/>
    </row>
    <row r="827" spans="1:30" ht="14.5" customHeight="1" x14ac:dyDescent="0.2">
      <c r="A827" t="s">
        <v>1954</v>
      </c>
      <c r="B827" s="17">
        <v>0</v>
      </c>
      <c r="C827" s="17">
        <v>0</v>
      </c>
      <c r="D827" s="22" t="s">
        <v>1955</v>
      </c>
      <c r="E827" s="22" t="s">
        <v>3019</v>
      </c>
      <c r="F827" s="17">
        <f t="shared" si="88"/>
        <v>1997</v>
      </c>
      <c r="G827" s="18">
        <v>35530</v>
      </c>
      <c r="H827" s="22" t="s">
        <v>2978</v>
      </c>
      <c r="I827" s="64">
        <v>0</v>
      </c>
      <c r="J827" s="22" t="s">
        <v>1958</v>
      </c>
      <c r="K827" s="17">
        <v>0</v>
      </c>
      <c r="L827" s="59">
        <v>1</v>
      </c>
      <c r="M827" t="s">
        <v>2580</v>
      </c>
      <c r="N827" s="22" t="s">
        <v>2630</v>
      </c>
      <c r="Q827" s="29" t="s">
        <v>1959</v>
      </c>
      <c r="R827" s="17">
        <v>1</v>
      </c>
      <c r="S827" s="17">
        <v>0</v>
      </c>
      <c r="T827" s="17">
        <v>0</v>
      </c>
      <c r="U827" s="17">
        <v>1</v>
      </c>
      <c r="V827" s="17">
        <v>0</v>
      </c>
      <c r="W827" s="17">
        <v>239</v>
      </c>
      <c r="X827" s="17">
        <v>65</v>
      </c>
      <c r="Y827" s="17">
        <v>64</v>
      </c>
      <c r="Z827" s="17">
        <f>SUM(W827:Y827)</f>
        <v>368</v>
      </c>
      <c r="AA827" s="11">
        <f>W827/Z827</f>
        <v>0.64945652173913049</v>
      </c>
      <c r="AB827" s="11">
        <f>X827/Z827</f>
        <v>0.1766304347826087</v>
      </c>
      <c r="AC827" s="66">
        <f>IF(K827=1,AB827,AA827)</f>
        <v>0.64945652173913049</v>
      </c>
      <c r="AD827" s="67">
        <f>SUM((MAX(W827,X827,Y827)-0.5*(SUM(W827+X827+Y827)-MAX(W827,X827,Y827)))/SUM(W827+X827+Y827))</f>
        <v>0.47418478260869568</v>
      </c>
    </row>
    <row r="828" spans="1:30" ht="14" customHeight="1" x14ac:dyDescent="0.2">
      <c r="A828" t="s">
        <v>1954</v>
      </c>
      <c r="B828" s="17">
        <v>0</v>
      </c>
      <c r="C828" s="17">
        <v>0</v>
      </c>
      <c r="D828" s="22" t="s">
        <v>1955</v>
      </c>
      <c r="E828" s="22" t="s">
        <v>3019</v>
      </c>
      <c r="F828" s="17">
        <f t="shared" si="88"/>
        <v>1997</v>
      </c>
      <c r="G828" s="18">
        <v>35590</v>
      </c>
      <c r="H828" s="22" t="s">
        <v>2978</v>
      </c>
      <c r="I828" s="64">
        <v>0</v>
      </c>
      <c r="J828" s="22" t="s">
        <v>1960</v>
      </c>
      <c r="K828" s="17">
        <v>0</v>
      </c>
      <c r="L828" s="17">
        <v>0</v>
      </c>
      <c r="M828" s="22" t="s">
        <v>2559</v>
      </c>
      <c r="N828" s="22" t="s">
        <v>2630</v>
      </c>
      <c r="Q828" s="29" t="s">
        <v>1961</v>
      </c>
      <c r="R828" s="17">
        <v>1</v>
      </c>
      <c r="S828" s="17">
        <v>0</v>
      </c>
      <c r="T828" s="17">
        <v>0</v>
      </c>
      <c r="U828" s="17">
        <v>1</v>
      </c>
      <c r="V828" s="17">
        <v>0</v>
      </c>
      <c r="W828" s="17" t="s">
        <v>26</v>
      </c>
      <c r="X828" s="17" t="s">
        <v>26</v>
      </c>
      <c r="Y828" s="17" t="s">
        <v>26</v>
      </c>
      <c r="AA828" s="92"/>
      <c r="AB828" s="92"/>
      <c r="AC828" s="93"/>
      <c r="AD828" s="67"/>
    </row>
    <row r="829" spans="1:30" ht="14.5" customHeight="1" x14ac:dyDescent="0.2">
      <c r="A829" t="s">
        <v>1954</v>
      </c>
      <c r="B829" s="17">
        <v>0</v>
      </c>
      <c r="C829" s="17">
        <v>0</v>
      </c>
      <c r="D829" s="22" t="s">
        <v>1955</v>
      </c>
      <c r="E829" s="22" t="s">
        <v>3019</v>
      </c>
      <c r="F829" s="17">
        <f t="shared" si="88"/>
        <v>1998</v>
      </c>
      <c r="G829" s="18">
        <v>35878</v>
      </c>
      <c r="H829" s="22" t="s">
        <v>2978</v>
      </c>
      <c r="I829" s="64">
        <v>0</v>
      </c>
      <c r="J829" s="22" t="s">
        <v>1962</v>
      </c>
      <c r="K829" s="17">
        <v>0</v>
      </c>
      <c r="L829" s="17">
        <v>0</v>
      </c>
      <c r="M829" s="22" t="s">
        <v>2559</v>
      </c>
      <c r="N829" s="22" t="s">
        <v>2630</v>
      </c>
      <c r="Q829" s="29" t="s">
        <v>1963</v>
      </c>
      <c r="R829" s="17">
        <v>1</v>
      </c>
      <c r="S829" s="17">
        <v>0</v>
      </c>
      <c r="T829" s="17">
        <v>0</v>
      </c>
      <c r="U829" s="17">
        <v>1</v>
      </c>
      <c r="V829" s="17">
        <v>1</v>
      </c>
      <c r="W829" s="17" t="s">
        <v>26</v>
      </c>
      <c r="X829" s="17">
        <v>30</v>
      </c>
      <c r="Y829" s="17">
        <v>26</v>
      </c>
      <c r="AA829" s="92"/>
      <c r="AB829" s="92"/>
      <c r="AC829" s="93"/>
      <c r="AD829" s="67"/>
    </row>
    <row r="830" spans="1:30" ht="14.5" customHeight="1" x14ac:dyDescent="0.2">
      <c r="A830" t="s">
        <v>1954</v>
      </c>
      <c r="B830" s="17">
        <v>0</v>
      </c>
      <c r="C830" s="17">
        <v>0</v>
      </c>
      <c r="D830" s="22" t="s">
        <v>1964</v>
      </c>
      <c r="E830" s="22" t="s">
        <v>3019</v>
      </c>
      <c r="F830" s="17">
        <f t="shared" si="88"/>
        <v>1998</v>
      </c>
      <c r="G830" s="18">
        <v>35956</v>
      </c>
      <c r="H830" s="22" t="s">
        <v>2978</v>
      </c>
      <c r="I830" s="64">
        <v>0</v>
      </c>
      <c r="J830" s="22" t="s">
        <v>1965</v>
      </c>
      <c r="K830" s="17">
        <v>0</v>
      </c>
      <c r="L830" s="59">
        <v>1</v>
      </c>
      <c r="M830" s="22" t="s">
        <v>119</v>
      </c>
      <c r="N830" s="22" t="s">
        <v>2637</v>
      </c>
      <c r="O830" s="22" t="s">
        <v>1966</v>
      </c>
      <c r="Q830" s="29" t="s">
        <v>1967</v>
      </c>
      <c r="R830" s="17">
        <v>1</v>
      </c>
      <c r="S830" s="17">
        <v>0</v>
      </c>
      <c r="T830" s="17">
        <v>0</v>
      </c>
      <c r="U830" s="17">
        <v>1</v>
      </c>
      <c r="V830" s="17">
        <v>0</v>
      </c>
      <c r="W830" s="17">
        <v>143</v>
      </c>
      <c r="X830" s="17">
        <v>68</v>
      </c>
      <c r="Y830" s="17">
        <v>40</v>
      </c>
      <c r="Z830" s="17">
        <f>SUM(W830:Y830)</f>
        <v>251</v>
      </c>
      <c r="AA830" s="11">
        <f>W830/Z830</f>
        <v>0.56972111553784865</v>
      </c>
      <c r="AB830" s="11">
        <f>X830/Z830</f>
        <v>0.27091633466135456</v>
      </c>
      <c r="AC830" s="66">
        <f>IF(K830=1,AB830,AA830)</f>
        <v>0.56972111553784865</v>
      </c>
      <c r="AD830" s="67">
        <f>SUM((MAX(W830,X830,Y830)-0.5*(SUM(W830+X830+Y830)-MAX(W830,X830,Y830)))/SUM(W830+X830+Y830))</f>
        <v>0.35458167330677293</v>
      </c>
    </row>
    <row r="831" spans="1:30" ht="14.5" customHeight="1" x14ac:dyDescent="0.2">
      <c r="A831" t="s">
        <v>1954</v>
      </c>
      <c r="B831" s="17">
        <v>0</v>
      </c>
      <c r="C831" s="17">
        <v>0</v>
      </c>
      <c r="D831" s="22" t="s">
        <v>1964</v>
      </c>
      <c r="E831" s="22" t="s">
        <v>3019</v>
      </c>
      <c r="F831" s="17">
        <f t="shared" si="88"/>
        <v>1998</v>
      </c>
      <c r="G831" s="18">
        <v>35964</v>
      </c>
      <c r="H831" s="22" t="s">
        <v>2978</v>
      </c>
      <c r="I831" s="64">
        <v>0</v>
      </c>
      <c r="J831" s="22" t="s">
        <v>1968</v>
      </c>
      <c r="K831" s="17">
        <v>0</v>
      </c>
      <c r="L831" s="17">
        <v>0</v>
      </c>
      <c r="M831" s="22" t="s">
        <v>2559</v>
      </c>
      <c r="N831" s="22" t="s">
        <v>2630</v>
      </c>
      <c r="Q831" s="29" t="s">
        <v>1969</v>
      </c>
      <c r="R831" s="17">
        <v>1</v>
      </c>
      <c r="S831" s="17">
        <v>0</v>
      </c>
      <c r="T831" s="17">
        <v>0</v>
      </c>
      <c r="U831" s="17">
        <v>1</v>
      </c>
      <c r="V831" s="17">
        <v>1</v>
      </c>
      <c r="W831" s="17" t="s">
        <v>26</v>
      </c>
      <c r="X831" s="17">
        <v>15</v>
      </c>
      <c r="Y831" s="17">
        <v>2</v>
      </c>
      <c r="AA831" s="92"/>
      <c r="AB831" s="92"/>
      <c r="AC831" s="93"/>
      <c r="AD831" s="67"/>
    </row>
    <row r="832" spans="1:30" ht="14.5" customHeight="1" x14ac:dyDescent="0.2">
      <c r="A832" t="s">
        <v>1954</v>
      </c>
      <c r="B832" s="17">
        <v>0</v>
      </c>
      <c r="C832" s="17">
        <v>0</v>
      </c>
      <c r="D832" s="22" t="s">
        <v>1964</v>
      </c>
      <c r="E832" s="22" t="s">
        <v>3019</v>
      </c>
      <c r="F832" s="17">
        <f t="shared" si="88"/>
        <v>1998</v>
      </c>
      <c r="G832" s="18">
        <v>36096</v>
      </c>
      <c r="H832" s="22" t="s">
        <v>2978</v>
      </c>
      <c r="I832" s="64">
        <v>0</v>
      </c>
      <c r="J832" s="22" t="s">
        <v>1970</v>
      </c>
      <c r="K832" s="17">
        <v>0</v>
      </c>
      <c r="L832" s="17">
        <v>0</v>
      </c>
      <c r="M832" s="22" t="s">
        <v>2621</v>
      </c>
      <c r="N832" s="22" t="s">
        <v>2630</v>
      </c>
      <c r="Q832" s="29" t="s">
        <v>1971</v>
      </c>
      <c r="R832" s="17">
        <v>1</v>
      </c>
      <c r="S832" s="17">
        <v>0</v>
      </c>
      <c r="T832" s="17">
        <v>0</v>
      </c>
      <c r="U832" s="17">
        <v>1</v>
      </c>
      <c r="V832" s="17">
        <v>0</v>
      </c>
      <c r="W832" s="17" t="s">
        <v>26</v>
      </c>
      <c r="X832" s="17">
        <v>0</v>
      </c>
      <c r="Y832" s="17" t="s">
        <v>26</v>
      </c>
      <c r="Z832" s="17" t="s">
        <v>1972</v>
      </c>
      <c r="AA832" s="11"/>
      <c r="AB832" s="11"/>
      <c r="AC832" s="66"/>
      <c r="AD832" s="67"/>
    </row>
    <row r="833" spans="1:30" ht="14.5" customHeight="1" x14ac:dyDescent="0.2">
      <c r="A833" t="s">
        <v>1954</v>
      </c>
      <c r="B833" s="17">
        <v>0</v>
      </c>
      <c r="C833" s="17">
        <v>0</v>
      </c>
      <c r="D833" s="22" t="s">
        <v>1964</v>
      </c>
      <c r="E833" s="22" t="s">
        <v>3019</v>
      </c>
      <c r="F833" s="17">
        <f t="shared" si="88"/>
        <v>1998</v>
      </c>
      <c r="G833" s="18">
        <v>36145</v>
      </c>
      <c r="H833" s="22" t="s">
        <v>2978</v>
      </c>
      <c r="I833" s="64">
        <v>0</v>
      </c>
      <c r="J833" s="22" t="s">
        <v>2541</v>
      </c>
      <c r="K833" s="17">
        <v>0</v>
      </c>
      <c r="L833" s="17">
        <v>0</v>
      </c>
      <c r="M833" s="22" t="s">
        <v>2604</v>
      </c>
      <c r="N833" s="22" t="s">
        <v>2630</v>
      </c>
      <c r="Q833" s="29" t="s">
        <v>1973</v>
      </c>
      <c r="R833" s="17">
        <v>1</v>
      </c>
      <c r="S833" s="17">
        <v>0</v>
      </c>
      <c r="T833" s="17">
        <v>0</v>
      </c>
      <c r="U833" s="17">
        <v>1</v>
      </c>
      <c r="V833" s="17">
        <v>1</v>
      </c>
      <c r="W833" s="17" t="s">
        <v>26</v>
      </c>
      <c r="X833" s="17">
        <v>19</v>
      </c>
      <c r="Y833" s="17">
        <v>13</v>
      </c>
      <c r="AA833" s="11"/>
      <c r="AB833" s="11"/>
      <c r="AC833" s="66"/>
      <c r="AD833" s="67"/>
    </row>
    <row r="834" spans="1:30" ht="14.5" customHeight="1" x14ac:dyDescent="0.2">
      <c r="A834" t="s">
        <v>1954</v>
      </c>
      <c r="B834" s="17">
        <v>0</v>
      </c>
      <c r="C834" s="17">
        <v>0</v>
      </c>
      <c r="D834" s="22" t="s">
        <v>1964</v>
      </c>
      <c r="E834" s="22" t="s">
        <v>3019</v>
      </c>
      <c r="F834" s="17">
        <f t="shared" si="88"/>
        <v>1999</v>
      </c>
      <c r="G834" s="18">
        <v>36328</v>
      </c>
      <c r="H834" s="22" t="s">
        <v>2978</v>
      </c>
      <c r="I834" s="64">
        <v>0</v>
      </c>
      <c r="J834" s="22" t="s">
        <v>1974</v>
      </c>
      <c r="K834" s="17">
        <v>0</v>
      </c>
      <c r="L834" s="17">
        <v>0</v>
      </c>
      <c r="M834" s="22" t="s">
        <v>2559</v>
      </c>
      <c r="N834" s="22" t="s">
        <v>2630</v>
      </c>
      <c r="Q834" s="29" t="s">
        <v>1975</v>
      </c>
      <c r="R834" s="17">
        <v>1</v>
      </c>
      <c r="S834" s="17">
        <v>0</v>
      </c>
      <c r="T834" s="17">
        <v>0</v>
      </c>
      <c r="U834" s="17">
        <v>1</v>
      </c>
      <c r="V834" s="17">
        <v>1</v>
      </c>
      <c r="W834" s="17" t="s">
        <v>26</v>
      </c>
      <c r="X834" s="17" t="s">
        <v>26</v>
      </c>
      <c r="Y834" s="17" t="s">
        <v>26</v>
      </c>
      <c r="AA834" s="92"/>
      <c r="AB834" s="92"/>
      <c r="AC834" s="93"/>
      <c r="AD834" s="67"/>
    </row>
    <row r="835" spans="1:30" ht="15" customHeight="1" x14ac:dyDescent="0.2">
      <c r="A835" t="s">
        <v>1954</v>
      </c>
      <c r="B835" s="17">
        <v>0</v>
      </c>
      <c r="C835" s="17">
        <v>0</v>
      </c>
      <c r="D835" s="22" t="s">
        <v>1964</v>
      </c>
      <c r="E835" s="22" t="s">
        <v>3019</v>
      </c>
      <c r="F835" s="17">
        <f t="shared" si="88"/>
        <v>1999</v>
      </c>
      <c r="G835" s="18">
        <v>36334</v>
      </c>
      <c r="H835" s="22" t="s">
        <v>2978</v>
      </c>
      <c r="I835" s="64">
        <v>0</v>
      </c>
      <c r="J835" s="50" t="s">
        <v>1976</v>
      </c>
      <c r="K835" s="17">
        <v>0</v>
      </c>
      <c r="L835" s="17">
        <v>0</v>
      </c>
      <c r="M835" s="22" t="s">
        <v>124</v>
      </c>
      <c r="N835" s="22" t="s">
        <v>2630</v>
      </c>
      <c r="O835" s="22" t="s">
        <v>1977</v>
      </c>
      <c r="Q835" s="29"/>
      <c r="R835" s="17">
        <v>1</v>
      </c>
      <c r="S835" s="17">
        <v>0</v>
      </c>
      <c r="T835" s="17">
        <v>0</v>
      </c>
      <c r="U835" s="17">
        <v>1</v>
      </c>
      <c r="V835" s="17">
        <v>1</v>
      </c>
      <c r="W835" s="17" t="s">
        <v>26</v>
      </c>
      <c r="X835" s="17" t="s">
        <v>26</v>
      </c>
      <c r="Y835" s="17" t="s">
        <v>26</v>
      </c>
      <c r="AA835" s="11"/>
      <c r="AB835" s="11"/>
      <c r="AC835" s="66"/>
      <c r="AD835" s="67"/>
    </row>
    <row r="836" spans="1:30" ht="14.5" customHeight="1" x14ac:dyDescent="0.2">
      <c r="A836" t="s">
        <v>1954</v>
      </c>
      <c r="B836" s="17">
        <v>0</v>
      </c>
      <c r="C836" s="17">
        <v>0</v>
      </c>
      <c r="D836" s="22" t="s">
        <v>1964</v>
      </c>
      <c r="E836" s="22" t="s">
        <v>3019</v>
      </c>
      <c r="F836" s="17">
        <f t="shared" si="88"/>
        <v>1999</v>
      </c>
      <c r="G836" s="18">
        <v>36412</v>
      </c>
      <c r="H836" s="22" t="s">
        <v>2978</v>
      </c>
      <c r="I836" s="64">
        <v>0</v>
      </c>
      <c r="J836" s="22" t="s">
        <v>1978</v>
      </c>
      <c r="K836" s="17">
        <v>0</v>
      </c>
      <c r="L836" s="17">
        <v>0</v>
      </c>
      <c r="M836" s="22" t="s">
        <v>2589</v>
      </c>
      <c r="N836" s="5" t="s">
        <v>2629</v>
      </c>
      <c r="Q836" s="29"/>
      <c r="R836" s="17">
        <v>1</v>
      </c>
      <c r="S836" s="17">
        <v>0</v>
      </c>
      <c r="T836" s="17">
        <v>0</v>
      </c>
      <c r="U836" s="17">
        <v>1</v>
      </c>
      <c r="V836" s="17">
        <v>0</v>
      </c>
      <c r="W836" s="17" t="s">
        <v>26</v>
      </c>
      <c r="X836" s="17" t="s">
        <v>26</v>
      </c>
      <c r="Y836" s="17" t="s">
        <v>26</v>
      </c>
      <c r="AA836" s="11"/>
      <c r="AB836" s="11"/>
      <c r="AC836" s="66"/>
      <c r="AD836" s="67"/>
    </row>
    <row r="837" spans="1:30" ht="14.5" customHeight="1" x14ac:dyDescent="0.2">
      <c r="A837" t="s">
        <v>1954</v>
      </c>
      <c r="B837" s="17">
        <v>0</v>
      </c>
      <c r="C837" s="17">
        <v>0</v>
      </c>
      <c r="D837" s="22" t="s">
        <v>1964</v>
      </c>
      <c r="E837" s="22" t="s">
        <v>3019</v>
      </c>
      <c r="F837" s="17">
        <f t="shared" si="88"/>
        <v>1999</v>
      </c>
      <c r="G837" s="18">
        <v>36493</v>
      </c>
      <c r="H837" s="22" t="s">
        <v>2978</v>
      </c>
      <c r="I837" s="64">
        <v>0</v>
      </c>
      <c r="J837" s="22" t="s">
        <v>1980</v>
      </c>
      <c r="K837" s="17">
        <v>0</v>
      </c>
      <c r="L837" s="17">
        <v>0</v>
      </c>
      <c r="M837" s="22" t="s">
        <v>165</v>
      </c>
      <c r="N837" s="24" t="s">
        <v>2630</v>
      </c>
      <c r="Q837" s="29"/>
      <c r="R837" s="17">
        <v>1</v>
      </c>
      <c r="S837" s="17">
        <v>0</v>
      </c>
      <c r="T837" s="17">
        <v>0</v>
      </c>
      <c r="U837" s="17">
        <v>1</v>
      </c>
      <c r="V837" s="17">
        <v>0</v>
      </c>
      <c r="W837" s="17" t="s">
        <v>26</v>
      </c>
      <c r="X837" s="17" t="s">
        <v>26</v>
      </c>
      <c r="Y837" s="17" t="s">
        <v>26</v>
      </c>
      <c r="AA837" s="11"/>
      <c r="AB837" s="11"/>
      <c r="AC837" s="66"/>
      <c r="AD837" s="67"/>
    </row>
    <row r="838" spans="1:30" ht="14.5" customHeight="1" x14ac:dyDescent="0.2">
      <c r="A838" t="s">
        <v>1954</v>
      </c>
      <c r="B838" s="17">
        <v>0</v>
      </c>
      <c r="C838" s="17">
        <v>0</v>
      </c>
      <c r="D838" s="22" t="s">
        <v>1964</v>
      </c>
      <c r="E838" s="22" t="s">
        <v>3019</v>
      </c>
      <c r="F838" s="17">
        <f t="shared" si="88"/>
        <v>1999</v>
      </c>
      <c r="G838" s="18">
        <v>36493</v>
      </c>
      <c r="H838" s="22" t="s">
        <v>2978</v>
      </c>
      <c r="I838" s="64">
        <v>0</v>
      </c>
      <c r="J838" s="50" t="s">
        <v>1979</v>
      </c>
      <c r="K838" s="17">
        <v>0</v>
      </c>
      <c r="L838" s="17">
        <v>0</v>
      </c>
      <c r="M838" s="22" t="s">
        <v>2590</v>
      </c>
      <c r="N838" s="22" t="s">
        <v>2630</v>
      </c>
      <c r="Q838" s="29"/>
      <c r="R838" s="17">
        <v>1</v>
      </c>
      <c r="S838" s="17">
        <v>0</v>
      </c>
      <c r="T838" s="17">
        <v>0</v>
      </c>
      <c r="U838" s="17">
        <v>1</v>
      </c>
      <c r="V838" s="17">
        <v>1</v>
      </c>
      <c r="W838" s="17" t="s">
        <v>26</v>
      </c>
      <c r="X838" s="17" t="s">
        <v>26</v>
      </c>
      <c r="Y838" s="17" t="s">
        <v>26</v>
      </c>
      <c r="AA838" s="11"/>
      <c r="AB838" s="11"/>
      <c r="AC838" s="66"/>
      <c r="AD838" s="67"/>
    </row>
    <row r="839" spans="1:30" ht="15" customHeight="1" x14ac:dyDescent="0.2">
      <c r="A839" t="s">
        <v>1954</v>
      </c>
      <c r="B839" s="17">
        <v>0</v>
      </c>
      <c r="C839" s="17">
        <v>0</v>
      </c>
      <c r="D839" s="22" t="s">
        <v>1981</v>
      </c>
      <c r="E839" s="22" t="s">
        <v>3020</v>
      </c>
      <c r="F839" s="17">
        <f t="shared" si="88"/>
        <v>2000</v>
      </c>
      <c r="G839" s="18">
        <v>36593</v>
      </c>
      <c r="H839" s="22" t="s">
        <v>2978</v>
      </c>
      <c r="I839" s="64">
        <v>0</v>
      </c>
      <c r="J839" s="22" t="s">
        <v>1985</v>
      </c>
      <c r="K839" s="17">
        <v>0</v>
      </c>
      <c r="L839" s="17">
        <v>0</v>
      </c>
      <c r="M839" s="22" t="s">
        <v>2589</v>
      </c>
      <c r="N839" s="5" t="s">
        <v>2629</v>
      </c>
      <c r="Q839" s="29" t="s">
        <v>1986</v>
      </c>
      <c r="R839" s="17">
        <v>1</v>
      </c>
      <c r="S839" s="17">
        <v>0</v>
      </c>
      <c r="T839" s="17">
        <v>0</v>
      </c>
      <c r="U839" s="17">
        <v>1</v>
      </c>
      <c r="V839" s="17">
        <v>1</v>
      </c>
      <c r="W839" s="17" t="s">
        <v>26</v>
      </c>
      <c r="X839" s="17">
        <v>2</v>
      </c>
      <c r="Y839" s="17">
        <v>3</v>
      </c>
      <c r="AA839" s="11"/>
      <c r="AB839" s="11"/>
      <c r="AC839" s="66"/>
      <c r="AD839" s="67"/>
    </row>
    <row r="840" spans="1:30" ht="14" customHeight="1" x14ac:dyDescent="0.2">
      <c r="A840" t="s">
        <v>1954</v>
      </c>
      <c r="B840" s="17">
        <v>0</v>
      </c>
      <c r="C840" s="17">
        <v>0</v>
      </c>
      <c r="D840" s="22" t="s">
        <v>1981</v>
      </c>
      <c r="E840" s="22" t="s">
        <v>3020</v>
      </c>
      <c r="F840" s="17">
        <f t="shared" si="88"/>
        <v>2000</v>
      </c>
      <c r="G840" s="18">
        <v>36593</v>
      </c>
      <c r="H840" s="22" t="s">
        <v>2978</v>
      </c>
      <c r="I840" s="64">
        <v>0</v>
      </c>
      <c r="J840" s="22" t="s">
        <v>1982</v>
      </c>
      <c r="K840" s="17">
        <v>0</v>
      </c>
      <c r="L840" s="17">
        <v>0</v>
      </c>
      <c r="M840" s="22" t="s">
        <v>135</v>
      </c>
      <c r="N840" s="22" t="s">
        <v>2630</v>
      </c>
      <c r="O840" s="22" t="s">
        <v>1983</v>
      </c>
      <c r="Q840" s="29" t="s">
        <v>1984</v>
      </c>
      <c r="R840" s="17">
        <v>1</v>
      </c>
      <c r="S840" s="17">
        <v>0</v>
      </c>
      <c r="T840" s="17">
        <v>0</v>
      </c>
      <c r="U840" s="17">
        <v>1</v>
      </c>
      <c r="V840" s="17">
        <v>1</v>
      </c>
      <c r="W840" s="17" t="s">
        <v>26</v>
      </c>
      <c r="X840" s="17">
        <v>4</v>
      </c>
      <c r="Y840" s="17">
        <v>28</v>
      </c>
      <c r="AA840" s="11"/>
      <c r="AB840" s="11"/>
      <c r="AC840" s="66"/>
      <c r="AD840" s="67"/>
    </row>
    <row r="841" spans="1:30" ht="14.5" customHeight="1" x14ac:dyDescent="0.2">
      <c r="A841" t="s">
        <v>1954</v>
      </c>
      <c r="B841" s="17">
        <v>0</v>
      </c>
      <c r="C841" s="17">
        <v>0</v>
      </c>
      <c r="D841" s="22" t="s">
        <v>1981</v>
      </c>
      <c r="E841" s="22" t="s">
        <v>3020</v>
      </c>
      <c r="F841" s="17">
        <f t="shared" si="88"/>
        <v>2000</v>
      </c>
      <c r="G841" s="18">
        <v>36684</v>
      </c>
      <c r="H841" s="22" t="s">
        <v>2978</v>
      </c>
      <c r="I841" s="64">
        <v>0</v>
      </c>
      <c r="J841" s="22" t="s">
        <v>1987</v>
      </c>
      <c r="K841" s="17">
        <v>0</v>
      </c>
      <c r="L841" s="17">
        <v>0</v>
      </c>
      <c r="M841" s="22" t="s">
        <v>2591</v>
      </c>
      <c r="N841" s="22" t="s">
        <v>2630</v>
      </c>
      <c r="Q841" s="29"/>
      <c r="R841" s="17">
        <v>1</v>
      </c>
      <c r="S841" s="17">
        <v>0</v>
      </c>
      <c r="T841" s="17">
        <v>0</v>
      </c>
      <c r="U841" s="17">
        <v>1</v>
      </c>
      <c r="V841" s="17">
        <v>1</v>
      </c>
      <c r="W841" s="17" t="s">
        <v>26</v>
      </c>
      <c r="X841" s="17" t="s">
        <v>26</v>
      </c>
      <c r="Y841" s="17" t="s">
        <v>26</v>
      </c>
      <c r="AA841" s="11"/>
      <c r="AB841" s="11"/>
      <c r="AC841" s="66"/>
      <c r="AD841" s="67"/>
    </row>
    <row r="842" spans="1:30" ht="14.5" customHeight="1" x14ac:dyDescent="0.2">
      <c r="A842" t="s">
        <v>1954</v>
      </c>
      <c r="B842" s="17">
        <v>0</v>
      </c>
      <c r="C842" s="17">
        <v>0</v>
      </c>
      <c r="D842" s="22" t="s">
        <v>1981</v>
      </c>
      <c r="E842" s="22" t="s">
        <v>3020</v>
      </c>
      <c r="F842" s="17">
        <f t="shared" si="88"/>
        <v>2000</v>
      </c>
      <c r="G842" s="18">
        <v>36704</v>
      </c>
      <c r="H842" s="22" t="s">
        <v>2978</v>
      </c>
      <c r="I842" s="64">
        <v>0</v>
      </c>
      <c r="J842" s="22" t="s">
        <v>1988</v>
      </c>
      <c r="K842" s="17">
        <v>0</v>
      </c>
      <c r="L842" s="17">
        <v>0</v>
      </c>
      <c r="M842" s="22" t="s">
        <v>2559</v>
      </c>
      <c r="N842" s="22" t="s">
        <v>2630</v>
      </c>
      <c r="Q842" s="29"/>
      <c r="R842" s="17">
        <v>1</v>
      </c>
      <c r="S842" s="17">
        <v>0</v>
      </c>
      <c r="T842" s="17">
        <v>0</v>
      </c>
      <c r="U842" s="17">
        <v>1</v>
      </c>
      <c r="V842" s="17">
        <v>1</v>
      </c>
      <c r="W842" s="17" t="s">
        <v>26</v>
      </c>
      <c r="X842" s="17" t="s">
        <v>26</v>
      </c>
      <c r="Y842" s="17" t="s">
        <v>26</v>
      </c>
      <c r="AA842" s="11"/>
      <c r="AB842" s="11"/>
      <c r="AC842" s="66"/>
      <c r="AD842" s="67"/>
    </row>
    <row r="843" spans="1:30" ht="14.5" customHeight="1" x14ac:dyDescent="0.2">
      <c r="A843" t="s">
        <v>1954</v>
      </c>
      <c r="B843" s="17">
        <v>0</v>
      </c>
      <c r="C843" s="17">
        <v>0</v>
      </c>
      <c r="D843" s="22" t="s">
        <v>1981</v>
      </c>
      <c r="E843" s="22" t="s">
        <v>3020</v>
      </c>
      <c r="F843" s="17">
        <f t="shared" si="88"/>
        <v>2000</v>
      </c>
      <c r="G843" s="18">
        <v>36789</v>
      </c>
      <c r="H843" s="22" t="s">
        <v>2978</v>
      </c>
      <c r="I843" s="64">
        <v>0</v>
      </c>
      <c r="J843" s="22" t="s">
        <v>1991</v>
      </c>
      <c r="K843" s="17">
        <v>0</v>
      </c>
      <c r="L843" s="17">
        <v>1</v>
      </c>
      <c r="M843" s="22" t="s">
        <v>2589</v>
      </c>
      <c r="N843" s="5" t="s">
        <v>2629</v>
      </c>
      <c r="Q843" s="29" t="s">
        <v>1992</v>
      </c>
      <c r="R843" s="17">
        <v>1</v>
      </c>
      <c r="S843" s="17">
        <v>0</v>
      </c>
      <c r="T843" s="17">
        <v>0</v>
      </c>
      <c r="U843" s="17">
        <v>1</v>
      </c>
      <c r="V843" s="17">
        <v>1</v>
      </c>
      <c r="W843" s="17" t="s">
        <v>56</v>
      </c>
      <c r="X843" s="17" t="s">
        <v>56</v>
      </c>
      <c r="Y843" s="17" t="s">
        <v>56</v>
      </c>
      <c r="AA843" s="11">
        <v>1</v>
      </c>
      <c r="AB843" s="11">
        <v>0</v>
      </c>
      <c r="AC843" s="66">
        <f>IF(K843=1,AB843,AA843)</f>
        <v>1</v>
      </c>
      <c r="AD843" s="67"/>
    </row>
    <row r="844" spans="1:30" ht="14.5" customHeight="1" x14ac:dyDescent="0.2">
      <c r="A844" t="s">
        <v>1954</v>
      </c>
      <c r="B844" s="17">
        <v>0</v>
      </c>
      <c r="C844" s="17">
        <v>0</v>
      </c>
      <c r="D844" s="22" t="s">
        <v>1981</v>
      </c>
      <c r="E844" s="22" t="s">
        <v>3020</v>
      </c>
      <c r="F844" s="17">
        <f t="shared" si="88"/>
        <v>2000</v>
      </c>
      <c r="G844" s="18">
        <v>36789</v>
      </c>
      <c r="H844" s="22" t="s">
        <v>2978</v>
      </c>
      <c r="I844" s="64">
        <v>0</v>
      </c>
      <c r="J844" s="22" t="s">
        <v>1989</v>
      </c>
      <c r="K844" s="17">
        <v>0</v>
      </c>
      <c r="L844" s="17">
        <v>0</v>
      </c>
      <c r="M844" s="22" t="s">
        <v>2548</v>
      </c>
      <c r="N844" t="s">
        <v>2629</v>
      </c>
      <c r="Q844" s="29" t="s">
        <v>1990</v>
      </c>
      <c r="R844" s="17">
        <v>1</v>
      </c>
      <c r="S844" s="17">
        <v>0</v>
      </c>
      <c r="T844" s="17">
        <v>0</v>
      </c>
      <c r="U844" s="17">
        <v>1</v>
      </c>
      <c r="V844" s="17">
        <v>0</v>
      </c>
      <c r="W844" s="17" t="s">
        <v>26</v>
      </c>
      <c r="X844" s="17">
        <v>2</v>
      </c>
      <c r="Y844" s="17">
        <v>3</v>
      </c>
      <c r="AA844" s="11"/>
      <c r="AB844" s="11"/>
      <c r="AC844" s="66"/>
      <c r="AD844" s="67"/>
    </row>
    <row r="845" spans="1:30" ht="14.5" customHeight="1" x14ac:dyDescent="0.2">
      <c r="A845" t="s">
        <v>1954</v>
      </c>
      <c r="B845" s="17">
        <v>0</v>
      </c>
      <c r="C845" s="17">
        <v>0</v>
      </c>
      <c r="D845" s="22" t="s">
        <v>1993</v>
      </c>
      <c r="E845" s="22" t="s">
        <v>3021</v>
      </c>
      <c r="F845" s="17">
        <f t="shared" si="88"/>
        <v>2001</v>
      </c>
      <c r="G845" s="18">
        <v>36929</v>
      </c>
      <c r="H845" s="22" t="s">
        <v>2978</v>
      </c>
      <c r="I845" s="64">
        <v>0</v>
      </c>
      <c r="J845" s="22" t="s">
        <v>1994</v>
      </c>
      <c r="K845" s="17">
        <v>0</v>
      </c>
      <c r="L845" s="17">
        <v>1</v>
      </c>
      <c r="M845" s="22" t="s">
        <v>165</v>
      </c>
      <c r="N845" s="24" t="s">
        <v>2630</v>
      </c>
      <c r="Q845" s="29" t="s">
        <v>1995</v>
      </c>
      <c r="R845" s="17">
        <v>1</v>
      </c>
      <c r="S845" s="17">
        <v>0</v>
      </c>
      <c r="T845" s="17">
        <v>0</v>
      </c>
      <c r="U845" s="17">
        <v>1</v>
      </c>
      <c r="V845" s="17">
        <v>1</v>
      </c>
      <c r="W845" s="17" t="s">
        <v>56</v>
      </c>
      <c r="X845" s="17" t="s">
        <v>56</v>
      </c>
      <c r="Y845" s="17" t="s">
        <v>56</v>
      </c>
      <c r="AA845" s="11">
        <v>1</v>
      </c>
      <c r="AB845" s="11">
        <v>0</v>
      </c>
      <c r="AC845" s="66">
        <f>IF(K845=1,AB845,AA845)</f>
        <v>1</v>
      </c>
      <c r="AD845" s="67"/>
    </row>
    <row r="846" spans="1:30" ht="14.5" customHeight="1" x14ac:dyDescent="0.2">
      <c r="A846" t="s">
        <v>1954</v>
      </c>
      <c r="B846" s="17">
        <v>0</v>
      </c>
      <c r="C846" s="17">
        <v>0</v>
      </c>
      <c r="D846" s="22" t="s">
        <v>1993</v>
      </c>
      <c r="E846" s="22" t="s">
        <v>3021</v>
      </c>
      <c r="F846" s="17">
        <f t="shared" si="88"/>
        <v>2001</v>
      </c>
      <c r="G846" s="18">
        <v>37056</v>
      </c>
      <c r="H846" s="22" t="s">
        <v>2978</v>
      </c>
      <c r="I846" s="64">
        <v>0</v>
      </c>
      <c r="J846" s="22" t="s">
        <v>1996</v>
      </c>
      <c r="K846" s="17">
        <v>0</v>
      </c>
      <c r="L846" s="59">
        <v>1</v>
      </c>
      <c r="M846" s="22" t="s">
        <v>2559</v>
      </c>
      <c r="N846" s="22" t="s">
        <v>2630</v>
      </c>
      <c r="Q846" s="29" t="s">
        <v>1997</v>
      </c>
      <c r="R846" s="17">
        <v>1</v>
      </c>
      <c r="S846" s="17">
        <v>0</v>
      </c>
      <c r="T846" s="17">
        <v>0</v>
      </c>
      <c r="U846" s="17">
        <v>1</v>
      </c>
      <c r="V846" s="17">
        <v>1</v>
      </c>
      <c r="W846" s="17">
        <v>383</v>
      </c>
      <c r="X846" s="17">
        <v>0</v>
      </c>
      <c r="Y846" s="17">
        <v>0</v>
      </c>
      <c r="Z846" s="17">
        <f>SUM(W846:Y846)</f>
        <v>383</v>
      </c>
      <c r="AA846" s="11">
        <f>W846/Z846</f>
        <v>1</v>
      </c>
      <c r="AB846" s="11">
        <f>X846/Z846</f>
        <v>0</v>
      </c>
      <c r="AC846" s="66">
        <f>IF(K846=1,AB846,AA846)</f>
        <v>1</v>
      </c>
      <c r="AD846" s="67">
        <f>SUM((MAX(W846,X846,Y846)-0.5*(SUM(W846+X846+Y846)-MAX(W846,X846,Y846)))/SUM(W846+X846+Y846))</f>
        <v>1</v>
      </c>
    </row>
    <row r="847" spans="1:30" ht="14.5" customHeight="1" x14ac:dyDescent="0.2">
      <c r="A847" t="s">
        <v>1954</v>
      </c>
      <c r="B847" s="17">
        <v>0</v>
      </c>
      <c r="C847" s="17">
        <v>0</v>
      </c>
      <c r="D847" s="22" t="s">
        <v>1993</v>
      </c>
      <c r="E847" s="22" t="s">
        <v>3021</v>
      </c>
      <c r="F847" s="17">
        <f t="shared" si="88"/>
        <v>2001</v>
      </c>
      <c r="G847" s="18">
        <v>37153</v>
      </c>
      <c r="H847" s="22" t="s">
        <v>2978</v>
      </c>
      <c r="I847" s="64">
        <v>0</v>
      </c>
      <c r="J847" s="22" t="s">
        <v>1998</v>
      </c>
      <c r="K847" s="17">
        <v>0</v>
      </c>
      <c r="L847" s="17">
        <v>0</v>
      </c>
      <c r="M847" s="22" t="s">
        <v>135</v>
      </c>
      <c r="N847" s="22" t="s">
        <v>2630</v>
      </c>
      <c r="O847" s="22" t="s">
        <v>1983</v>
      </c>
      <c r="Q847" s="29" t="s">
        <v>1999</v>
      </c>
      <c r="R847" s="17">
        <v>1</v>
      </c>
      <c r="S847" s="17">
        <v>0</v>
      </c>
      <c r="T847" s="17">
        <v>0</v>
      </c>
      <c r="U847" s="17">
        <v>1</v>
      </c>
      <c r="V847" s="17">
        <v>1</v>
      </c>
      <c r="W847" s="17" t="s">
        <v>26</v>
      </c>
      <c r="X847" s="17">
        <v>0</v>
      </c>
      <c r="Y847" s="17">
        <v>1</v>
      </c>
      <c r="AA847" s="92"/>
      <c r="AB847" s="92"/>
      <c r="AC847" s="93"/>
      <c r="AD847" s="67"/>
    </row>
    <row r="848" spans="1:30" ht="14.5" customHeight="1" x14ac:dyDescent="0.2">
      <c r="A848" t="s">
        <v>1954</v>
      </c>
      <c r="B848" s="17">
        <v>0</v>
      </c>
      <c r="C848" s="17">
        <v>0</v>
      </c>
      <c r="D848" s="22" t="s">
        <v>1993</v>
      </c>
      <c r="E848" s="22" t="s">
        <v>3021</v>
      </c>
      <c r="F848" s="17">
        <f t="shared" si="88"/>
        <v>2001</v>
      </c>
      <c r="G848" s="18">
        <v>37153</v>
      </c>
      <c r="H848" s="22" t="s">
        <v>2978</v>
      </c>
      <c r="I848" s="64">
        <v>0</v>
      </c>
      <c r="J848" s="22" t="s">
        <v>2000</v>
      </c>
      <c r="K848" s="17">
        <v>0</v>
      </c>
      <c r="L848" s="17">
        <v>0</v>
      </c>
      <c r="M848" s="48" t="s">
        <v>2624</v>
      </c>
      <c r="N848" s="22" t="s">
        <v>2637</v>
      </c>
      <c r="Q848" s="29" t="s">
        <v>2001</v>
      </c>
      <c r="R848" s="17">
        <v>1</v>
      </c>
      <c r="S848" s="17">
        <v>0</v>
      </c>
      <c r="T848" s="17">
        <v>0</v>
      </c>
      <c r="U848" s="17">
        <v>1</v>
      </c>
      <c r="V848" s="17">
        <v>0</v>
      </c>
      <c r="W848" s="17" t="s">
        <v>26</v>
      </c>
      <c r="X848" s="17">
        <v>0</v>
      </c>
      <c r="Y848" s="17">
        <v>1</v>
      </c>
      <c r="AA848" s="11"/>
      <c r="AB848" s="11"/>
      <c r="AC848" s="66"/>
      <c r="AD848" s="67"/>
    </row>
    <row r="849" spans="1:32" ht="15" customHeight="1" x14ac:dyDescent="0.2">
      <c r="A849" t="s">
        <v>1954</v>
      </c>
      <c r="B849" s="17">
        <v>0</v>
      </c>
      <c r="C849" s="17">
        <v>0</v>
      </c>
      <c r="D849" s="22" t="s">
        <v>1993</v>
      </c>
      <c r="E849" s="22" t="s">
        <v>3021</v>
      </c>
      <c r="F849" s="17">
        <f t="shared" si="88"/>
        <v>2001</v>
      </c>
      <c r="G849" s="18">
        <v>37210</v>
      </c>
      <c r="H849" s="22" t="s">
        <v>2978</v>
      </c>
      <c r="I849" s="64">
        <v>0</v>
      </c>
      <c r="J849" s="22" t="s">
        <v>2002</v>
      </c>
      <c r="K849" s="17">
        <v>0</v>
      </c>
      <c r="L849" s="17">
        <v>0</v>
      </c>
      <c r="M849" s="22" t="s">
        <v>135</v>
      </c>
      <c r="N849" s="22" t="s">
        <v>2630</v>
      </c>
      <c r="O849" s="22" t="s">
        <v>1983</v>
      </c>
      <c r="Q849" s="29" t="s">
        <v>2003</v>
      </c>
      <c r="R849" s="17">
        <v>1</v>
      </c>
      <c r="S849" s="17">
        <v>0</v>
      </c>
      <c r="T849" s="17">
        <v>0</v>
      </c>
      <c r="U849" s="17">
        <v>1</v>
      </c>
      <c r="V849" s="17">
        <v>0</v>
      </c>
      <c r="W849" s="17" t="s">
        <v>26</v>
      </c>
      <c r="X849" s="17">
        <v>0</v>
      </c>
      <c r="Y849" s="17">
        <v>1</v>
      </c>
      <c r="AA849" s="92"/>
      <c r="AB849" s="92"/>
      <c r="AC849" s="93"/>
      <c r="AD849" s="67"/>
    </row>
    <row r="850" spans="1:32" ht="14.5" customHeight="1" x14ac:dyDescent="0.2">
      <c r="A850" t="s">
        <v>1954</v>
      </c>
      <c r="B850" s="17">
        <v>0</v>
      </c>
      <c r="C850" s="17">
        <v>0</v>
      </c>
      <c r="D850" s="22" t="s">
        <v>1993</v>
      </c>
      <c r="E850" s="22" t="s">
        <v>3021</v>
      </c>
      <c r="F850" s="17">
        <f t="shared" si="88"/>
        <v>2001</v>
      </c>
      <c r="G850" s="18">
        <v>37210</v>
      </c>
      <c r="H850" s="22" t="s">
        <v>2978</v>
      </c>
      <c r="I850" s="64">
        <v>0</v>
      </c>
      <c r="J850" s="22" t="s">
        <v>2004</v>
      </c>
      <c r="K850" s="17">
        <v>0</v>
      </c>
      <c r="L850" s="17">
        <v>1</v>
      </c>
      <c r="M850" s="22" t="s">
        <v>2885</v>
      </c>
      <c r="N850" s="22" t="s">
        <v>2630</v>
      </c>
      <c r="O850" s="22" t="s">
        <v>2005</v>
      </c>
      <c r="Q850" s="29" t="s">
        <v>2006</v>
      </c>
      <c r="R850" s="17">
        <v>1</v>
      </c>
      <c r="S850" s="17">
        <v>0</v>
      </c>
      <c r="T850" s="17">
        <v>0</v>
      </c>
      <c r="U850" s="17">
        <v>1</v>
      </c>
      <c r="V850" s="17">
        <v>1</v>
      </c>
      <c r="W850" s="17" t="s">
        <v>56</v>
      </c>
      <c r="X850" s="17" t="s">
        <v>56</v>
      </c>
      <c r="Y850" s="17" t="s">
        <v>56</v>
      </c>
      <c r="AA850" s="11">
        <v>1</v>
      </c>
      <c r="AB850" s="11">
        <v>0</v>
      </c>
      <c r="AC850" s="66">
        <f>IF(K850=1,AB850,AA850)</f>
        <v>1</v>
      </c>
      <c r="AD850" s="67"/>
    </row>
    <row r="851" spans="1:32" ht="14.5" customHeight="1" x14ac:dyDescent="0.2">
      <c r="A851" t="s">
        <v>1954</v>
      </c>
      <c r="B851" s="17">
        <v>0</v>
      </c>
      <c r="C851" s="17">
        <v>0</v>
      </c>
      <c r="D851" s="22" t="s">
        <v>1993</v>
      </c>
      <c r="E851" s="22" t="s">
        <v>3021</v>
      </c>
      <c r="F851" s="17">
        <f t="shared" si="88"/>
        <v>2001</v>
      </c>
      <c r="G851" s="18">
        <v>37246</v>
      </c>
      <c r="H851" s="22" t="s">
        <v>2978</v>
      </c>
      <c r="I851" s="64">
        <v>0</v>
      </c>
      <c r="J851" s="22" t="s">
        <v>2007</v>
      </c>
      <c r="K851" s="17">
        <v>0</v>
      </c>
      <c r="L851" s="17">
        <v>0</v>
      </c>
      <c r="M851" s="22" t="s">
        <v>129</v>
      </c>
      <c r="N851" s="22" t="s">
        <v>422</v>
      </c>
      <c r="Q851" s="29"/>
      <c r="R851" s="17">
        <v>1</v>
      </c>
      <c r="S851" s="17">
        <v>0</v>
      </c>
      <c r="T851" s="17">
        <v>0</v>
      </c>
      <c r="U851" s="17">
        <v>1</v>
      </c>
      <c r="V851" s="17">
        <v>0</v>
      </c>
      <c r="W851" s="17" t="s">
        <v>26</v>
      </c>
      <c r="X851" s="17" t="s">
        <v>26</v>
      </c>
      <c r="Y851" s="17" t="s">
        <v>26</v>
      </c>
      <c r="AA851" s="11"/>
      <c r="AB851" s="11"/>
      <c r="AC851" s="66"/>
      <c r="AD851" s="67"/>
    </row>
    <row r="852" spans="1:32" ht="14.5" customHeight="1" x14ac:dyDescent="0.2">
      <c r="A852" t="s">
        <v>1954</v>
      </c>
      <c r="B852" s="17">
        <v>0</v>
      </c>
      <c r="C852" s="17">
        <v>0</v>
      </c>
      <c r="D852" s="22" t="s">
        <v>1993</v>
      </c>
      <c r="E852" s="22" t="s">
        <v>3021</v>
      </c>
      <c r="F852" s="17">
        <f t="shared" si="88"/>
        <v>2002</v>
      </c>
      <c r="G852" s="18">
        <v>37301</v>
      </c>
      <c r="H852" s="22" t="s">
        <v>2978</v>
      </c>
      <c r="I852" s="64">
        <v>0</v>
      </c>
      <c r="J852" s="22" t="s">
        <v>2008</v>
      </c>
      <c r="K852" s="17">
        <v>0</v>
      </c>
      <c r="L852" s="17">
        <v>1</v>
      </c>
      <c r="M852" s="22" t="s">
        <v>165</v>
      </c>
      <c r="N852" s="24" t="s">
        <v>2630</v>
      </c>
      <c r="Q852" s="29" t="s">
        <v>2009</v>
      </c>
      <c r="R852" s="17">
        <v>1</v>
      </c>
      <c r="S852" s="17">
        <v>0</v>
      </c>
      <c r="T852" s="17">
        <v>0</v>
      </c>
      <c r="U852" s="17">
        <v>1</v>
      </c>
      <c r="V852" s="17">
        <v>1</v>
      </c>
      <c r="W852" s="17" t="s">
        <v>56</v>
      </c>
      <c r="X852" s="17" t="s">
        <v>56</v>
      </c>
      <c r="Y852" s="17" t="s">
        <v>56</v>
      </c>
      <c r="AA852" s="11">
        <v>1</v>
      </c>
      <c r="AB852" s="11">
        <v>0</v>
      </c>
      <c r="AC852" s="66">
        <f>IF(K852=1,AB852,AA852)</f>
        <v>1</v>
      </c>
      <c r="AD852" s="67"/>
    </row>
    <row r="853" spans="1:32" ht="14.5" customHeight="1" x14ac:dyDescent="0.2">
      <c r="A853" t="s">
        <v>1954</v>
      </c>
      <c r="B853" s="17">
        <v>0</v>
      </c>
      <c r="C853" s="17">
        <v>0</v>
      </c>
      <c r="D853" s="22" t="s">
        <v>1993</v>
      </c>
      <c r="E853" s="22" t="s">
        <v>3021</v>
      </c>
      <c r="F853" s="17">
        <f t="shared" si="88"/>
        <v>2002</v>
      </c>
      <c r="G853" s="18">
        <v>37335</v>
      </c>
      <c r="H853" s="22" t="s">
        <v>2978</v>
      </c>
      <c r="I853" s="64">
        <v>0</v>
      </c>
      <c r="J853" s="22" t="s">
        <v>2010</v>
      </c>
      <c r="K853" s="17">
        <v>0</v>
      </c>
      <c r="L853" s="17">
        <v>1</v>
      </c>
      <c r="M853" s="22" t="s">
        <v>129</v>
      </c>
      <c r="N853" s="22" t="s">
        <v>422</v>
      </c>
      <c r="Q853" s="29" t="s">
        <v>2011</v>
      </c>
      <c r="R853" s="17">
        <v>1</v>
      </c>
      <c r="S853" s="17">
        <v>0</v>
      </c>
      <c r="T853" s="17">
        <v>0</v>
      </c>
      <c r="U853" s="17">
        <v>1</v>
      </c>
      <c r="V853" s="17">
        <v>0</v>
      </c>
      <c r="W853" s="17" t="s">
        <v>56</v>
      </c>
      <c r="X853" s="17" t="s">
        <v>56</v>
      </c>
      <c r="Y853" s="17" t="s">
        <v>56</v>
      </c>
      <c r="AA853" s="11">
        <v>1</v>
      </c>
      <c r="AB853" s="11">
        <v>0</v>
      </c>
      <c r="AC853" s="66">
        <f>IF(K853=1,AB853,AA853)</f>
        <v>1</v>
      </c>
      <c r="AD853" s="67"/>
    </row>
    <row r="854" spans="1:32" ht="14.5" customHeight="1" x14ac:dyDescent="0.2">
      <c r="A854" t="s">
        <v>1954</v>
      </c>
      <c r="B854" s="17">
        <v>0</v>
      </c>
      <c r="C854" s="17">
        <v>0</v>
      </c>
      <c r="D854" s="22" t="s">
        <v>1993</v>
      </c>
      <c r="E854" s="22" t="s">
        <v>3021</v>
      </c>
      <c r="F854" s="17">
        <f t="shared" si="88"/>
        <v>2002</v>
      </c>
      <c r="G854" s="18">
        <v>37376</v>
      </c>
      <c r="H854" s="22" t="s">
        <v>2978</v>
      </c>
      <c r="I854" s="64">
        <v>0</v>
      </c>
      <c r="J854" s="22" t="s">
        <v>2012</v>
      </c>
      <c r="K854" s="17">
        <v>0</v>
      </c>
      <c r="L854" s="59">
        <v>1</v>
      </c>
      <c r="M854" t="s">
        <v>830</v>
      </c>
      <c r="N854" s="5" t="s">
        <v>422</v>
      </c>
      <c r="Q854" s="29" t="s">
        <v>2013</v>
      </c>
      <c r="R854" s="17">
        <v>1</v>
      </c>
      <c r="S854" s="17">
        <v>0</v>
      </c>
      <c r="T854" s="17">
        <v>0</v>
      </c>
      <c r="U854" s="17">
        <v>1</v>
      </c>
      <c r="V854" s="17">
        <v>0</v>
      </c>
      <c r="W854" s="17">
        <v>305</v>
      </c>
      <c r="X854" s="17">
        <v>6</v>
      </c>
      <c r="Y854" s="17">
        <v>58</v>
      </c>
      <c r="Z854" s="17">
        <f>SUM(W854:Y854)</f>
        <v>369</v>
      </c>
      <c r="AA854" s="11">
        <f>W854/Z854</f>
        <v>0.82655826558265577</v>
      </c>
      <c r="AB854" s="11">
        <f>X854/Z854</f>
        <v>1.6260162601626018E-2</v>
      </c>
      <c r="AC854" s="66">
        <f>IF(K854=1,AB854,AA854)</f>
        <v>0.82655826558265577</v>
      </c>
      <c r="AD854" s="67">
        <f>SUM((MAX(W854,X854,Y854)-0.5*(SUM(W854+X854+Y854)-MAX(W854,X854,Y854)))/SUM(W854+X854+Y854))</f>
        <v>0.73983739837398377</v>
      </c>
    </row>
    <row r="855" spans="1:32" ht="14.5" customHeight="1" x14ac:dyDescent="0.2">
      <c r="A855" t="s">
        <v>1954</v>
      </c>
      <c r="B855" s="17">
        <v>0</v>
      </c>
      <c r="C855" s="17">
        <v>0</v>
      </c>
      <c r="D855" s="22" t="s">
        <v>1993</v>
      </c>
      <c r="E855" s="22" t="s">
        <v>3021</v>
      </c>
      <c r="F855" s="17">
        <f t="shared" si="88"/>
        <v>2002</v>
      </c>
      <c r="G855" s="18">
        <v>37405</v>
      </c>
      <c r="H855" s="22" t="s">
        <v>2978</v>
      </c>
      <c r="I855" s="64">
        <v>0</v>
      </c>
      <c r="J855" s="22" t="s">
        <v>2014</v>
      </c>
      <c r="K855" s="17">
        <v>0</v>
      </c>
      <c r="L855" s="17">
        <v>0</v>
      </c>
      <c r="M855" s="22" t="s">
        <v>2616</v>
      </c>
      <c r="N855" s="22" t="s">
        <v>2637</v>
      </c>
      <c r="Q855" s="29" t="s">
        <v>2015</v>
      </c>
      <c r="R855" s="17">
        <v>1</v>
      </c>
      <c r="S855" s="17">
        <v>0</v>
      </c>
      <c r="T855" s="17">
        <v>0</v>
      </c>
      <c r="U855" s="17">
        <v>1</v>
      </c>
      <c r="V855" s="17">
        <v>0</v>
      </c>
      <c r="W855" s="17" t="s">
        <v>26</v>
      </c>
      <c r="X855" s="17">
        <v>0</v>
      </c>
      <c r="Y855" s="17">
        <v>2</v>
      </c>
      <c r="AA855" s="11"/>
      <c r="AB855" s="11"/>
      <c r="AC855" s="66"/>
      <c r="AD855" s="67"/>
    </row>
    <row r="856" spans="1:32" ht="14.5" customHeight="1" x14ac:dyDescent="0.2">
      <c r="A856" t="s">
        <v>1954</v>
      </c>
      <c r="B856" s="17">
        <v>0</v>
      </c>
      <c r="C856" s="17">
        <v>0</v>
      </c>
      <c r="D856" s="22" t="s">
        <v>1993</v>
      </c>
      <c r="E856" s="22" t="s">
        <v>3021</v>
      </c>
      <c r="F856" s="17">
        <f t="shared" si="88"/>
        <v>2002</v>
      </c>
      <c r="G856" s="18">
        <v>37427</v>
      </c>
      <c r="H856" s="22" t="s">
        <v>2978</v>
      </c>
      <c r="I856" s="64">
        <v>0</v>
      </c>
      <c r="J856" s="22" t="s">
        <v>2016</v>
      </c>
      <c r="K856" s="17">
        <v>0</v>
      </c>
      <c r="L856" s="59">
        <v>1</v>
      </c>
      <c r="M856" s="22" t="s">
        <v>135</v>
      </c>
      <c r="N856" s="22" t="s">
        <v>2630</v>
      </c>
      <c r="O856" s="22" t="s">
        <v>1983</v>
      </c>
      <c r="Q856" s="29" t="s">
        <v>2017</v>
      </c>
      <c r="R856" s="17">
        <v>1</v>
      </c>
      <c r="S856" s="17">
        <v>0</v>
      </c>
      <c r="T856" s="17">
        <v>0</v>
      </c>
      <c r="U856" s="17">
        <v>1</v>
      </c>
      <c r="V856" s="17">
        <v>0</v>
      </c>
      <c r="W856" s="17">
        <v>393</v>
      </c>
      <c r="X856" s="17">
        <v>0</v>
      </c>
      <c r="Y856" s="17">
        <v>0</v>
      </c>
      <c r="Z856" s="17">
        <f>SUM(W856:Y856)</f>
        <v>393</v>
      </c>
      <c r="AA856" s="11">
        <f>W856/Z856</f>
        <v>1</v>
      </c>
      <c r="AB856" s="11">
        <f>X856/Z856</f>
        <v>0</v>
      </c>
      <c r="AC856" s="66">
        <f>IF(K856=1,AB856,AA856)</f>
        <v>1</v>
      </c>
      <c r="AD856" s="67">
        <f>SUM((MAX(W856,X856,Y856)-0.5*(SUM(W856+X856+Y856)-MAX(W856,X856,Y856)))/SUM(W856+X856+Y856))</f>
        <v>1</v>
      </c>
    </row>
    <row r="857" spans="1:32" ht="14.5" customHeight="1" x14ac:dyDescent="0.2">
      <c r="A857" t="s">
        <v>1954</v>
      </c>
      <c r="B857" s="17">
        <v>0</v>
      </c>
      <c r="C857" s="17">
        <v>0</v>
      </c>
      <c r="D857" s="22" t="s">
        <v>1993</v>
      </c>
      <c r="E857" s="22" t="s">
        <v>3021</v>
      </c>
      <c r="F857" s="17">
        <f t="shared" si="88"/>
        <v>2002</v>
      </c>
      <c r="G857" s="18">
        <v>37564</v>
      </c>
      <c r="H857" s="22" t="s">
        <v>2978</v>
      </c>
      <c r="I857" s="64">
        <v>0</v>
      </c>
      <c r="J857" s="22" t="s">
        <v>2018</v>
      </c>
      <c r="K857" s="17">
        <v>0</v>
      </c>
      <c r="L857" s="17">
        <v>0</v>
      </c>
      <c r="M857" s="22" t="s">
        <v>2588</v>
      </c>
      <c r="N857" s="22" t="s">
        <v>2630</v>
      </c>
      <c r="Q857" s="29" t="s">
        <v>2019</v>
      </c>
      <c r="R857" s="17">
        <v>1</v>
      </c>
      <c r="S857" s="17">
        <v>0</v>
      </c>
      <c r="T857" s="17">
        <v>0</v>
      </c>
      <c r="U857" s="17">
        <v>1</v>
      </c>
      <c r="V857" s="17">
        <v>0</v>
      </c>
      <c r="W857" s="17" t="s">
        <v>26</v>
      </c>
      <c r="X857" s="17">
        <v>1</v>
      </c>
      <c r="Y857" s="17">
        <v>0</v>
      </c>
      <c r="AA857" s="11"/>
      <c r="AB857" s="11"/>
      <c r="AC857" s="66"/>
      <c r="AD857" s="67"/>
    </row>
    <row r="858" spans="1:32" ht="14.5" customHeight="1" x14ac:dyDescent="0.2">
      <c r="A858" t="s">
        <v>1954</v>
      </c>
      <c r="B858" s="17">
        <v>0</v>
      </c>
      <c r="C858" s="17">
        <v>0</v>
      </c>
      <c r="D858" s="22" t="s">
        <v>1993</v>
      </c>
      <c r="E858" s="22" t="s">
        <v>3021</v>
      </c>
      <c r="F858" s="17">
        <f t="shared" si="88"/>
        <v>2003</v>
      </c>
      <c r="G858" s="18">
        <v>37664</v>
      </c>
      <c r="H858" s="22" t="s">
        <v>2978</v>
      </c>
      <c r="I858" s="64">
        <v>0</v>
      </c>
      <c r="J858" s="22" t="s">
        <v>2020</v>
      </c>
      <c r="K858" s="17">
        <v>0</v>
      </c>
      <c r="L858" s="59">
        <v>1</v>
      </c>
      <c r="M858" s="22" t="s">
        <v>30</v>
      </c>
      <c r="N858" t="s">
        <v>2121</v>
      </c>
      <c r="Q858" s="29" t="s">
        <v>2021</v>
      </c>
      <c r="R858" s="17">
        <v>1</v>
      </c>
      <c r="S858" s="17">
        <v>0</v>
      </c>
      <c r="T858" s="17">
        <v>0</v>
      </c>
      <c r="U858" s="17">
        <v>1</v>
      </c>
      <c r="V858" s="17">
        <v>0</v>
      </c>
      <c r="W858" s="17">
        <v>351</v>
      </c>
      <c r="X858" s="17">
        <v>2</v>
      </c>
      <c r="Y858" s="17">
        <v>74</v>
      </c>
      <c r="Z858" s="17">
        <f>SUM(W858:Y858)</f>
        <v>427</v>
      </c>
      <c r="AA858" s="11">
        <f>W858/Z858</f>
        <v>0.82201405152224827</v>
      </c>
      <c r="AB858" s="11">
        <f>X858/Z858</f>
        <v>4.6838407494145199E-3</v>
      </c>
      <c r="AC858" s="66">
        <f t="shared" ref="AC858:AC864" si="89">IF(K858=1,AB858,AA858)</f>
        <v>0.82201405152224827</v>
      </c>
      <c r="AD858" s="67">
        <f>SUM((MAX(W858,X858,Y858)-0.5*(SUM(W858+X858+Y858)-MAX(W858,X858,Y858)))/SUM(W858+X858+Y858))</f>
        <v>0.7330210772833724</v>
      </c>
    </row>
    <row r="859" spans="1:32" ht="14.5" customHeight="1" x14ac:dyDescent="0.2">
      <c r="A859" t="s">
        <v>1954</v>
      </c>
      <c r="B859" s="17">
        <v>0</v>
      </c>
      <c r="C859" s="17">
        <v>0</v>
      </c>
      <c r="D859" s="22" t="s">
        <v>1993</v>
      </c>
      <c r="E859" s="22" t="s">
        <v>3021</v>
      </c>
      <c r="F859" s="17">
        <f t="shared" si="88"/>
        <v>2003</v>
      </c>
      <c r="G859" s="18">
        <v>37664</v>
      </c>
      <c r="H859" s="22" t="s">
        <v>2978</v>
      </c>
      <c r="I859" s="64">
        <v>0</v>
      </c>
      <c r="J859" s="22" t="s">
        <v>2022</v>
      </c>
      <c r="K859" s="17">
        <v>0</v>
      </c>
      <c r="L859" s="59">
        <v>1</v>
      </c>
      <c r="M859" s="48" t="s">
        <v>2624</v>
      </c>
      <c r="N859" s="22" t="s">
        <v>2637</v>
      </c>
      <c r="Q859" s="29" t="s">
        <v>2023</v>
      </c>
      <c r="R859" s="17">
        <v>1</v>
      </c>
      <c r="S859" s="17">
        <v>0</v>
      </c>
      <c r="T859" s="17">
        <v>0</v>
      </c>
      <c r="U859" s="17">
        <v>1</v>
      </c>
      <c r="V859" s="17">
        <v>0</v>
      </c>
      <c r="W859" s="17">
        <v>350</v>
      </c>
      <c r="X859" s="17">
        <v>0</v>
      </c>
      <c r="Y859" s="17">
        <v>77</v>
      </c>
      <c r="Z859" s="17">
        <f>SUM(W859:Y859)</f>
        <v>427</v>
      </c>
      <c r="AA859" s="11">
        <f>W859/Z859</f>
        <v>0.81967213114754101</v>
      </c>
      <c r="AB859" s="11">
        <f>X859/Z859</f>
        <v>0</v>
      </c>
      <c r="AC859" s="66">
        <f t="shared" si="89"/>
        <v>0.81967213114754101</v>
      </c>
      <c r="AD859" s="67">
        <f>SUM((MAX(W859,X859,Y859)-0.5*(SUM(W859+X859+Y859)-MAX(W859,X859,Y859)))/SUM(W859+X859+Y859))</f>
        <v>0.72950819672131151</v>
      </c>
    </row>
    <row r="860" spans="1:32" ht="14.5" customHeight="1" x14ac:dyDescent="0.2">
      <c r="A860" t="s">
        <v>1954</v>
      </c>
      <c r="B860" s="17">
        <v>0</v>
      </c>
      <c r="C860" s="17">
        <v>0</v>
      </c>
      <c r="D860" s="22" t="s">
        <v>1993</v>
      </c>
      <c r="E860" s="22" t="s">
        <v>3021</v>
      </c>
      <c r="F860" s="17">
        <f t="shared" si="88"/>
        <v>2003</v>
      </c>
      <c r="G860" s="18">
        <v>37728</v>
      </c>
      <c r="H860" s="22" t="s">
        <v>2978</v>
      </c>
      <c r="I860" s="64">
        <v>0</v>
      </c>
      <c r="J860" s="22" t="s">
        <v>2026</v>
      </c>
      <c r="K860" s="17">
        <v>0</v>
      </c>
      <c r="L860" s="17">
        <v>1</v>
      </c>
      <c r="M860" s="22" t="s">
        <v>2569</v>
      </c>
      <c r="N860" s="22" t="s">
        <v>2630</v>
      </c>
      <c r="Q860" s="29" t="s">
        <v>2027</v>
      </c>
      <c r="R860" s="17">
        <v>1</v>
      </c>
      <c r="S860" s="17">
        <v>0</v>
      </c>
      <c r="T860" s="17">
        <v>0</v>
      </c>
      <c r="U860" s="17">
        <v>1</v>
      </c>
      <c r="V860" s="17">
        <v>0</v>
      </c>
      <c r="W860" s="17" t="s">
        <v>56</v>
      </c>
      <c r="X860" s="17" t="s">
        <v>56</v>
      </c>
      <c r="Y860" s="17" t="s">
        <v>56</v>
      </c>
      <c r="AA860" s="11">
        <v>1</v>
      </c>
      <c r="AB860" s="11">
        <v>0</v>
      </c>
      <c r="AC860" s="66">
        <f t="shared" si="89"/>
        <v>1</v>
      </c>
      <c r="AD860" s="67"/>
    </row>
    <row r="861" spans="1:32" ht="14.5" customHeight="1" x14ac:dyDescent="0.2">
      <c r="A861" t="s">
        <v>1954</v>
      </c>
      <c r="B861" s="17">
        <v>0</v>
      </c>
      <c r="C861" s="17">
        <v>0</v>
      </c>
      <c r="D861" s="22" t="s">
        <v>1993</v>
      </c>
      <c r="E861" s="22" t="s">
        <v>3021</v>
      </c>
      <c r="F861" s="17">
        <f t="shared" si="88"/>
        <v>2003</v>
      </c>
      <c r="G861" s="18">
        <v>37728</v>
      </c>
      <c r="H861" s="22" t="s">
        <v>2978</v>
      </c>
      <c r="I861" s="64">
        <v>0</v>
      </c>
      <c r="J861" s="22" t="s">
        <v>2024</v>
      </c>
      <c r="K861" s="17">
        <v>0</v>
      </c>
      <c r="L861" s="59">
        <v>1</v>
      </c>
      <c r="M861" s="22" t="s">
        <v>129</v>
      </c>
      <c r="N861" s="22" t="s">
        <v>422</v>
      </c>
      <c r="Q861" s="29" t="s">
        <v>2025</v>
      </c>
      <c r="R861" s="17">
        <v>1</v>
      </c>
      <c r="S861" s="17">
        <v>0</v>
      </c>
      <c r="T861" s="17">
        <v>0</v>
      </c>
      <c r="U861" s="17">
        <v>1</v>
      </c>
      <c r="V861" s="17">
        <v>0</v>
      </c>
      <c r="W861" s="17">
        <v>332</v>
      </c>
      <c r="X861" s="17">
        <v>0</v>
      </c>
      <c r="Y861" s="17">
        <v>62</v>
      </c>
      <c r="Z861" s="17">
        <f>SUM(W861:Y861)</f>
        <v>394</v>
      </c>
      <c r="AA861" s="11">
        <f>W861/Z861</f>
        <v>0.84263959390862941</v>
      </c>
      <c r="AB861" s="11">
        <f>X861/Z861</f>
        <v>0</v>
      </c>
      <c r="AC861" s="66">
        <f t="shared" si="89"/>
        <v>0.84263959390862941</v>
      </c>
      <c r="AD861" s="67">
        <f>SUM((MAX(W861,X861,Y861)-0.5*(SUM(W861+X861+Y861)-MAX(W861,X861,Y861)))/SUM(W861+X861+Y861))</f>
        <v>0.76395939086294418</v>
      </c>
    </row>
    <row r="862" spans="1:32" ht="14.5" customHeight="1" x14ac:dyDescent="0.2">
      <c r="A862" t="s">
        <v>1954</v>
      </c>
      <c r="B862" s="17">
        <v>0</v>
      </c>
      <c r="C862" s="17">
        <v>0</v>
      </c>
      <c r="D862" s="22" t="s">
        <v>1993</v>
      </c>
      <c r="E862" s="22" t="s">
        <v>3021</v>
      </c>
      <c r="F862" s="17">
        <f t="shared" si="88"/>
        <v>2003</v>
      </c>
      <c r="G862" s="18">
        <v>37748</v>
      </c>
      <c r="H862" s="22" t="s">
        <v>2978</v>
      </c>
      <c r="I862" s="64">
        <v>0</v>
      </c>
      <c r="J862" s="22" t="s">
        <v>2028</v>
      </c>
      <c r="K862" s="104">
        <v>0</v>
      </c>
      <c r="L862" s="59">
        <v>1</v>
      </c>
      <c r="M862" s="22" t="s">
        <v>129</v>
      </c>
      <c r="N862" s="22" t="s">
        <v>422</v>
      </c>
      <c r="Q862" s="29" t="s">
        <v>2029</v>
      </c>
      <c r="R862" s="17">
        <v>1</v>
      </c>
      <c r="S862" s="17">
        <v>0</v>
      </c>
      <c r="T862" s="17">
        <v>0</v>
      </c>
      <c r="U862" s="17">
        <v>1</v>
      </c>
      <c r="V862" s="17">
        <v>0</v>
      </c>
      <c r="W862" s="17">
        <v>324</v>
      </c>
      <c r="X862" s="17">
        <v>0</v>
      </c>
      <c r="Y862" s="17">
        <v>1</v>
      </c>
      <c r="Z862" s="17">
        <f>SUM(W862:Y862)</f>
        <v>325</v>
      </c>
      <c r="AA862" s="11">
        <f>W862/Z862</f>
        <v>0.99692307692307691</v>
      </c>
      <c r="AB862" s="11">
        <f>X862/Z862</f>
        <v>0</v>
      </c>
      <c r="AC862" s="66">
        <f t="shared" si="89"/>
        <v>0.99692307692307691</v>
      </c>
      <c r="AD862" s="67">
        <f>SUM((MAX(W862,X862,Y862)-0.5*(SUM(W862+X862+Y862)-MAX(W862,X862,Y862)))/SUM(W862+X862+Y862))</f>
        <v>0.99538461538461542</v>
      </c>
    </row>
    <row r="863" spans="1:32" ht="14.5" customHeight="1" x14ac:dyDescent="0.2">
      <c r="A863" t="s">
        <v>1954</v>
      </c>
      <c r="B863" s="17">
        <v>0</v>
      </c>
      <c r="C863" s="17">
        <v>0</v>
      </c>
      <c r="D863" s="22" t="s">
        <v>2030</v>
      </c>
      <c r="E863" s="22" t="s">
        <v>2031</v>
      </c>
      <c r="F863" s="17">
        <f t="shared" si="88"/>
        <v>2003</v>
      </c>
      <c r="G863" s="18">
        <v>37791</v>
      </c>
      <c r="H863" s="22" t="s">
        <v>2978</v>
      </c>
      <c r="I863" s="64">
        <v>0</v>
      </c>
      <c r="J863" s="22" t="s">
        <v>2032</v>
      </c>
      <c r="K863" s="104">
        <v>0</v>
      </c>
      <c r="L863" s="17">
        <v>1</v>
      </c>
      <c r="M863" s="22" t="s">
        <v>30</v>
      </c>
      <c r="N863" t="s">
        <v>2121</v>
      </c>
      <c r="Q863" s="29" t="s">
        <v>2033</v>
      </c>
      <c r="R863" s="17">
        <v>1</v>
      </c>
      <c r="S863" s="17">
        <v>0</v>
      </c>
      <c r="T863" s="17">
        <v>0</v>
      </c>
      <c r="U863" s="17">
        <v>1</v>
      </c>
      <c r="V863" s="17">
        <v>0</v>
      </c>
      <c r="W863" s="17" t="s">
        <v>56</v>
      </c>
      <c r="X863" s="17" t="s">
        <v>56</v>
      </c>
      <c r="Y863" s="17" t="s">
        <v>56</v>
      </c>
      <c r="AA863" s="11">
        <v>1</v>
      </c>
      <c r="AB863" s="11">
        <v>0</v>
      </c>
      <c r="AC863" s="66">
        <f t="shared" si="89"/>
        <v>1</v>
      </c>
      <c r="AD863" s="67"/>
      <c r="AF863" s="36"/>
    </row>
    <row r="864" spans="1:32" ht="14.5" customHeight="1" x14ac:dyDescent="0.2">
      <c r="A864" t="s">
        <v>1954</v>
      </c>
      <c r="B864" s="17">
        <v>0</v>
      </c>
      <c r="C864" s="17">
        <v>0</v>
      </c>
      <c r="D864" s="22" t="s">
        <v>2030</v>
      </c>
      <c r="E864" s="22" t="s">
        <v>2031</v>
      </c>
      <c r="F864" s="17">
        <f t="shared" si="88"/>
        <v>2003</v>
      </c>
      <c r="G864" s="18">
        <v>37798</v>
      </c>
      <c r="H864" s="22" t="s">
        <v>2978</v>
      </c>
      <c r="I864" s="64">
        <v>0</v>
      </c>
      <c r="J864" s="22" t="s">
        <v>2034</v>
      </c>
      <c r="K864" s="17">
        <v>0</v>
      </c>
      <c r="L864" s="59">
        <v>1</v>
      </c>
      <c r="M864" s="22" t="s">
        <v>30</v>
      </c>
      <c r="N864" t="s">
        <v>2121</v>
      </c>
      <c r="Q864" s="29" t="s">
        <v>2035</v>
      </c>
      <c r="R864" s="17">
        <v>1</v>
      </c>
      <c r="S864" s="17">
        <v>0</v>
      </c>
      <c r="T864" s="17">
        <v>0</v>
      </c>
      <c r="U864" s="17">
        <v>1</v>
      </c>
      <c r="V864" s="17">
        <v>1</v>
      </c>
      <c r="W864" s="17">
        <v>481</v>
      </c>
      <c r="X864" s="17">
        <v>0</v>
      </c>
      <c r="Y864" s="17">
        <v>1</v>
      </c>
      <c r="Z864" s="17">
        <f>SUM(W864:Y864)</f>
        <v>482</v>
      </c>
      <c r="AA864" s="11">
        <f>W864/Z864</f>
        <v>0.99792531120331951</v>
      </c>
      <c r="AB864" s="11">
        <f>X864/Z864</f>
        <v>0</v>
      </c>
      <c r="AC864" s="66">
        <f t="shared" si="89"/>
        <v>0.99792531120331951</v>
      </c>
      <c r="AD864" s="67">
        <f>SUM((MAX(W864,X864,Y864)-0.5*(SUM(W864+X864+Y864)-MAX(W864,X864,Y864)))/SUM(W864+X864+Y864))</f>
        <v>0.99688796680497926</v>
      </c>
    </row>
    <row r="865" spans="1:32" ht="14.5" customHeight="1" x14ac:dyDescent="0.2">
      <c r="A865" t="s">
        <v>1954</v>
      </c>
      <c r="B865" s="17">
        <v>0</v>
      </c>
      <c r="C865" s="17">
        <v>0</v>
      </c>
      <c r="D865" s="22" t="s">
        <v>2030</v>
      </c>
      <c r="E865" s="22" t="s">
        <v>2031</v>
      </c>
      <c r="F865" s="17">
        <f t="shared" si="88"/>
        <v>2003</v>
      </c>
      <c r="G865" s="18">
        <v>37903</v>
      </c>
      <c r="H865" s="22" t="s">
        <v>2978</v>
      </c>
      <c r="I865" s="64">
        <v>0</v>
      </c>
      <c r="J865" s="22" t="s">
        <v>2036</v>
      </c>
      <c r="K865" s="17">
        <v>0</v>
      </c>
      <c r="L865" s="17">
        <v>0</v>
      </c>
      <c r="M865" s="22" t="s">
        <v>30</v>
      </c>
      <c r="N865" t="s">
        <v>2121</v>
      </c>
      <c r="Q865" s="29" t="s">
        <v>2037</v>
      </c>
      <c r="R865" s="17">
        <v>1</v>
      </c>
      <c r="S865" s="17">
        <v>0</v>
      </c>
      <c r="T865" s="17">
        <v>0</v>
      </c>
      <c r="U865" s="17">
        <v>1</v>
      </c>
      <c r="V865" s="17">
        <v>1</v>
      </c>
      <c r="W865" s="17" t="s">
        <v>26</v>
      </c>
      <c r="X865" s="17">
        <v>0</v>
      </c>
      <c r="Y865" s="17">
        <v>3</v>
      </c>
      <c r="AA865" s="11"/>
      <c r="AB865" s="11"/>
      <c r="AC865" s="66"/>
      <c r="AD865" s="67"/>
    </row>
    <row r="866" spans="1:32" ht="14.5" customHeight="1" x14ac:dyDescent="0.2">
      <c r="A866" t="s">
        <v>1954</v>
      </c>
      <c r="B866" s="17">
        <v>0</v>
      </c>
      <c r="C866" s="17">
        <v>1</v>
      </c>
      <c r="D866" s="22" t="s">
        <v>2030</v>
      </c>
      <c r="E866" s="22" t="s">
        <v>2031</v>
      </c>
      <c r="F866" s="17">
        <f t="shared" si="88"/>
        <v>2004</v>
      </c>
      <c r="G866" s="18">
        <v>38048</v>
      </c>
      <c r="H866" s="22" t="s">
        <v>2978</v>
      </c>
      <c r="I866" s="64">
        <v>0</v>
      </c>
      <c r="J866" s="22" t="s">
        <v>2038</v>
      </c>
      <c r="K866" s="17">
        <v>0</v>
      </c>
      <c r="L866" s="59">
        <v>1</v>
      </c>
      <c r="M866" s="22" t="s">
        <v>129</v>
      </c>
      <c r="N866" s="22" t="s">
        <v>422</v>
      </c>
      <c r="Q866" s="29" t="s">
        <v>2039</v>
      </c>
      <c r="R866" s="17">
        <v>1</v>
      </c>
      <c r="S866" s="17">
        <v>0</v>
      </c>
      <c r="T866" s="17">
        <v>0</v>
      </c>
      <c r="U866" s="17">
        <v>1</v>
      </c>
      <c r="V866" s="17">
        <v>1</v>
      </c>
      <c r="W866" s="17">
        <v>391</v>
      </c>
      <c r="X866" s="17">
        <v>0</v>
      </c>
      <c r="Y866" s="17">
        <v>0</v>
      </c>
      <c r="Z866" s="17">
        <f>SUM(W866:Y866)</f>
        <v>391</v>
      </c>
      <c r="AA866" s="11">
        <f>W866/Z866</f>
        <v>1</v>
      </c>
      <c r="AB866" s="11">
        <f>X866/Z866</f>
        <v>0</v>
      </c>
      <c r="AC866" s="66">
        <f>IF(K866=1,AB866,AA866)</f>
        <v>1</v>
      </c>
      <c r="AD866" s="67">
        <f>SUM((MAX(W866,X866,Y866)-0.5*(SUM(W866+X866+Y866)-MAX(W866,X866,Y866)))/SUM(W866+X866+Y866))</f>
        <v>1</v>
      </c>
    </row>
    <row r="867" spans="1:32" ht="14" customHeight="1" x14ac:dyDescent="0.2">
      <c r="A867" t="s">
        <v>1954</v>
      </c>
      <c r="B867" s="17">
        <v>1</v>
      </c>
      <c r="C867" s="17">
        <v>0</v>
      </c>
      <c r="D867" s="22" t="s">
        <v>2040</v>
      </c>
      <c r="E867" s="22" t="s">
        <v>3022</v>
      </c>
      <c r="F867" s="17">
        <f t="shared" si="88"/>
        <v>2008</v>
      </c>
      <c r="G867" s="18">
        <v>39804</v>
      </c>
      <c r="H867" s="22" t="s">
        <v>2978</v>
      </c>
      <c r="I867" s="64">
        <v>0</v>
      </c>
      <c r="J867" s="22" t="s">
        <v>2041</v>
      </c>
      <c r="K867" s="104">
        <v>0</v>
      </c>
      <c r="L867" s="17">
        <v>0</v>
      </c>
      <c r="M867" s="22" t="s">
        <v>30</v>
      </c>
      <c r="N867" t="s">
        <v>2121</v>
      </c>
      <c r="Q867" s="29" t="s">
        <v>2042</v>
      </c>
      <c r="R867" s="17">
        <v>1</v>
      </c>
      <c r="S867" s="17">
        <v>0</v>
      </c>
      <c r="T867" s="17">
        <v>0</v>
      </c>
      <c r="U867" s="17">
        <v>1</v>
      </c>
      <c r="V867" s="17">
        <v>1</v>
      </c>
      <c r="W867" s="17" t="s">
        <v>26</v>
      </c>
      <c r="X867" s="17">
        <v>0</v>
      </c>
      <c r="Y867" s="17">
        <v>42</v>
      </c>
      <c r="AA867" s="11"/>
      <c r="AB867" s="11"/>
      <c r="AC867" s="66"/>
      <c r="AD867" s="67"/>
      <c r="AF867" s="36"/>
    </row>
    <row r="868" spans="1:32" ht="14.5" customHeight="1" x14ac:dyDescent="0.2">
      <c r="A868" t="s">
        <v>1954</v>
      </c>
      <c r="B868" s="17">
        <v>1</v>
      </c>
      <c r="C868" s="17">
        <v>0</v>
      </c>
      <c r="D868" s="22" t="s">
        <v>2043</v>
      </c>
      <c r="E868" s="22" t="s">
        <v>2044</v>
      </c>
      <c r="F868" s="17">
        <f t="shared" si="88"/>
        <v>2016</v>
      </c>
      <c r="G868" s="18">
        <v>42415</v>
      </c>
      <c r="H868" s="22" t="s">
        <v>2978</v>
      </c>
      <c r="I868" s="64">
        <v>0</v>
      </c>
      <c r="J868" s="22" t="s">
        <v>2045</v>
      </c>
      <c r="K868" s="17">
        <v>0</v>
      </c>
      <c r="L868" s="59">
        <v>1</v>
      </c>
      <c r="M868" s="22" t="s">
        <v>2544</v>
      </c>
      <c r="N868" s="22" t="s">
        <v>2121</v>
      </c>
      <c r="Q868" s="29" t="s">
        <v>2046</v>
      </c>
      <c r="R868" s="17">
        <v>1</v>
      </c>
      <c r="S868" s="17">
        <v>0</v>
      </c>
      <c r="T868" s="17">
        <v>0</v>
      </c>
      <c r="U868" s="17">
        <v>1</v>
      </c>
      <c r="V868" s="17">
        <v>0</v>
      </c>
      <c r="W868" s="17">
        <v>221</v>
      </c>
      <c r="X868" s="17">
        <v>0</v>
      </c>
      <c r="Y868" s="17">
        <v>1</v>
      </c>
      <c r="Z868" s="17">
        <f>SUM(W868:Y868)</f>
        <v>222</v>
      </c>
      <c r="AA868" s="11">
        <f>W868/Z868</f>
        <v>0.99549549549549554</v>
      </c>
      <c r="AB868" s="11">
        <f>X868/Z868</f>
        <v>0</v>
      </c>
      <c r="AC868" s="66">
        <f t="shared" ref="AC868:AC899" si="90">IF(K868=1,AB868,AA868)</f>
        <v>0.99549549549549554</v>
      </c>
      <c r="AD868" s="67">
        <f>SUM((MAX(W868,X868,Y868)-0.5*(SUM(W868+X868+Y868)-MAX(W868,X868,Y868)))/SUM(W868+X868+Y868))</f>
        <v>0.9932432432432432</v>
      </c>
    </row>
    <row r="869" spans="1:32" ht="14.5" customHeight="1" x14ac:dyDescent="0.2">
      <c r="A869" t="s">
        <v>1954</v>
      </c>
      <c r="B869" s="17">
        <v>1</v>
      </c>
      <c r="C869" s="17">
        <v>0</v>
      </c>
      <c r="D869" s="22" t="s">
        <v>2047</v>
      </c>
      <c r="E869" s="22" t="s">
        <v>3023</v>
      </c>
      <c r="F869" s="17">
        <f t="shared" si="88"/>
        <v>2017</v>
      </c>
      <c r="G869" s="18">
        <v>42779</v>
      </c>
      <c r="H869" s="22" t="s">
        <v>2978</v>
      </c>
      <c r="I869" s="64">
        <v>0</v>
      </c>
      <c r="J869" s="22" t="s">
        <v>2048</v>
      </c>
      <c r="K869" s="17">
        <v>0</v>
      </c>
      <c r="L869" s="17">
        <v>1</v>
      </c>
      <c r="M869" s="22" t="s">
        <v>2603</v>
      </c>
      <c r="N869" s="22" t="s">
        <v>2121</v>
      </c>
      <c r="Q869" s="29" t="s">
        <v>2049</v>
      </c>
      <c r="R869" s="17">
        <v>1</v>
      </c>
      <c r="S869" s="17">
        <v>0</v>
      </c>
      <c r="T869" s="17">
        <v>0</v>
      </c>
      <c r="U869" s="17">
        <v>1</v>
      </c>
      <c r="V869" s="17">
        <v>1</v>
      </c>
      <c r="W869" s="17" t="s">
        <v>56</v>
      </c>
      <c r="X869" s="17" t="s">
        <v>56</v>
      </c>
      <c r="Y869" s="17" t="s">
        <v>56</v>
      </c>
      <c r="AA869" s="11">
        <v>1</v>
      </c>
      <c r="AB869" s="11">
        <v>0</v>
      </c>
      <c r="AC869" s="66">
        <f t="shared" si="90"/>
        <v>1</v>
      </c>
      <c r="AD869" s="67"/>
    </row>
    <row r="870" spans="1:32" ht="14.5" customHeight="1" x14ac:dyDescent="0.2">
      <c r="A870" t="s">
        <v>1954</v>
      </c>
      <c r="B870" s="17">
        <v>1</v>
      </c>
      <c r="C870" s="17">
        <v>0</v>
      </c>
      <c r="D870" s="22" t="s">
        <v>2050</v>
      </c>
      <c r="E870" s="22" t="s">
        <v>3023</v>
      </c>
      <c r="F870" s="17">
        <f t="shared" si="88"/>
        <v>2018</v>
      </c>
      <c r="G870" s="18">
        <v>43451</v>
      </c>
      <c r="H870" s="22" t="s">
        <v>2978</v>
      </c>
      <c r="I870" s="64">
        <v>0</v>
      </c>
      <c r="J870" s="22" t="s">
        <v>2051</v>
      </c>
      <c r="K870" s="17">
        <v>0</v>
      </c>
      <c r="L870" s="59">
        <v>1</v>
      </c>
      <c r="M870" s="22" t="s">
        <v>2887</v>
      </c>
      <c r="N870" s="22" t="s">
        <v>2637</v>
      </c>
      <c r="O870" s="22" t="s">
        <v>2052</v>
      </c>
      <c r="P870" s="22" t="s">
        <v>2053</v>
      </c>
      <c r="Q870" s="29" t="s">
        <v>2054</v>
      </c>
      <c r="R870" s="17">
        <v>1</v>
      </c>
      <c r="S870" s="17">
        <v>0</v>
      </c>
      <c r="T870" s="17">
        <v>0</v>
      </c>
      <c r="U870" s="17">
        <v>1</v>
      </c>
      <c r="V870" s="17">
        <v>0</v>
      </c>
      <c r="W870" s="17">
        <v>230</v>
      </c>
      <c r="X870" s="17">
        <v>0</v>
      </c>
      <c r="Y870" s="17">
        <v>2</v>
      </c>
      <c r="Z870" s="17">
        <f>SUM(W870:Y870)</f>
        <v>232</v>
      </c>
      <c r="AA870" s="11">
        <f t="shared" ref="AA870:AA901" si="91">W870/Z870</f>
        <v>0.99137931034482762</v>
      </c>
      <c r="AB870" s="11">
        <f t="shared" ref="AB870:AB901" si="92">X870/Z870</f>
        <v>0</v>
      </c>
      <c r="AC870" s="66">
        <f t="shared" si="90"/>
        <v>0.99137931034482762</v>
      </c>
      <c r="AD870" s="67">
        <f t="shared" ref="AD870:AD901" si="93">SUM((MAX(W870,X870,Y870)-0.5*(SUM(W870+X870+Y870)-MAX(W870,X870,Y870)))/SUM(W870+X870+Y870))</f>
        <v>0.98706896551724133</v>
      </c>
    </row>
    <row r="871" spans="1:32" ht="14.5" customHeight="1" x14ac:dyDescent="0.2">
      <c r="A871" t="s">
        <v>2974</v>
      </c>
      <c r="B871" s="17">
        <v>0</v>
      </c>
      <c r="C871" s="17">
        <v>0</v>
      </c>
      <c r="D871" s="22" t="s">
        <v>2055</v>
      </c>
      <c r="E871" s="22" t="s">
        <v>3024</v>
      </c>
      <c r="F871" s="17">
        <f t="shared" si="88"/>
        <v>1993</v>
      </c>
      <c r="G871" s="16">
        <v>34046</v>
      </c>
      <c r="H871" s="5" t="s">
        <v>3034</v>
      </c>
      <c r="I871" s="64">
        <v>0</v>
      </c>
      <c r="J871" s="22" t="s">
        <v>2056</v>
      </c>
      <c r="K871" s="17">
        <v>0</v>
      </c>
      <c r="L871" s="59">
        <v>1</v>
      </c>
      <c r="M871" s="5" t="s">
        <v>2558</v>
      </c>
      <c r="N871" s="5" t="s">
        <v>2630</v>
      </c>
      <c r="P871" s="22" t="s">
        <v>2057</v>
      </c>
      <c r="R871" s="17">
        <v>1</v>
      </c>
      <c r="S871" s="17">
        <v>0</v>
      </c>
      <c r="T871" s="17">
        <v>0</v>
      </c>
      <c r="U871" s="17">
        <v>1</v>
      </c>
      <c r="V871" s="17">
        <v>0</v>
      </c>
      <c r="W871" s="17">
        <v>88</v>
      </c>
      <c r="X871" s="17">
        <v>1</v>
      </c>
      <c r="Y871" s="17">
        <v>19</v>
      </c>
      <c r="Z871" s="17">
        <v>108</v>
      </c>
      <c r="AA871" s="11">
        <f t="shared" si="91"/>
        <v>0.81481481481481477</v>
      </c>
      <c r="AB871" s="11">
        <f t="shared" si="92"/>
        <v>9.2592592592592587E-3</v>
      </c>
      <c r="AC871" s="66">
        <f t="shared" si="90"/>
        <v>0.81481481481481477</v>
      </c>
      <c r="AD871" s="67">
        <f t="shared" si="93"/>
        <v>0.72222222222222221</v>
      </c>
    </row>
    <row r="872" spans="1:32" ht="14.5" customHeight="1" x14ac:dyDescent="0.2">
      <c r="A872" t="s">
        <v>2974</v>
      </c>
      <c r="B872" s="17">
        <v>0</v>
      </c>
      <c r="C872" s="17">
        <v>0</v>
      </c>
      <c r="D872" s="22" t="s">
        <v>2058</v>
      </c>
      <c r="E872" s="22" t="s">
        <v>3024</v>
      </c>
      <c r="F872" s="17">
        <f t="shared" si="88"/>
        <v>1993</v>
      </c>
      <c r="G872" s="16">
        <v>34291</v>
      </c>
      <c r="H872" s="5" t="s">
        <v>3034</v>
      </c>
      <c r="I872" s="64">
        <v>0</v>
      </c>
      <c r="J872" s="22" t="s">
        <v>2059</v>
      </c>
      <c r="K872" s="17">
        <v>0</v>
      </c>
      <c r="L872" s="59">
        <v>1</v>
      </c>
      <c r="M872" s="5" t="s">
        <v>2620</v>
      </c>
      <c r="N872" s="58" t="s">
        <v>2629</v>
      </c>
      <c r="P872" s="22" t="s">
        <v>2060</v>
      </c>
      <c r="R872" s="17">
        <v>1</v>
      </c>
      <c r="S872" s="17">
        <v>0</v>
      </c>
      <c r="T872" s="17">
        <v>0</v>
      </c>
      <c r="U872" s="17">
        <v>1</v>
      </c>
      <c r="V872" s="17">
        <v>0</v>
      </c>
      <c r="W872" s="17">
        <v>78</v>
      </c>
      <c r="X872" s="17">
        <v>4</v>
      </c>
      <c r="Y872" s="17">
        <v>14</v>
      </c>
      <c r="Z872" s="17">
        <v>96</v>
      </c>
      <c r="AA872" s="11">
        <f t="shared" si="91"/>
        <v>0.8125</v>
      </c>
      <c r="AB872" s="11">
        <f t="shared" si="92"/>
        <v>4.1666666666666664E-2</v>
      </c>
      <c r="AC872" s="66">
        <f t="shared" si="90"/>
        <v>0.8125</v>
      </c>
      <c r="AD872" s="67">
        <f t="shared" si="93"/>
        <v>0.71875</v>
      </c>
    </row>
    <row r="873" spans="1:32" ht="14.5" customHeight="1" x14ac:dyDescent="0.2">
      <c r="A873" t="s">
        <v>2974</v>
      </c>
      <c r="B873" s="17">
        <v>0</v>
      </c>
      <c r="C873" s="17">
        <v>0</v>
      </c>
      <c r="D873" s="22" t="s">
        <v>2061</v>
      </c>
      <c r="E873" s="22" t="s">
        <v>3025</v>
      </c>
      <c r="F873" s="17">
        <f t="shared" si="88"/>
        <v>1994</v>
      </c>
      <c r="G873" s="16">
        <v>34515</v>
      </c>
      <c r="H873" s="5" t="s">
        <v>3034</v>
      </c>
      <c r="I873" s="64">
        <v>0</v>
      </c>
      <c r="J873" s="22" t="s">
        <v>2062</v>
      </c>
      <c r="K873" s="17">
        <v>0</v>
      </c>
      <c r="L873" s="59">
        <v>1</v>
      </c>
      <c r="M873" s="5" t="s">
        <v>2619</v>
      </c>
      <c r="N873" t="s">
        <v>2634</v>
      </c>
      <c r="P873" s="22" t="s">
        <v>2063</v>
      </c>
      <c r="R873" s="17">
        <v>1</v>
      </c>
      <c r="S873" s="17">
        <v>0</v>
      </c>
      <c r="T873" s="17">
        <v>0</v>
      </c>
      <c r="U873" s="17">
        <v>1</v>
      </c>
      <c r="V873" s="17">
        <v>0</v>
      </c>
      <c r="W873" s="17">
        <v>75</v>
      </c>
      <c r="X873" s="17">
        <v>0</v>
      </c>
      <c r="Y873" s="17">
        <v>4</v>
      </c>
      <c r="Z873" s="17">
        <v>79</v>
      </c>
      <c r="AA873" s="11">
        <f t="shared" si="91"/>
        <v>0.94936708860759489</v>
      </c>
      <c r="AB873" s="11">
        <f t="shared" si="92"/>
        <v>0</v>
      </c>
      <c r="AC873" s="66">
        <f t="shared" si="90"/>
        <v>0.94936708860759489</v>
      </c>
      <c r="AD873" s="67">
        <f t="shared" si="93"/>
        <v>0.92405063291139244</v>
      </c>
    </row>
    <row r="874" spans="1:32" ht="14.5" customHeight="1" x14ac:dyDescent="0.2">
      <c r="A874" t="s">
        <v>2974</v>
      </c>
      <c r="B874" s="17">
        <v>0</v>
      </c>
      <c r="C874" s="17">
        <v>0</v>
      </c>
      <c r="D874" s="22" t="s">
        <v>2064</v>
      </c>
      <c r="E874" s="22" t="s">
        <v>3026</v>
      </c>
      <c r="F874" s="17">
        <f t="shared" si="88"/>
        <v>1995</v>
      </c>
      <c r="G874" s="16">
        <v>34876</v>
      </c>
      <c r="H874" s="5" t="s">
        <v>3034</v>
      </c>
      <c r="I874" s="64">
        <v>0</v>
      </c>
      <c r="J874" s="22" t="s">
        <v>2065</v>
      </c>
      <c r="K874" s="17">
        <v>0</v>
      </c>
      <c r="L874" s="59">
        <v>1</v>
      </c>
      <c r="M874" s="22" t="s">
        <v>2855</v>
      </c>
      <c r="N874" s="22" t="s">
        <v>2628</v>
      </c>
      <c r="P874" s="22" t="s">
        <v>2066</v>
      </c>
      <c r="R874" s="17">
        <v>0</v>
      </c>
      <c r="S874" s="17">
        <v>1</v>
      </c>
      <c r="T874" s="17">
        <v>0</v>
      </c>
      <c r="U874" s="17">
        <v>1</v>
      </c>
      <c r="V874" s="17">
        <v>0</v>
      </c>
      <c r="W874" s="17">
        <v>101</v>
      </c>
      <c r="X874" s="17">
        <v>0</v>
      </c>
      <c r="Y874" s="17">
        <v>1</v>
      </c>
      <c r="Z874" s="17">
        <v>102</v>
      </c>
      <c r="AA874" s="11">
        <f t="shared" si="91"/>
        <v>0.99019607843137258</v>
      </c>
      <c r="AB874" s="11">
        <f t="shared" si="92"/>
        <v>0</v>
      </c>
      <c r="AC874" s="66">
        <f t="shared" si="90"/>
        <v>0.99019607843137258</v>
      </c>
      <c r="AD874" s="67">
        <f t="shared" si="93"/>
        <v>0.98529411764705888</v>
      </c>
    </row>
    <row r="875" spans="1:32" ht="14.5" customHeight="1" x14ac:dyDescent="0.2">
      <c r="A875" t="s">
        <v>2974</v>
      </c>
      <c r="B875" s="17">
        <v>0</v>
      </c>
      <c r="C875" s="17">
        <v>0</v>
      </c>
      <c r="D875" s="22" t="s">
        <v>2064</v>
      </c>
      <c r="E875" s="22" t="s">
        <v>3026</v>
      </c>
      <c r="F875" s="17">
        <f t="shared" si="88"/>
        <v>1996</v>
      </c>
      <c r="G875" s="16">
        <v>35320</v>
      </c>
      <c r="H875" s="5" t="s">
        <v>3034</v>
      </c>
      <c r="I875" s="64">
        <v>0</v>
      </c>
      <c r="J875" s="22" t="s">
        <v>2067</v>
      </c>
      <c r="K875" s="17">
        <v>0</v>
      </c>
      <c r="L875" s="59">
        <v>1</v>
      </c>
      <c r="M875" t="s">
        <v>2548</v>
      </c>
      <c r="N875" t="s">
        <v>2629</v>
      </c>
      <c r="P875" s="22" t="s">
        <v>2068</v>
      </c>
      <c r="R875" s="17">
        <v>1</v>
      </c>
      <c r="S875" s="17">
        <v>0</v>
      </c>
      <c r="T875" s="17">
        <v>0</v>
      </c>
      <c r="U875" s="17">
        <v>1</v>
      </c>
      <c r="V875" s="17">
        <v>0</v>
      </c>
      <c r="W875" s="17">
        <v>99</v>
      </c>
      <c r="X875" s="17">
        <v>0</v>
      </c>
      <c r="Y875" s="17">
        <v>1</v>
      </c>
      <c r="Z875" s="17">
        <v>100</v>
      </c>
      <c r="AA875" s="11">
        <f t="shared" si="91"/>
        <v>0.99</v>
      </c>
      <c r="AB875" s="11">
        <f t="shared" si="92"/>
        <v>0</v>
      </c>
      <c r="AC875" s="66">
        <f t="shared" si="90"/>
        <v>0.99</v>
      </c>
      <c r="AD875" s="67">
        <f t="shared" si="93"/>
        <v>0.98499999999999999</v>
      </c>
    </row>
    <row r="876" spans="1:32" ht="14.5" customHeight="1" x14ac:dyDescent="0.2">
      <c r="A876" t="s">
        <v>2974</v>
      </c>
      <c r="B876" s="17">
        <v>0</v>
      </c>
      <c r="C876" s="17">
        <v>0</v>
      </c>
      <c r="D876" s="22" t="s">
        <v>2069</v>
      </c>
      <c r="E876" s="58" t="s">
        <v>3027</v>
      </c>
      <c r="F876" s="17">
        <f t="shared" si="88"/>
        <v>1998</v>
      </c>
      <c r="G876" s="28">
        <v>36133</v>
      </c>
      <c r="H876" s="5" t="s">
        <v>3034</v>
      </c>
      <c r="I876" s="64">
        <v>0</v>
      </c>
      <c r="J876" s="22" t="s">
        <v>2070</v>
      </c>
      <c r="K876" s="17">
        <v>0</v>
      </c>
      <c r="L876" s="59">
        <v>1</v>
      </c>
      <c r="M876" s="5" t="s">
        <v>2071</v>
      </c>
      <c r="N876" s="24" t="s">
        <v>2630</v>
      </c>
      <c r="P876" s="22">
        <v>3364</v>
      </c>
      <c r="Q876" s="22" t="str">
        <f t="shared" ref="Q876:Q915" si="94">CONCATENATE("https://www.nrsr.sk/web/Default.aspx?sid=schodze/hlasovanie/hlasklub&amp;ID=",P876)</f>
        <v>https://www.nrsr.sk/web/Default.aspx?sid=schodze/hlasovanie/hlasklub&amp;ID=3364</v>
      </c>
      <c r="R876" s="17">
        <v>1</v>
      </c>
      <c r="S876" s="17">
        <v>0</v>
      </c>
      <c r="T876" s="17">
        <v>0</v>
      </c>
      <c r="U876" s="17">
        <v>1</v>
      </c>
      <c r="V876" s="17">
        <v>0</v>
      </c>
      <c r="W876" s="64">
        <v>89</v>
      </c>
      <c r="X876" s="64">
        <v>1</v>
      </c>
      <c r="Y876" s="64">
        <v>2</v>
      </c>
      <c r="Z876" s="6">
        <f t="shared" ref="Z876:Z898" si="95">SUM(W876:Y876)</f>
        <v>92</v>
      </c>
      <c r="AA876" s="11">
        <f t="shared" si="91"/>
        <v>0.96739130434782605</v>
      </c>
      <c r="AB876" s="11">
        <f t="shared" si="92"/>
        <v>1.0869565217391304E-2</v>
      </c>
      <c r="AC876" s="66">
        <f t="shared" si="90"/>
        <v>0.96739130434782605</v>
      </c>
      <c r="AD876" s="67">
        <f t="shared" si="93"/>
        <v>0.95108695652173914</v>
      </c>
    </row>
    <row r="877" spans="1:32" ht="14.5" customHeight="1" x14ac:dyDescent="0.2">
      <c r="A877" t="s">
        <v>2974</v>
      </c>
      <c r="B877" s="17">
        <v>0</v>
      </c>
      <c r="C877" s="17">
        <v>0</v>
      </c>
      <c r="D877" s="22" t="s">
        <v>2069</v>
      </c>
      <c r="E877" s="58" t="s">
        <v>3027</v>
      </c>
      <c r="F877" s="17">
        <f t="shared" ref="F877:F940" si="96">YEAR(G877)</f>
        <v>1998</v>
      </c>
      <c r="G877" s="28">
        <v>36145</v>
      </c>
      <c r="H877" s="5" t="s">
        <v>3034</v>
      </c>
      <c r="I877" s="64">
        <v>0</v>
      </c>
      <c r="J877" s="22" t="s">
        <v>2072</v>
      </c>
      <c r="K877" s="17">
        <v>0</v>
      </c>
      <c r="L877" s="59">
        <v>1</v>
      </c>
      <c r="M877" s="48" t="s">
        <v>2552</v>
      </c>
      <c r="N877" s="24" t="s">
        <v>2121</v>
      </c>
      <c r="P877" s="22">
        <v>3421</v>
      </c>
      <c r="Q877" s="22" t="str">
        <f t="shared" si="94"/>
        <v>https://www.nrsr.sk/web/Default.aspx?sid=schodze/hlasovanie/hlasklub&amp;ID=3421</v>
      </c>
      <c r="R877" s="17">
        <v>1</v>
      </c>
      <c r="S877" s="17">
        <v>0</v>
      </c>
      <c r="T877" s="17">
        <v>0</v>
      </c>
      <c r="U877" s="17">
        <v>1</v>
      </c>
      <c r="V877" s="7">
        <v>0</v>
      </c>
      <c r="W877" s="64">
        <v>83</v>
      </c>
      <c r="X877" s="64">
        <v>6</v>
      </c>
      <c r="Y877" s="64">
        <v>1</v>
      </c>
      <c r="Z877" s="6">
        <f t="shared" si="95"/>
        <v>90</v>
      </c>
      <c r="AA877" s="11">
        <f t="shared" si="91"/>
        <v>0.92222222222222228</v>
      </c>
      <c r="AB877" s="11">
        <f t="shared" si="92"/>
        <v>6.6666666666666666E-2</v>
      </c>
      <c r="AC877" s="66">
        <f t="shared" si="90"/>
        <v>0.92222222222222228</v>
      </c>
      <c r="AD877" s="67">
        <f t="shared" si="93"/>
        <v>0.8833333333333333</v>
      </c>
    </row>
    <row r="878" spans="1:32" ht="14.5" customHeight="1" x14ac:dyDescent="0.2">
      <c r="A878" t="s">
        <v>2974</v>
      </c>
      <c r="B878" s="17">
        <v>0</v>
      </c>
      <c r="C878" s="17">
        <v>0</v>
      </c>
      <c r="D878" s="22" t="s">
        <v>2069</v>
      </c>
      <c r="E878" s="58" t="s">
        <v>3027</v>
      </c>
      <c r="F878" s="17">
        <f t="shared" si="96"/>
        <v>1999</v>
      </c>
      <c r="G878" s="28">
        <v>36312</v>
      </c>
      <c r="H878" s="5" t="s">
        <v>3034</v>
      </c>
      <c r="I878" s="64">
        <v>0</v>
      </c>
      <c r="J878" s="22" t="s">
        <v>2073</v>
      </c>
      <c r="K878" s="17">
        <v>0</v>
      </c>
      <c r="L878" s="59">
        <v>1</v>
      </c>
      <c r="M878" s="22" t="s">
        <v>109</v>
      </c>
      <c r="N878" s="24" t="s">
        <v>2630</v>
      </c>
      <c r="P878" s="22">
        <v>967</v>
      </c>
      <c r="Q878" s="22" t="str">
        <f t="shared" si="94"/>
        <v>https://www.nrsr.sk/web/Default.aspx?sid=schodze/hlasovanie/hlasklub&amp;ID=967</v>
      </c>
      <c r="R878" s="17">
        <v>1</v>
      </c>
      <c r="S878" s="17">
        <v>0</v>
      </c>
      <c r="T878" s="17">
        <v>0</v>
      </c>
      <c r="U878" s="17">
        <v>1</v>
      </c>
      <c r="V878" s="7">
        <v>0</v>
      </c>
      <c r="W878" s="64">
        <v>68</v>
      </c>
      <c r="X878" s="64">
        <v>18</v>
      </c>
      <c r="Y878" s="64">
        <v>12</v>
      </c>
      <c r="Z878" s="6">
        <f t="shared" si="95"/>
        <v>98</v>
      </c>
      <c r="AA878" s="11">
        <f t="shared" si="91"/>
        <v>0.69387755102040816</v>
      </c>
      <c r="AB878" s="11">
        <f t="shared" si="92"/>
        <v>0.18367346938775511</v>
      </c>
      <c r="AC878" s="66">
        <f t="shared" si="90"/>
        <v>0.69387755102040816</v>
      </c>
      <c r="AD878" s="67">
        <f t="shared" si="93"/>
        <v>0.54081632653061229</v>
      </c>
    </row>
    <row r="879" spans="1:32" ht="14.5" customHeight="1" x14ac:dyDescent="0.2">
      <c r="A879" t="s">
        <v>2974</v>
      </c>
      <c r="B879" s="17">
        <v>0</v>
      </c>
      <c r="C879" s="17">
        <v>0</v>
      </c>
      <c r="D879" s="22" t="s">
        <v>2069</v>
      </c>
      <c r="E879" s="58" t="s">
        <v>3027</v>
      </c>
      <c r="F879" s="17">
        <f t="shared" si="96"/>
        <v>1999</v>
      </c>
      <c r="G879" s="28">
        <v>36341</v>
      </c>
      <c r="H879" s="5" t="s">
        <v>3034</v>
      </c>
      <c r="I879" s="64">
        <v>0</v>
      </c>
      <c r="J879" s="22" t="s">
        <v>2074</v>
      </c>
      <c r="K879" s="17">
        <v>0</v>
      </c>
      <c r="L879" s="59">
        <v>1</v>
      </c>
      <c r="M879" s="22" t="s">
        <v>165</v>
      </c>
      <c r="N879" s="24" t="s">
        <v>2630</v>
      </c>
      <c r="P879" s="22">
        <v>381</v>
      </c>
      <c r="Q879" s="22" t="str">
        <f t="shared" si="94"/>
        <v>https://www.nrsr.sk/web/Default.aspx?sid=schodze/hlasovanie/hlasklub&amp;ID=381</v>
      </c>
      <c r="R879" s="17">
        <v>1</v>
      </c>
      <c r="S879" s="17">
        <v>0</v>
      </c>
      <c r="T879" s="17">
        <v>0</v>
      </c>
      <c r="U879" s="17">
        <v>1</v>
      </c>
      <c r="V879" s="17">
        <v>0</v>
      </c>
      <c r="W879" s="64">
        <v>83</v>
      </c>
      <c r="X879" s="64">
        <v>15</v>
      </c>
      <c r="Y879" s="64">
        <v>16</v>
      </c>
      <c r="Z879" s="6">
        <f t="shared" si="95"/>
        <v>114</v>
      </c>
      <c r="AA879" s="11">
        <f t="shared" si="91"/>
        <v>0.72807017543859653</v>
      </c>
      <c r="AB879" s="11">
        <f t="shared" si="92"/>
        <v>0.13157894736842105</v>
      </c>
      <c r="AC879" s="66">
        <f t="shared" si="90"/>
        <v>0.72807017543859653</v>
      </c>
      <c r="AD879" s="67">
        <f t="shared" si="93"/>
        <v>0.59210526315789469</v>
      </c>
    </row>
    <row r="880" spans="1:32" ht="14.5" customHeight="1" x14ac:dyDescent="0.2">
      <c r="A880" t="s">
        <v>2974</v>
      </c>
      <c r="B880" s="17">
        <v>0</v>
      </c>
      <c r="C880" s="17">
        <v>0</v>
      </c>
      <c r="D880" s="22" t="s">
        <v>2069</v>
      </c>
      <c r="E880" s="58" t="s">
        <v>3027</v>
      </c>
      <c r="F880" s="17">
        <f t="shared" si="96"/>
        <v>2000</v>
      </c>
      <c r="G880" s="28">
        <v>36692</v>
      </c>
      <c r="H880" s="5" t="s">
        <v>3034</v>
      </c>
      <c r="I880" s="64">
        <v>0</v>
      </c>
      <c r="J880" s="22" t="s">
        <v>2075</v>
      </c>
      <c r="K880" s="17">
        <v>0</v>
      </c>
      <c r="L880" s="59">
        <v>1</v>
      </c>
      <c r="M880" s="48" t="s">
        <v>119</v>
      </c>
      <c r="N880" s="48" t="s">
        <v>2637</v>
      </c>
      <c r="O880" s="22" t="s">
        <v>2645</v>
      </c>
      <c r="P880" s="22">
        <v>3784</v>
      </c>
      <c r="Q880" s="22" t="str">
        <f t="shared" si="94"/>
        <v>https://www.nrsr.sk/web/Default.aspx?sid=schodze/hlasovanie/hlasklub&amp;ID=3784</v>
      </c>
      <c r="R880" s="17">
        <v>1</v>
      </c>
      <c r="S880" s="17">
        <v>0</v>
      </c>
      <c r="T880" s="17">
        <v>0</v>
      </c>
      <c r="U880" s="17">
        <v>1</v>
      </c>
      <c r="V880" s="17">
        <v>0</v>
      </c>
      <c r="W880" s="64">
        <v>74</v>
      </c>
      <c r="X880" s="64">
        <v>0</v>
      </c>
      <c r="Y880" s="64">
        <v>1</v>
      </c>
      <c r="Z880" s="6">
        <f t="shared" si="95"/>
        <v>75</v>
      </c>
      <c r="AA880" s="11">
        <f t="shared" si="91"/>
        <v>0.98666666666666669</v>
      </c>
      <c r="AB880" s="11">
        <f t="shared" si="92"/>
        <v>0</v>
      </c>
      <c r="AC880" s="66">
        <f t="shared" si="90"/>
        <v>0.98666666666666669</v>
      </c>
      <c r="AD880" s="67">
        <f t="shared" si="93"/>
        <v>0.98</v>
      </c>
    </row>
    <row r="881" spans="1:30" ht="14.5" customHeight="1" x14ac:dyDescent="0.2">
      <c r="A881" t="s">
        <v>2974</v>
      </c>
      <c r="B881" s="17">
        <v>0</v>
      </c>
      <c r="C881" s="17">
        <v>0</v>
      </c>
      <c r="D881" s="22" t="s">
        <v>2069</v>
      </c>
      <c r="E881" s="58" t="s">
        <v>3027</v>
      </c>
      <c r="F881" s="17">
        <f t="shared" si="96"/>
        <v>2000</v>
      </c>
      <c r="G881" s="28">
        <v>36830</v>
      </c>
      <c r="H881" s="5" t="s">
        <v>3034</v>
      </c>
      <c r="I881" s="64">
        <v>0</v>
      </c>
      <c r="J881" s="22" t="s">
        <v>2076</v>
      </c>
      <c r="K881" s="17">
        <v>0</v>
      </c>
      <c r="L881" s="59">
        <v>1</v>
      </c>
      <c r="M881" s="22" t="s">
        <v>2552</v>
      </c>
      <c r="N881" s="24" t="s">
        <v>2121</v>
      </c>
      <c r="P881" s="22">
        <v>4965</v>
      </c>
      <c r="Q881" s="22" t="str">
        <f t="shared" si="94"/>
        <v>https://www.nrsr.sk/web/Default.aspx?sid=schodze/hlasovanie/hlasklub&amp;ID=4965</v>
      </c>
      <c r="R881" s="17">
        <v>1</v>
      </c>
      <c r="S881" s="17">
        <v>0</v>
      </c>
      <c r="T881" s="17">
        <v>0</v>
      </c>
      <c r="U881" s="17">
        <v>1</v>
      </c>
      <c r="V881" s="17">
        <v>0</v>
      </c>
      <c r="W881" s="64">
        <v>98</v>
      </c>
      <c r="X881" s="64">
        <v>0</v>
      </c>
      <c r="Y881" s="64">
        <v>3</v>
      </c>
      <c r="Z881" s="6">
        <f t="shared" si="95"/>
        <v>101</v>
      </c>
      <c r="AA881" s="11">
        <f t="shared" si="91"/>
        <v>0.97029702970297027</v>
      </c>
      <c r="AB881" s="11">
        <f t="shared" si="92"/>
        <v>0</v>
      </c>
      <c r="AC881" s="66">
        <f t="shared" si="90"/>
        <v>0.97029702970297027</v>
      </c>
      <c r="AD881" s="67">
        <f t="shared" si="93"/>
        <v>0.95544554455445541</v>
      </c>
    </row>
    <row r="882" spans="1:30" ht="14.5" customHeight="1" x14ac:dyDescent="0.2">
      <c r="A882" t="s">
        <v>2974</v>
      </c>
      <c r="B882" s="17">
        <v>0</v>
      </c>
      <c r="C882" s="17">
        <v>0</v>
      </c>
      <c r="D882" s="22" t="s">
        <v>2069</v>
      </c>
      <c r="E882" s="58" t="s">
        <v>3027</v>
      </c>
      <c r="F882" s="17">
        <f t="shared" si="96"/>
        <v>2001</v>
      </c>
      <c r="G882" s="28">
        <v>37021</v>
      </c>
      <c r="H882" s="5" t="s">
        <v>3034</v>
      </c>
      <c r="I882" s="64">
        <v>0</v>
      </c>
      <c r="J882" s="22" t="s">
        <v>2077</v>
      </c>
      <c r="K882" s="17">
        <v>0</v>
      </c>
      <c r="L882" s="59">
        <v>1</v>
      </c>
      <c r="M882" s="22" t="s">
        <v>2592</v>
      </c>
      <c r="N882" s="22" t="s">
        <v>2633</v>
      </c>
      <c r="P882" s="22">
        <v>6248</v>
      </c>
      <c r="Q882" s="22" t="str">
        <f t="shared" si="94"/>
        <v>https://www.nrsr.sk/web/Default.aspx?sid=schodze/hlasovanie/hlasklub&amp;ID=6248</v>
      </c>
      <c r="R882" s="17">
        <v>1</v>
      </c>
      <c r="S882" s="17">
        <v>0</v>
      </c>
      <c r="T882" s="17">
        <v>0</v>
      </c>
      <c r="U882" s="17">
        <v>1</v>
      </c>
      <c r="V882" s="17">
        <v>0</v>
      </c>
      <c r="W882" s="64">
        <v>83</v>
      </c>
      <c r="X882" s="64">
        <v>0</v>
      </c>
      <c r="Y882" s="64">
        <v>3</v>
      </c>
      <c r="Z882" s="6">
        <f t="shared" si="95"/>
        <v>86</v>
      </c>
      <c r="AA882" s="11">
        <f t="shared" si="91"/>
        <v>0.96511627906976749</v>
      </c>
      <c r="AB882" s="11">
        <f t="shared" si="92"/>
        <v>0</v>
      </c>
      <c r="AC882" s="66">
        <f t="shared" si="90"/>
        <v>0.96511627906976749</v>
      </c>
      <c r="AD882" s="67">
        <f t="shared" si="93"/>
        <v>0.94767441860465118</v>
      </c>
    </row>
    <row r="883" spans="1:30" ht="14.5" customHeight="1" x14ac:dyDescent="0.2">
      <c r="A883" t="s">
        <v>2974</v>
      </c>
      <c r="B883" s="17">
        <v>0</v>
      </c>
      <c r="C883" s="17">
        <v>0</v>
      </c>
      <c r="D883" s="22" t="s">
        <v>2069</v>
      </c>
      <c r="E883" s="58" t="s">
        <v>3027</v>
      </c>
      <c r="F883" s="17">
        <f t="shared" si="96"/>
        <v>2001</v>
      </c>
      <c r="G883" s="28">
        <v>37054</v>
      </c>
      <c r="H883" s="5" t="s">
        <v>3034</v>
      </c>
      <c r="I883" s="64">
        <v>0</v>
      </c>
      <c r="J883" s="22" t="s">
        <v>2078</v>
      </c>
      <c r="K883" s="17">
        <v>0</v>
      </c>
      <c r="L883" s="59">
        <v>1</v>
      </c>
      <c r="M883" s="22" t="s">
        <v>2593</v>
      </c>
      <c r="N883" t="s">
        <v>2634</v>
      </c>
      <c r="P883" s="22">
        <v>6628</v>
      </c>
      <c r="Q883" s="22" t="str">
        <f t="shared" si="94"/>
        <v>https://www.nrsr.sk/web/Default.aspx?sid=schodze/hlasovanie/hlasklub&amp;ID=6628</v>
      </c>
      <c r="R883" s="17">
        <v>1</v>
      </c>
      <c r="S883" s="17">
        <v>0</v>
      </c>
      <c r="T883" s="17">
        <v>0</v>
      </c>
      <c r="U883" s="17">
        <v>1</v>
      </c>
      <c r="V883" s="17">
        <v>0</v>
      </c>
      <c r="W883" s="64">
        <v>104</v>
      </c>
      <c r="X883" s="64">
        <v>0</v>
      </c>
      <c r="Y883" s="64">
        <v>2</v>
      </c>
      <c r="Z883" s="6">
        <f t="shared" si="95"/>
        <v>106</v>
      </c>
      <c r="AA883" s="11">
        <f t="shared" si="91"/>
        <v>0.98113207547169812</v>
      </c>
      <c r="AB883" s="11">
        <f t="shared" si="92"/>
        <v>0</v>
      </c>
      <c r="AC883" s="66">
        <f t="shared" si="90"/>
        <v>0.98113207547169812</v>
      </c>
      <c r="AD883" s="67">
        <f t="shared" si="93"/>
        <v>0.97169811320754718</v>
      </c>
    </row>
    <row r="884" spans="1:30" ht="14.5" customHeight="1" x14ac:dyDescent="0.2">
      <c r="A884" t="s">
        <v>2974</v>
      </c>
      <c r="B884" s="17">
        <v>0</v>
      </c>
      <c r="C884" s="17">
        <v>0</v>
      </c>
      <c r="D884" s="22" t="s">
        <v>2069</v>
      </c>
      <c r="E884" s="58" t="s">
        <v>3027</v>
      </c>
      <c r="F884" s="17">
        <f t="shared" si="96"/>
        <v>2001</v>
      </c>
      <c r="G884" s="28">
        <v>37181</v>
      </c>
      <c r="H884" s="5" t="s">
        <v>3034</v>
      </c>
      <c r="I884" s="64">
        <v>0</v>
      </c>
      <c r="J884" s="22" t="s">
        <v>2079</v>
      </c>
      <c r="K884" s="17">
        <v>0</v>
      </c>
      <c r="L884" s="59">
        <v>1</v>
      </c>
      <c r="M884" s="22" t="s">
        <v>165</v>
      </c>
      <c r="N884" s="24" t="s">
        <v>2630</v>
      </c>
      <c r="P884" s="22">
        <v>7797</v>
      </c>
      <c r="Q884" s="22" t="str">
        <f t="shared" si="94"/>
        <v>https://www.nrsr.sk/web/Default.aspx?sid=schodze/hlasovanie/hlasklub&amp;ID=7797</v>
      </c>
      <c r="R884" s="17">
        <v>1</v>
      </c>
      <c r="S884" s="17">
        <v>0</v>
      </c>
      <c r="T884" s="17">
        <v>0</v>
      </c>
      <c r="U884" s="17">
        <v>1</v>
      </c>
      <c r="V884" s="17">
        <v>1</v>
      </c>
      <c r="W884" s="64">
        <v>73</v>
      </c>
      <c r="X884" s="64">
        <v>0</v>
      </c>
      <c r="Y884" s="64">
        <v>6</v>
      </c>
      <c r="Z884" s="6">
        <f t="shared" si="95"/>
        <v>79</v>
      </c>
      <c r="AA884" s="11">
        <f t="shared" si="91"/>
        <v>0.92405063291139244</v>
      </c>
      <c r="AB884" s="11">
        <f t="shared" si="92"/>
        <v>0</v>
      </c>
      <c r="AC884" s="66">
        <f t="shared" si="90"/>
        <v>0.92405063291139244</v>
      </c>
      <c r="AD884" s="67">
        <f t="shared" si="93"/>
        <v>0.88607594936708856</v>
      </c>
    </row>
    <row r="885" spans="1:30" ht="14.5" customHeight="1" x14ac:dyDescent="0.2">
      <c r="A885" t="s">
        <v>2974</v>
      </c>
      <c r="B885" s="17">
        <v>0</v>
      </c>
      <c r="C885" s="17">
        <v>0</v>
      </c>
      <c r="D885" s="22" t="s">
        <v>2069</v>
      </c>
      <c r="E885" s="58" t="s">
        <v>3027</v>
      </c>
      <c r="F885" s="17">
        <f t="shared" si="96"/>
        <v>2002</v>
      </c>
      <c r="G885" s="18">
        <v>37446</v>
      </c>
      <c r="H885" s="5" t="s">
        <v>3034</v>
      </c>
      <c r="I885" s="64">
        <v>0</v>
      </c>
      <c r="J885" s="22" t="s">
        <v>2080</v>
      </c>
      <c r="K885" s="17">
        <v>0</v>
      </c>
      <c r="L885" s="59">
        <v>1</v>
      </c>
      <c r="M885" s="48" t="s">
        <v>2559</v>
      </c>
      <c r="N885" s="22" t="s">
        <v>2630</v>
      </c>
      <c r="P885" s="22">
        <v>10689</v>
      </c>
      <c r="Q885" s="22" t="str">
        <f t="shared" si="94"/>
        <v>https://www.nrsr.sk/web/Default.aspx?sid=schodze/hlasovanie/hlasklub&amp;ID=10689</v>
      </c>
      <c r="R885" s="17">
        <v>1</v>
      </c>
      <c r="S885" s="17">
        <v>0</v>
      </c>
      <c r="T885" s="17">
        <v>0</v>
      </c>
      <c r="U885" s="17">
        <v>1</v>
      </c>
      <c r="V885" s="17">
        <v>1</v>
      </c>
      <c r="W885" s="64">
        <v>73</v>
      </c>
      <c r="X885" s="64">
        <v>2</v>
      </c>
      <c r="Y885" s="64">
        <v>3</v>
      </c>
      <c r="Z885" s="6">
        <f t="shared" si="95"/>
        <v>78</v>
      </c>
      <c r="AA885" s="11">
        <f t="shared" si="91"/>
        <v>0.9358974358974359</v>
      </c>
      <c r="AB885" s="11">
        <f t="shared" si="92"/>
        <v>2.564102564102564E-2</v>
      </c>
      <c r="AC885" s="66">
        <f t="shared" si="90"/>
        <v>0.9358974358974359</v>
      </c>
      <c r="AD885" s="67">
        <f t="shared" si="93"/>
        <v>0.90384615384615385</v>
      </c>
    </row>
    <row r="886" spans="1:30" ht="14.5" customHeight="1" x14ac:dyDescent="0.2">
      <c r="A886" t="s">
        <v>2974</v>
      </c>
      <c r="B886" s="17">
        <v>0</v>
      </c>
      <c r="C886" s="17">
        <v>0</v>
      </c>
      <c r="D886" s="22" t="s">
        <v>2081</v>
      </c>
      <c r="E886" s="58" t="s">
        <v>3028</v>
      </c>
      <c r="F886" s="17">
        <f t="shared" si="96"/>
        <v>2003</v>
      </c>
      <c r="G886" s="28">
        <v>37658</v>
      </c>
      <c r="H886" s="5" t="s">
        <v>3034</v>
      </c>
      <c r="I886" s="64">
        <v>0</v>
      </c>
      <c r="J886" s="22" t="s">
        <v>2082</v>
      </c>
      <c r="K886" s="17">
        <v>0</v>
      </c>
      <c r="L886" s="59">
        <v>1</v>
      </c>
      <c r="M886" s="48" t="s">
        <v>30</v>
      </c>
      <c r="N886" t="s">
        <v>2121</v>
      </c>
      <c r="P886" s="22">
        <v>11497</v>
      </c>
      <c r="Q886" s="22" t="str">
        <f t="shared" si="94"/>
        <v>https://www.nrsr.sk/web/Default.aspx?sid=schodze/hlasovanie/hlasklub&amp;ID=11497</v>
      </c>
      <c r="R886" s="17">
        <v>1</v>
      </c>
      <c r="S886" s="17">
        <v>0</v>
      </c>
      <c r="T886" s="17">
        <v>0</v>
      </c>
      <c r="U886" s="17">
        <v>1</v>
      </c>
      <c r="V886" s="17">
        <v>1</v>
      </c>
      <c r="W886" s="64">
        <v>81</v>
      </c>
      <c r="X886" s="64">
        <v>54</v>
      </c>
      <c r="Y886" s="64">
        <v>6</v>
      </c>
      <c r="Z886" s="6">
        <f t="shared" si="95"/>
        <v>141</v>
      </c>
      <c r="AA886" s="11">
        <f t="shared" si="91"/>
        <v>0.57446808510638303</v>
      </c>
      <c r="AB886" s="11">
        <f t="shared" si="92"/>
        <v>0.38297872340425532</v>
      </c>
      <c r="AC886" s="66">
        <f t="shared" si="90"/>
        <v>0.57446808510638303</v>
      </c>
      <c r="AD886" s="67">
        <f t="shared" si="93"/>
        <v>0.36170212765957449</v>
      </c>
    </row>
    <row r="887" spans="1:30" ht="14.5" customHeight="1" x14ac:dyDescent="0.2">
      <c r="A887" t="s">
        <v>2974</v>
      </c>
      <c r="B887" s="17">
        <v>0</v>
      </c>
      <c r="C887" s="17">
        <v>0</v>
      </c>
      <c r="D887" s="22" t="s">
        <v>2081</v>
      </c>
      <c r="E887" s="58" t="s">
        <v>3028</v>
      </c>
      <c r="F887" s="17">
        <f t="shared" si="96"/>
        <v>2003</v>
      </c>
      <c r="G887" s="28">
        <v>37721</v>
      </c>
      <c r="H887" s="5" t="s">
        <v>3034</v>
      </c>
      <c r="I887" s="64">
        <v>0</v>
      </c>
      <c r="J887" s="22" t="s">
        <v>2083</v>
      </c>
      <c r="K887" s="17">
        <v>0</v>
      </c>
      <c r="L887" s="59">
        <v>1</v>
      </c>
      <c r="M887" s="5" t="s">
        <v>2569</v>
      </c>
      <c r="N887" s="22" t="s">
        <v>2630</v>
      </c>
      <c r="P887" s="22">
        <v>11755</v>
      </c>
      <c r="Q887" s="22" t="str">
        <f t="shared" si="94"/>
        <v>https://www.nrsr.sk/web/Default.aspx?sid=schodze/hlasovanie/hlasklub&amp;ID=11755</v>
      </c>
      <c r="R887" s="17">
        <v>1</v>
      </c>
      <c r="S887" s="17">
        <v>0</v>
      </c>
      <c r="T887" s="17">
        <v>0</v>
      </c>
      <c r="U887" s="17">
        <v>1</v>
      </c>
      <c r="V887" s="17">
        <v>1</v>
      </c>
      <c r="W887" s="64">
        <v>88</v>
      </c>
      <c r="X887" s="64">
        <v>0</v>
      </c>
      <c r="Y887" s="64">
        <v>0</v>
      </c>
      <c r="Z887" s="6">
        <f t="shared" si="95"/>
        <v>88</v>
      </c>
      <c r="AA887" s="11">
        <f t="shared" si="91"/>
        <v>1</v>
      </c>
      <c r="AB887" s="11">
        <f t="shared" si="92"/>
        <v>0</v>
      </c>
      <c r="AC887" s="66">
        <f t="shared" si="90"/>
        <v>1</v>
      </c>
      <c r="AD887" s="67">
        <f t="shared" si="93"/>
        <v>1</v>
      </c>
    </row>
    <row r="888" spans="1:30" ht="14.5" customHeight="1" x14ac:dyDescent="0.2">
      <c r="A888" t="s">
        <v>2974</v>
      </c>
      <c r="B888" s="17">
        <v>0</v>
      </c>
      <c r="C888" s="17">
        <v>0</v>
      </c>
      <c r="D888" s="22" t="s">
        <v>2081</v>
      </c>
      <c r="E888" s="58" t="s">
        <v>3028</v>
      </c>
      <c r="F888" s="17">
        <f t="shared" si="96"/>
        <v>2003</v>
      </c>
      <c r="G888" s="28">
        <v>37791</v>
      </c>
      <c r="H888" s="5" t="s">
        <v>3034</v>
      </c>
      <c r="I888" s="64">
        <v>0</v>
      </c>
      <c r="J888" s="22" t="s">
        <v>2084</v>
      </c>
      <c r="K888" s="17">
        <v>0</v>
      </c>
      <c r="L888" s="59">
        <v>1</v>
      </c>
      <c r="M888" s="48" t="s">
        <v>30</v>
      </c>
      <c r="N888" t="s">
        <v>2121</v>
      </c>
      <c r="P888" s="22">
        <v>12071</v>
      </c>
      <c r="Q888" s="22" t="str">
        <f t="shared" si="94"/>
        <v>https://www.nrsr.sk/web/Default.aspx?sid=schodze/hlasovanie/hlasklub&amp;ID=12071</v>
      </c>
      <c r="R888" s="17">
        <v>1</v>
      </c>
      <c r="S888" s="17">
        <v>0</v>
      </c>
      <c r="T888" s="17">
        <v>0</v>
      </c>
      <c r="U888" s="17">
        <v>1</v>
      </c>
      <c r="V888" s="17">
        <v>1</v>
      </c>
      <c r="W888" s="64">
        <v>84</v>
      </c>
      <c r="X888" s="64">
        <v>15</v>
      </c>
      <c r="Y888" s="64">
        <v>15</v>
      </c>
      <c r="Z888" s="6">
        <f t="shared" si="95"/>
        <v>114</v>
      </c>
      <c r="AA888" s="11">
        <f t="shared" si="91"/>
        <v>0.73684210526315785</v>
      </c>
      <c r="AB888" s="11">
        <f t="shared" si="92"/>
        <v>0.13157894736842105</v>
      </c>
      <c r="AC888" s="66">
        <f t="shared" si="90"/>
        <v>0.73684210526315785</v>
      </c>
      <c r="AD888" s="67">
        <f t="shared" si="93"/>
        <v>0.60526315789473684</v>
      </c>
    </row>
    <row r="889" spans="1:30" ht="14.5" customHeight="1" x14ac:dyDescent="0.2">
      <c r="A889" t="s">
        <v>2974</v>
      </c>
      <c r="B889" s="17">
        <v>0</v>
      </c>
      <c r="C889" s="17">
        <v>0</v>
      </c>
      <c r="D889" s="22" t="s">
        <v>2081</v>
      </c>
      <c r="E889" s="58" t="s">
        <v>3028</v>
      </c>
      <c r="F889" s="17">
        <f t="shared" si="96"/>
        <v>2004</v>
      </c>
      <c r="G889" s="28">
        <v>38057</v>
      </c>
      <c r="H889" s="5" t="s">
        <v>3034</v>
      </c>
      <c r="I889" s="64">
        <v>0</v>
      </c>
      <c r="J889" s="22" t="s">
        <v>2085</v>
      </c>
      <c r="K889" s="17">
        <v>0</v>
      </c>
      <c r="L889" s="59">
        <v>1</v>
      </c>
      <c r="M889" s="22" t="s">
        <v>129</v>
      </c>
      <c r="N889" s="22" t="s">
        <v>422</v>
      </c>
      <c r="P889" s="22">
        <v>14804</v>
      </c>
      <c r="Q889" s="22" t="str">
        <f t="shared" si="94"/>
        <v>https://www.nrsr.sk/web/Default.aspx?sid=schodze/hlasovanie/hlasklub&amp;ID=14804</v>
      </c>
      <c r="R889" s="17">
        <v>1</v>
      </c>
      <c r="S889" s="17">
        <v>0</v>
      </c>
      <c r="T889" s="17">
        <v>0</v>
      </c>
      <c r="U889" s="17">
        <v>1</v>
      </c>
      <c r="V889" s="17">
        <v>0</v>
      </c>
      <c r="W889" s="64">
        <v>109</v>
      </c>
      <c r="X889" s="64">
        <v>15</v>
      </c>
      <c r="Y889" s="64">
        <v>15</v>
      </c>
      <c r="Z889" s="6">
        <f t="shared" si="95"/>
        <v>139</v>
      </c>
      <c r="AA889" s="11">
        <f t="shared" si="91"/>
        <v>0.78417266187050361</v>
      </c>
      <c r="AB889" s="11">
        <f t="shared" si="92"/>
        <v>0.1079136690647482</v>
      </c>
      <c r="AC889" s="66">
        <f t="shared" si="90"/>
        <v>0.78417266187050361</v>
      </c>
      <c r="AD889" s="67">
        <f t="shared" si="93"/>
        <v>0.67625899280575541</v>
      </c>
    </row>
    <row r="890" spans="1:30" ht="14.5" customHeight="1" x14ac:dyDescent="0.2">
      <c r="A890" t="s">
        <v>2974</v>
      </c>
      <c r="B890" s="17">
        <v>1</v>
      </c>
      <c r="C890" s="17">
        <v>0</v>
      </c>
      <c r="D890" s="22" t="s">
        <v>2081</v>
      </c>
      <c r="E890" s="58" t="s">
        <v>3028</v>
      </c>
      <c r="F890" s="17">
        <f t="shared" si="96"/>
        <v>2004</v>
      </c>
      <c r="G890" s="28">
        <v>38322</v>
      </c>
      <c r="H890" s="5" t="s">
        <v>3034</v>
      </c>
      <c r="I890" s="64">
        <v>0</v>
      </c>
      <c r="J890" s="22" t="s">
        <v>2086</v>
      </c>
      <c r="K890" s="17">
        <v>0</v>
      </c>
      <c r="L890" s="59">
        <v>1</v>
      </c>
      <c r="M890" s="22" t="s">
        <v>2556</v>
      </c>
      <c r="N890" s="24" t="s">
        <v>2630</v>
      </c>
      <c r="P890" s="22">
        <v>16548</v>
      </c>
      <c r="Q890" s="22" t="str">
        <f t="shared" si="94"/>
        <v>https://www.nrsr.sk/web/Default.aspx?sid=schodze/hlasovanie/hlasklub&amp;ID=16548</v>
      </c>
      <c r="R890" s="17">
        <v>1</v>
      </c>
      <c r="S890" s="17">
        <v>0</v>
      </c>
      <c r="T890" s="17">
        <v>0</v>
      </c>
      <c r="U890" s="17">
        <v>1</v>
      </c>
      <c r="V890" s="17">
        <v>0</v>
      </c>
      <c r="W890" s="64">
        <v>119</v>
      </c>
      <c r="X890" s="64">
        <v>12</v>
      </c>
      <c r="Y890" s="64">
        <v>4</v>
      </c>
      <c r="Z890" s="6">
        <f t="shared" si="95"/>
        <v>135</v>
      </c>
      <c r="AA890" s="11">
        <f t="shared" si="91"/>
        <v>0.88148148148148153</v>
      </c>
      <c r="AB890" s="11">
        <f t="shared" si="92"/>
        <v>8.8888888888888892E-2</v>
      </c>
      <c r="AC890" s="66">
        <f t="shared" si="90"/>
        <v>0.88148148148148153</v>
      </c>
      <c r="AD890" s="67">
        <f t="shared" si="93"/>
        <v>0.82222222222222219</v>
      </c>
    </row>
    <row r="891" spans="1:30" ht="14.5" customHeight="1" x14ac:dyDescent="0.2">
      <c r="A891" t="s">
        <v>2974</v>
      </c>
      <c r="B891" s="17">
        <v>1</v>
      </c>
      <c r="C891" s="17">
        <v>0</v>
      </c>
      <c r="D891" s="22" t="s">
        <v>2081</v>
      </c>
      <c r="E891" s="58" t="s">
        <v>3028</v>
      </c>
      <c r="F891" s="17">
        <f t="shared" si="96"/>
        <v>2005</v>
      </c>
      <c r="G891" s="28">
        <v>38700</v>
      </c>
      <c r="H891" s="5" t="s">
        <v>3034</v>
      </c>
      <c r="I891" s="64">
        <v>0</v>
      </c>
      <c r="J891" s="22" t="s">
        <v>2087</v>
      </c>
      <c r="K891" s="17">
        <v>0</v>
      </c>
      <c r="L891" s="59">
        <v>1</v>
      </c>
      <c r="M891" t="s">
        <v>830</v>
      </c>
      <c r="N891" s="5" t="s">
        <v>422</v>
      </c>
      <c r="P891" s="22">
        <v>18886</v>
      </c>
      <c r="Q891" s="22" t="str">
        <f t="shared" si="94"/>
        <v>https://www.nrsr.sk/web/Default.aspx?sid=schodze/hlasovanie/hlasklub&amp;ID=18886</v>
      </c>
      <c r="R891" s="17">
        <v>1</v>
      </c>
      <c r="S891" s="17">
        <v>0</v>
      </c>
      <c r="T891" s="17">
        <v>0</v>
      </c>
      <c r="U891" s="17">
        <v>1</v>
      </c>
      <c r="V891" s="17">
        <v>0</v>
      </c>
      <c r="W891" s="64">
        <v>122</v>
      </c>
      <c r="X891" s="64">
        <v>10</v>
      </c>
      <c r="Y891" s="64">
        <v>1</v>
      </c>
      <c r="Z891" s="6">
        <f t="shared" si="95"/>
        <v>133</v>
      </c>
      <c r="AA891" s="11">
        <f t="shared" si="91"/>
        <v>0.91729323308270672</v>
      </c>
      <c r="AB891" s="11">
        <f t="shared" si="92"/>
        <v>7.5187969924812026E-2</v>
      </c>
      <c r="AC891" s="66">
        <f t="shared" si="90"/>
        <v>0.91729323308270672</v>
      </c>
      <c r="AD891" s="67">
        <f t="shared" si="93"/>
        <v>0.87593984962406013</v>
      </c>
    </row>
    <row r="892" spans="1:30" ht="14.5" customHeight="1" x14ac:dyDescent="0.2">
      <c r="A892" t="s">
        <v>2974</v>
      </c>
      <c r="B892" s="17">
        <v>1</v>
      </c>
      <c r="C892" s="17">
        <v>0</v>
      </c>
      <c r="D892" s="22" t="s">
        <v>2081</v>
      </c>
      <c r="E892" s="58" t="s">
        <v>3028</v>
      </c>
      <c r="F892" s="17">
        <f t="shared" si="96"/>
        <v>2005</v>
      </c>
      <c r="G892" s="28">
        <v>38700</v>
      </c>
      <c r="H892" s="5" t="s">
        <v>3034</v>
      </c>
      <c r="I892" s="64">
        <v>0</v>
      </c>
      <c r="J892" s="22" t="s">
        <v>2088</v>
      </c>
      <c r="K892" s="17">
        <v>0</v>
      </c>
      <c r="L892" s="59">
        <v>1</v>
      </c>
      <c r="M892" s="22" t="s">
        <v>2556</v>
      </c>
      <c r="N892" s="24" t="s">
        <v>2630</v>
      </c>
      <c r="P892" s="22">
        <v>18885</v>
      </c>
      <c r="Q892" s="22" t="str">
        <f t="shared" si="94"/>
        <v>https://www.nrsr.sk/web/Default.aspx?sid=schodze/hlasovanie/hlasklub&amp;ID=18885</v>
      </c>
      <c r="R892" s="17">
        <v>1</v>
      </c>
      <c r="S892" s="17">
        <v>0</v>
      </c>
      <c r="T892" s="17">
        <v>0</v>
      </c>
      <c r="U892" s="17">
        <v>1</v>
      </c>
      <c r="V892" s="17">
        <v>1</v>
      </c>
      <c r="W892" s="64">
        <v>122</v>
      </c>
      <c r="X892" s="64">
        <v>10</v>
      </c>
      <c r="Y892" s="64">
        <v>3</v>
      </c>
      <c r="Z892" s="6">
        <f t="shared" si="95"/>
        <v>135</v>
      </c>
      <c r="AA892" s="11">
        <f t="shared" si="91"/>
        <v>0.90370370370370368</v>
      </c>
      <c r="AB892" s="11">
        <f t="shared" si="92"/>
        <v>7.407407407407407E-2</v>
      </c>
      <c r="AC892" s="66">
        <f t="shared" si="90"/>
        <v>0.90370370370370368</v>
      </c>
      <c r="AD892" s="67">
        <f t="shared" si="93"/>
        <v>0.85555555555555551</v>
      </c>
    </row>
    <row r="893" spans="1:30" ht="14.5" customHeight="1" x14ac:dyDescent="0.2">
      <c r="A893" t="s">
        <v>2974</v>
      </c>
      <c r="B893" s="17">
        <v>1</v>
      </c>
      <c r="C893" s="17">
        <v>0</v>
      </c>
      <c r="D893" s="22" t="s">
        <v>2081</v>
      </c>
      <c r="E893" s="58" t="s">
        <v>3028</v>
      </c>
      <c r="F893" s="17">
        <f t="shared" si="96"/>
        <v>2005</v>
      </c>
      <c r="G893" s="28">
        <v>38700</v>
      </c>
      <c r="H893" s="5" t="s">
        <v>3034</v>
      </c>
      <c r="I893" s="64">
        <v>0</v>
      </c>
      <c r="J893" s="22" t="s">
        <v>2089</v>
      </c>
      <c r="K893" s="17">
        <v>0</v>
      </c>
      <c r="L893" s="59">
        <v>1</v>
      </c>
      <c r="M893" s="22" t="s">
        <v>165</v>
      </c>
      <c r="N893" s="24" t="s">
        <v>2630</v>
      </c>
      <c r="P893" s="22">
        <v>18887</v>
      </c>
      <c r="Q893" s="22" t="str">
        <f t="shared" si="94"/>
        <v>https://www.nrsr.sk/web/Default.aspx?sid=schodze/hlasovanie/hlasklub&amp;ID=18887</v>
      </c>
      <c r="R893" s="17">
        <v>1</v>
      </c>
      <c r="S893" s="17">
        <v>0</v>
      </c>
      <c r="T893" s="17">
        <v>0</v>
      </c>
      <c r="U893" s="17">
        <v>1</v>
      </c>
      <c r="V893" s="17">
        <v>1</v>
      </c>
      <c r="W893" s="64">
        <v>122</v>
      </c>
      <c r="X893" s="64">
        <v>11</v>
      </c>
      <c r="Y893" s="64">
        <v>3</v>
      </c>
      <c r="Z893" s="6">
        <f t="shared" si="95"/>
        <v>136</v>
      </c>
      <c r="AA893" s="11">
        <f t="shared" si="91"/>
        <v>0.8970588235294118</v>
      </c>
      <c r="AB893" s="11">
        <f t="shared" si="92"/>
        <v>8.0882352941176475E-2</v>
      </c>
      <c r="AC893" s="66">
        <f t="shared" si="90"/>
        <v>0.8970588235294118</v>
      </c>
      <c r="AD893" s="67">
        <f t="shared" si="93"/>
        <v>0.84558823529411764</v>
      </c>
    </row>
    <row r="894" spans="1:30" ht="14.5" customHeight="1" x14ac:dyDescent="0.2">
      <c r="A894" t="s">
        <v>2974</v>
      </c>
      <c r="B894" s="17">
        <v>1</v>
      </c>
      <c r="C894" s="17">
        <v>1</v>
      </c>
      <c r="D894" s="22" t="s">
        <v>2090</v>
      </c>
      <c r="E894" s="58" t="s">
        <v>3029</v>
      </c>
      <c r="F894" s="17">
        <f t="shared" si="96"/>
        <v>2007</v>
      </c>
      <c r="G894" s="28">
        <v>39119</v>
      </c>
      <c r="H894" s="5" t="s">
        <v>3034</v>
      </c>
      <c r="I894" s="64">
        <v>0</v>
      </c>
      <c r="J894" s="22" t="s">
        <v>2091</v>
      </c>
      <c r="K894" s="17">
        <v>0</v>
      </c>
      <c r="L894" s="59">
        <v>1</v>
      </c>
      <c r="M894" t="s">
        <v>202</v>
      </c>
      <c r="N894" t="s">
        <v>2121</v>
      </c>
      <c r="P894" s="22">
        <v>20341</v>
      </c>
      <c r="Q894" s="22" t="str">
        <f t="shared" si="94"/>
        <v>https://www.nrsr.sk/web/Default.aspx?sid=schodze/hlasovanie/hlasklub&amp;ID=20341</v>
      </c>
      <c r="R894" s="17">
        <v>1</v>
      </c>
      <c r="S894" s="17">
        <v>0</v>
      </c>
      <c r="T894" s="17">
        <v>0</v>
      </c>
      <c r="U894" s="17">
        <v>1</v>
      </c>
      <c r="V894" s="17">
        <v>0</v>
      </c>
      <c r="W894" s="64">
        <v>132</v>
      </c>
      <c r="X894" s="64">
        <v>0</v>
      </c>
      <c r="Y894" s="64">
        <v>1</v>
      </c>
      <c r="Z894" s="6">
        <f t="shared" si="95"/>
        <v>133</v>
      </c>
      <c r="AA894" s="11">
        <f t="shared" si="91"/>
        <v>0.99248120300751874</v>
      </c>
      <c r="AB894" s="11">
        <f t="shared" si="92"/>
        <v>0</v>
      </c>
      <c r="AC894" s="66">
        <f t="shared" si="90"/>
        <v>0.99248120300751874</v>
      </c>
      <c r="AD894" s="67">
        <f t="shared" si="93"/>
        <v>0.98872180451127822</v>
      </c>
    </row>
    <row r="895" spans="1:30" ht="14.5" customHeight="1" x14ac:dyDescent="0.2">
      <c r="A895" t="s">
        <v>2974</v>
      </c>
      <c r="B895" s="17">
        <v>1</v>
      </c>
      <c r="C895" s="17">
        <v>1</v>
      </c>
      <c r="D895" s="22" t="s">
        <v>2090</v>
      </c>
      <c r="E895" s="58" t="s">
        <v>3029</v>
      </c>
      <c r="F895" s="17">
        <f t="shared" si="96"/>
        <v>2007</v>
      </c>
      <c r="G895" s="28">
        <v>39427</v>
      </c>
      <c r="H895" s="5" t="s">
        <v>3034</v>
      </c>
      <c r="I895" s="64">
        <v>0</v>
      </c>
      <c r="J895" s="22" t="s">
        <v>2092</v>
      </c>
      <c r="K895" s="17">
        <v>0</v>
      </c>
      <c r="L895" s="59">
        <v>1</v>
      </c>
      <c r="M895" s="22" t="s">
        <v>165</v>
      </c>
      <c r="N895" s="24" t="s">
        <v>2630</v>
      </c>
      <c r="P895" s="22">
        <v>22223</v>
      </c>
      <c r="Q895" s="22" t="str">
        <f t="shared" si="94"/>
        <v>https://www.nrsr.sk/web/Default.aspx?sid=schodze/hlasovanie/hlasklub&amp;ID=22223</v>
      </c>
      <c r="R895" s="17">
        <v>1</v>
      </c>
      <c r="S895" s="17">
        <v>0</v>
      </c>
      <c r="T895" s="17">
        <v>0</v>
      </c>
      <c r="U895" s="17">
        <v>1</v>
      </c>
      <c r="V895" s="17">
        <v>1</v>
      </c>
      <c r="W895" s="64">
        <v>137</v>
      </c>
      <c r="X895" s="64">
        <v>0</v>
      </c>
      <c r="Y895" s="64">
        <v>1</v>
      </c>
      <c r="Z895" s="6">
        <f t="shared" si="95"/>
        <v>138</v>
      </c>
      <c r="AA895" s="11">
        <f t="shared" si="91"/>
        <v>0.99275362318840576</v>
      </c>
      <c r="AB895" s="11">
        <f t="shared" si="92"/>
        <v>0</v>
      </c>
      <c r="AC895" s="66">
        <f t="shared" si="90"/>
        <v>0.99275362318840576</v>
      </c>
      <c r="AD895" s="67">
        <f t="shared" si="93"/>
        <v>0.98913043478260865</v>
      </c>
    </row>
    <row r="896" spans="1:30" ht="14.5" customHeight="1" x14ac:dyDescent="0.2">
      <c r="A896" t="s">
        <v>2974</v>
      </c>
      <c r="B896" s="17">
        <v>1</v>
      </c>
      <c r="C896" s="17">
        <v>0</v>
      </c>
      <c r="D896" s="22" t="s">
        <v>2090</v>
      </c>
      <c r="E896" s="58" t="s">
        <v>3029</v>
      </c>
      <c r="F896" s="17">
        <f t="shared" si="96"/>
        <v>2009</v>
      </c>
      <c r="G896" s="18">
        <v>39850</v>
      </c>
      <c r="H896" s="5" t="s">
        <v>3034</v>
      </c>
      <c r="I896" s="64">
        <v>0</v>
      </c>
      <c r="J896" s="22" t="s">
        <v>2093</v>
      </c>
      <c r="K896" s="17">
        <v>0</v>
      </c>
      <c r="L896" s="59">
        <v>1</v>
      </c>
      <c r="M896" s="22" t="s">
        <v>2556</v>
      </c>
      <c r="N896" s="24" t="s">
        <v>2630</v>
      </c>
      <c r="P896" s="22">
        <v>24442</v>
      </c>
      <c r="Q896" s="22" t="str">
        <f t="shared" si="94"/>
        <v>https://www.nrsr.sk/web/Default.aspx?sid=schodze/hlasovanie/hlasklub&amp;ID=24442</v>
      </c>
      <c r="R896" s="17">
        <v>1</v>
      </c>
      <c r="S896" s="17">
        <v>0</v>
      </c>
      <c r="T896" s="17">
        <v>0</v>
      </c>
      <c r="U896" s="17">
        <v>1</v>
      </c>
      <c r="V896" s="17">
        <v>1</v>
      </c>
      <c r="W896" s="64">
        <v>133</v>
      </c>
      <c r="X896" s="64">
        <v>0</v>
      </c>
      <c r="Y896" s="64">
        <v>1</v>
      </c>
      <c r="Z896" s="6">
        <f t="shared" si="95"/>
        <v>134</v>
      </c>
      <c r="AA896" s="11">
        <f t="shared" si="91"/>
        <v>0.9925373134328358</v>
      </c>
      <c r="AB896" s="11">
        <f t="shared" si="92"/>
        <v>0</v>
      </c>
      <c r="AC896" s="66">
        <f t="shared" si="90"/>
        <v>0.9925373134328358</v>
      </c>
      <c r="AD896" s="67">
        <f t="shared" si="93"/>
        <v>0.98880597014925375</v>
      </c>
    </row>
    <row r="897" spans="1:30" ht="14.5" customHeight="1" x14ac:dyDescent="0.2">
      <c r="A897" t="s">
        <v>2974</v>
      </c>
      <c r="B897" s="17">
        <v>1</v>
      </c>
      <c r="C897" s="17">
        <v>0</v>
      </c>
      <c r="D897" s="22" t="s">
        <v>2090</v>
      </c>
      <c r="E897" s="58" t="s">
        <v>3029</v>
      </c>
      <c r="F897" s="17">
        <f t="shared" si="96"/>
        <v>2009</v>
      </c>
      <c r="G897" s="28">
        <v>39983</v>
      </c>
      <c r="H897" s="5" t="s">
        <v>3034</v>
      </c>
      <c r="I897" s="64">
        <v>0</v>
      </c>
      <c r="J897" s="22" t="s">
        <v>2094</v>
      </c>
      <c r="K897" s="17">
        <v>0</v>
      </c>
      <c r="L897" s="59">
        <v>1</v>
      </c>
      <c r="M897" s="22" t="s">
        <v>129</v>
      </c>
      <c r="N897" s="22" t="s">
        <v>422</v>
      </c>
      <c r="P897" s="22">
        <v>25236</v>
      </c>
      <c r="Q897" s="22" t="str">
        <f t="shared" si="94"/>
        <v>https://www.nrsr.sk/web/Default.aspx?sid=schodze/hlasovanie/hlasklub&amp;ID=25236</v>
      </c>
      <c r="R897" s="17">
        <v>1</v>
      </c>
      <c r="S897" s="17">
        <v>0</v>
      </c>
      <c r="T897" s="17">
        <v>0</v>
      </c>
      <c r="U897" s="17">
        <v>1</v>
      </c>
      <c r="V897" s="17">
        <v>1</v>
      </c>
      <c r="W897" s="64">
        <v>134</v>
      </c>
      <c r="X897" s="64">
        <v>0</v>
      </c>
      <c r="Y897" s="64">
        <v>1</v>
      </c>
      <c r="Z897" s="6">
        <f t="shared" si="95"/>
        <v>135</v>
      </c>
      <c r="AA897" s="11">
        <f t="shared" si="91"/>
        <v>0.99259259259259258</v>
      </c>
      <c r="AB897" s="11">
        <f t="shared" si="92"/>
        <v>0</v>
      </c>
      <c r="AC897" s="66">
        <f t="shared" si="90"/>
        <v>0.99259259259259258</v>
      </c>
      <c r="AD897" s="67">
        <f t="shared" si="93"/>
        <v>0.98888888888888893</v>
      </c>
    </row>
    <row r="898" spans="1:30" ht="14.5" customHeight="1" x14ac:dyDescent="0.2">
      <c r="A898" t="s">
        <v>2974</v>
      </c>
      <c r="B898" s="17">
        <v>1</v>
      </c>
      <c r="C898" s="17">
        <v>0</v>
      </c>
      <c r="D898" s="22" t="s">
        <v>2090</v>
      </c>
      <c r="E898" s="58" t="s">
        <v>3029</v>
      </c>
      <c r="F898" s="17">
        <f t="shared" si="96"/>
        <v>2010</v>
      </c>
      <c r="G898" s="28">
        <v>40212</v>
      </c>
      <c r="H898" s="5" t="s">
        <v>3034</v>
      </c>
      <c r="I898" s="64">
        <v>0</v>
      </c>
      <c r="J898" s="22" t="s">
        <v>2095</v>
      </c>
      <c r="K898" s="17">
        <v>0</v>
      </c>
      <c r="L898" s="59">
        <v>1</v>
      </c>
      <c r="M898" s="22" t="s">
        <v>129</v>
      </c>
      <c r="N898" s="22" t="s">
        <v>422</v>
      </c>
      <c r="P898" s="22">
        <v>26337</v>
      </c>
      <c r="Q898" s="22" t="str">
        <f t="shared" si="94"/>
        <v>https://www.nrsr.sk/web/Default.aspx?sid=schodze/hlasovanie/hlasklub&amp;ID=26337</v>
      </c>
      <c r="R898" s="17">
        <v>1</v>
      </c>
      <c r="S898" s="17">
        <v>0</v>
      </c>
      <c r="T898" s="17">
        <v>0</v>
      </c>
      <c r="U898" s="17">
        <v>1</v>
      </c>
      <c r="V898" s="17">
        <v>1</v>
      </c>
      <c r="W898" s="64">
        <v>120</v>
      </c>
      <c r="X898" s="64">
        <v>3</v>
      </c>
      <c r="Y898" s="64">
        <v>1</v>
      </c>
      <c r="Z898" s="6">
        <f t="shared" si="95"/>
        <v>124</v>
      </c>
      <c r="AA898" s="11">
        <f t="shared" si="91"/>
        <v>0.967741935483871</v>
      </c>
      <c r="AB898" s="11">
        <f t="shared" si="92"/>
        <v>2.4193548387096774E-2</v>
      </c>
      <c r="AC898" s="66">
        <f t="shared" si="90"/>
        <v>0.967741935483871</v>
      </c>
      <c r="AD898" s="67">
        <f t="shared" si="93"/>
        <v>0.95161290322580649</v>
      </c>
    </row>
    <row r="899" spans="1:30" ht="14.5" customHeight="1" x14ac:dyDescent="0.2">
      <c r="A899" t="s">
        <v>2974</v>
      </c>
      <c r="B899" s="17">
        <v>1</v>
      </c>
      <c r="C899" s="17">
        <v>0</v>
      </c>
      <c r="D899" s="22" t="s">
        <v>2096</v>
      </c>
      <c r="E899" s="58" t="s">
        <v>3030</v>
      </c>
      <c r="F899" s="17">
        <f t="shared" si="96"/>
        <v>2010</v>
      </c>
      <c r="G899" s="18">
        <v>40429</v>
      </c>
      <c r="H899" s="5" t="s">
        <v>3034</v>
      </c>
      <c r="I899" s="64">
        <v>0</v>
      </c>
      <c r="J899" s="22" t="s">
        <v>2097</v>
      </c>
      <c r="K899" s="17">
        <v>0</v>
      </c>
      <c r="L899" s="59">
        <v>1</v>
      </c>
      <c r="M899" s="5" t="s">
        <v>2098</v>
      </c>
      <c r="N899" s="55" t="s">
        <v>2628</v>
      </c>
      <c r="P899" s="105">
        <v>27154</v>
      </c>
      <c r="Q899" s="22" t="str">
        <f t="shared" si="94"/>
        <v>https://www.nrsr.sk/web/Default.aspx?sid=schodze/hlasovanie/hlasklub&amp;ID=27154</v>
      </c>
      <c r="R899" s="17">
        <v>1</v>
      </c>
      <c r="S899" s="17">
        <v>0</v>
      </c>
      <c r="T899" s="17">
        <v>0</v>
      </c>
      <c r="U899" s="17">
        <v>1</v>
      </c>
      <c r="V899" s="17">
        <v>0</v>
      </c>
      <c r="W899" s="17">
        <v>116</v>
      </c>
      <c r="X899" s="17">
        <v>0</v>
      </c>
      <c r="Y899" s="17">
        <v>25</v>
      </c>
      <c r="Z899" s="17">
        <v>141</v>
      </c>
      <c r="AA899" s="11">
        <f t="shared" si="91"/>
        <v>0.82269503546099287</v>
      </c>
      <c r="AB899" s="11">
        <f t="shared" si="92"/>
        <v>0</v>
      </c>
      <c r="AC899" s="66">
        <f t="shared" si="90"/>
        <v>0.82269503546099287</v>
      </c>
      <c r="AD899" s="67">
        <f t="shared" si="93"/>
        <v>0.73404255319148937</v>
      </c>
    </row>
    <row r="900" spans="1:30" ht="14.5" customHeight="1" x14ac:dyDescent="0.2">
      <c r="A900" t="s">
        <v>2974</v>
      </c>
      <c r="B900" s="17">
        <v>1</v>
      </c>
      <c r="C900" s="17">
        <v>0</v>
      </c>
      <c r="D900" s="22" t="s">
        <v>2096</v>
      </c>
      <c r="E900" s="58" t="s">
        <v>3030</v>
      </c>
      <c r="F900" s="17">
        <f t="shared" si="96"/>
        <v>2010</v>
      </c>
      <c r="G900" s="28">
        <v>40519</v>
      </c>
      <c r="H900" s="5" t="s">
        <v>3034</v>
      </c>
      <c r="I900" s="64">
        <v>0</v>
      </c>
      <c r="J900" s="22" t="s">
        <v>2100</v>
      </c>
      <c r="K900" s="17">
        <v>0</v>
      </c>
      <c r="L900" s="59">
        <v>1</v>
      </c>
      <c r="M900" s="22" t="s">
        <v>2556</v>
      </c>
      <c r="N900" s="22" t="s">
        <v>2630</v>
      </c>
      <c r="P900" s="22">
        <v>27631</v>
      </c>
      <c r="Q900" s="22" t="str">
        <f t="shared" si="94"/>
        <v>https://www.nrsr.sk/web/Default.aspx?sid=schodze/hlasovanie/hlasklub&amp;ID=27631</v>
      </c>
      <c r="R900" s="17">
        <v>1</v>
      </c>
      <c r="S900" s="17">
        <v>0</v>
      </c>
      <c r="T900" s="17">
        <v>0</v>
      </c>
      <c r="U900" s="17">
        <v>1</v>
      </c>
      <c r="V900" s="17">
        <v>1</v>
      </c>
      <c r="W900" s="64">
        <v>138</v>
      </c>
      <c r="X900" s="64">
        <v>8</v>
      </c>
      <c r="Y900" s="64">
        <v>0</v>
      </c>
      <c r="Z900" s="6">
        <f t="shared" ref="Z900:Z945" si="97">SUM(W900:Y900)</f>
        <v>146</v>
      </c>
      <c r="AA900" s="11">
        <f t="shared" si="91"/>
        <v>0.9452054794520548</v>
      </c>
      <c r="AB900" s="11">
        <f t="shared" si="92"/>
        <v>5.4794520547945202E-2</v>
      </c>
      <c r="AC900" s="66">
        <f t="shared" ref="AC900:AC931" si="98">IF(K900=1,AB900,AA900)</f>
        <v>0.9452054794520548</v>
      </c>
      <c r="AD900" s="67">
        <f t="shared" si="93"/>
        <v>0.9178082191780822</v>
      </c>
    </row>
    <row r="901" spans="1:30" ht="14.5" customHeight="1" x14ac:dyDescent="0.2">
      <c r="A901" t="s">
        <v>2974</v>
      </c>
      <c r="B901" s="17">
        <v>1</v>
      </c>
      <c r="C901" s="17">
        <v>0</v>
      </c>
      <c r="D901" s="22" t="s">
        <v>2096</v>
      </c>
      <c r="E901" s="58" t="s">
        <v>3030</v>
      </c>
      <c r="F901" s="17">
        <f t="shared" si="96"/>
        <v>2010</v>
      </c>
      <c r="G901" s="28">
        <v>40519</v>
      </c>
      <c r="H901" s="5" t="s">
        <v>3034</v>
      </c>
      <c r="I901" s="64">
        <v>0</v>
      </c>
      <c r="J901" s="22" t="s">
        <v>2099</v>
      </c>
      <c r="K901" s="17">
        <v>0</v>
      </c>
      <c r="L901" s="59">
        <v>1</v>
      </c>
      <c r="M901" s="22" t="s">
        <v>129</v>
      </c>
      <c r="N901" s="22" t="s">
        <v>422</v>
      </c>
      <c r="P901" s="22">
        <v>27632</v>
      </c>
      <c r="Q901" s="22" t="str">
        <f t="shared" si="94"/>
        <v>https://www.nrsr.sk/web/Default.aspx?sid=schodze/hlasovanie/hlasklub&amp;ID=27632</v>
      </c>
      <c r="R901" s="17">
        <v>1</v>
      </c>
      <c r="S901" s="17">
        <v>0</v>
      </c>
      <c r="T901" s="17">
        <v>0</v>
      </c>
      <c r="U901" s="17">
        <v>1</v>
      </c>
      <c r="V901" s="17">
        <v>1</v>
      </c>
      <c r="W901" s="64">
        <v>138</v>
      </c>
      <c r="X901" s="64">
        <v>8</v>
      </c>
      <c r="Y901" s="64">
        <v>2</v>
      </c>
      <c r="Z901" s="6">
        <f t="shared" si="97"/>
        <v>148</v>
      </c>
      <c r="AA901" s="11">
        <f t="shared" si="91"/>
        <v>0.93243243243243246</v>
      </c>
      <c r="AB901" s="11">
        <f t="shared" si="92"/>
        <v>5.4054054054054057E-2</v>
      </c>
      <c r="AC901" s="66">
        <f t="shared" si="98"/>
        <v>0.93243243243243246</v>
      </c>
      <c r="AD901" s="67">
        <f t="shared" si="93"/>
        <v>0.89864864864864868</v>
      </c>
    </row>
    <row r="902" spans="1:30" ht="14.5" customHeight="1" x14ac:dyDescent="0.2">
      <c r="A902" t="s">
        <v>2974</v>
      </c>
      <c r="B902" s="17">
        <v>1</v>
      </c>
      <c r="C902" s="17">
        <v>0</v>
      </c>
      <c r="D902" s="22" t="s">
        <v>2101</v>
      </c>
      <c r="E902" s="58" t="s">
        <v>2102</v>
      </c>
      <c r="F902" s="17">
        <f t="shared" si="96"/>
        <v>2012</v>
      </c>
      <c r="G902" s="28">
        <v>41114</v>
      </c>
      <c r="H902" s="5" t="s">
        <v>3034</v>
      </c>
      <c r="I902" s="64">
        <v>0</v>
      </c>
      <c r="J902" s="22" t="s">
        <v>2103</v>
      </c>
      <c r="K902" s="17">
        <v>0</v>
      </c>
      <c r="L902" s="59">
        <v>1</v>
      </c>
      <c r="M902" s="22" t="s">
        <v>129</v>
      </c>
      <c r="N902" s="22" t="s">
        <v>422</v>
      </c>
      <c r="P902" s="22">
        <v>30322</v>
      </c>
      <c r="Q902" s="22" t="str">
        <f t="shared" si="94"/>
        <v>https://www.nrsr.sk/web/Default.aspx?sid=schodze/hlasovanie/hlasklub&amp;ID=30322</v>
      </c>
      <c r="R902" s="17">
        <v>1</v>
      </c>
      <c r="S902" s="17">
        <v>0</v>
      </c>
      <c r="T902" s="17">
        <v>0</v>
      </c>
      <c r="U902" s="17">
        <v>1</v>
      </c>
      <c r="V902" s="17">
        <v>1</v>
      </c>
      <c r="W902" s="64">
        <v>142</v>
      </c>
      <c r="X902" s="64">
        <v>0</v>
      </c>
      <c r="Y902" s="64">
        <v>0</v>
      </c>
      <c r="Z902" s="6">
        <f t="shared" si="97"/>
        <v>142</v>
      </c>
      <c r="AA902" s="11">
        <f t="shared" ref="AA902:AA933" si="99">W902/Z902</f>
        <v>1</v>
      </c>
      <c r="AB902" s="11">
        <f t="shared" ref="AB902:AB933" si="100">X902/Z902</f>
        <v>0</v>
      </c>
      <c r="AC902" s="66">
        <f t="shared" si="98"/>
        <v>1</v>
      </c>
      <c r="AD902" s="67">
        <f t="shared" ref="AD902:AD933" si="101">SUM((MAX(W902,X902,Y902)-0.5*(SUM(W902+X902+Y902)-MAX(W902,X902,Y902)))/SUM(W902+X902+Y902))</f>
        <v>1</v>
      </c>
    </row>
    <row r="903" spans="1:30" ht="14.5" customHeight="1" x14ac:dyDescent="0.2">
      <c r="A903" t="s">
        <v>2974</v>
      </c>
      <c r="B903" s="17">
        <v>1</v>
      </c>
      <c r="C903" s="17">
        <v>0</v>
      </c>
      <c r="D903" s="22" t="s">
        <v>2101</v>
      </c>
      <c r="E903" s="58" t="s">
        <v>2102</v>
      </c>
      <c r="F903" s="17">
        <f t="shared" si="96"/>
        <v>2013</v>
      </c>
      <c r="G903" s="28">
        <v>41347</v>
      </c>
      <c r="H903" s="5" t="s">
        <v>3034</v>
      </c>
      <c r="I903" s="64">
        <v>0</v>
      </c>
      <c r="J903" s="22" t="s">
        <v>2104</v>
      </c>
      <c r="K903" s="17">
        <v>0</v>
      </c>
      <c r="L903" s="59">
        <v>1</v>
      </c>
      <c r="M903" s="22" t="s">
        <v>129</v>
      </c>
      <c r="N903" s="22" t="s">
        <v>422</v>
      </c>
      <c r="P903" s="22">
        <v>31727</v>
      </c>
      <c r="Q903" s="22" t="str">
        <f t="shared" si="94"/>
        <v>https://www.nrsr.sk/web/Default.aspx?sid=schodze/hlasovanie/hlasklub&amp;ID=31727</v>
      </c>
      <c r="R903" s="17">
        <v>1</v>
      </c>
      <c r="S903" s="17">
        <v>0</v>
      </c>
      <c r="T903" s="17">
        <v>0</v>
      </c>
      <c r="U903" s="17">
        <v>1</v>
      </c>
      <c r="V903" s="17">
        <v>1</v>
      </c>
      <c r="W903" s="64">
        <v>134</v>
      </c>
      <c r="X903" s="64">
        <v>0</v>
      </c>
      <c r="Y903" s="64">
        <v>1</v>
      </c>
      <c r="Z903" s="6">
        <f t="shared" si="97"/>
        <v>135</v>
      </c>
      <c r="AA903" s="11">
        <f t="shared" si="99"/>
        <v>0.99259259259259258</v>
      </c>
      <c r="AB903" s="11">
        <f t="shared" si="100"/>
        <v>0</v>
      </c>
      <c r="AC903" s="66">
        <f t="shared" si="98"/>
        <v>0.99259259259259258</v>
      </c>
      <c r="AD903" s="67">
        <f t="shared" si="101"/>
        <v>0.98888888888888893</v>
      </c>
    </row>
    <row r="904" spans="1:30" ht="14.5" customHeight="1" x14ac:dyDescent="0.2">
      <c r="A904" t="s">
        <v>2974</v>
      </c>
      <c r="B904" s="17">
        <v>1</v>
      </c>
      <c r="C904" s="17">
        <v>0</v>
      </c>
      <c r="D904" s="22" t="s">
        <v>2101</v>
      </c>
      <c r="E904" s="58" t="s">
        <v>2102</v>
      </c>
      <c r="F904" s="17">
        <f t="shared" si="96"/>
        <v>2013</v>
      </c>
      <c r="G904" s="28">
        <v>41520</v>
      </c>
      <c r="H904" s="5" t="s">
        <v>3034</v>
      </c>
      <c r="I904" s="64">
        <v>0</v>
      </c>
      <c r="J904" s="22" t="s">
        <v>2105</v>
      </c>
      <c r="K904" s="17">
        <v>0</v>
      </c>
      <c r="L904" s="59">
        <v>1</v>
      </c>
      <c r="M904" s="22" t="s">
        <v>129</v>
      </c>
      <c r="N904" s="22" t="s">
        <v>422</v>
      </c>
      <c r="P904" s="22">
        <v>32545</v>
      </c>
      <c r="Q904" s="22" t="str">
        <f t="shared" si="94"/>
        <v>https://www.nrsr.sk/web/Default.aspx?sid=schodze/hlasovanie/hlasklub&amp;ID=32545</v>
      </c>
      <c r="R904" s="17">
        <v>1</v>
      </c>
      <c r="S904" s="17">
        <v>0</v>
      </c>
      <c r="T904" s="17">
        <v>0</v>
      </c>
      <c r="U904" s="17">
        <v>1</v>
      </c>
      <c r="V904" s="17">
        <v>1</v>
      </c>
      <c r="W904" s="64">
        <v>142</v>
      </c>
      <c r="X904" s="64">
        <v>0</v>
      </c>
      <c r="Y904" s="64">
        <v>1</v>
      </c>
      <c r="Z904" s="6">
        <f t="shared" si="97"/>
        <v>143</v>
      </c>
      <c r="AA904" s="11">
        <f t="shared" si="99"/>
        <v>0.99300699300699302</v>
      </c>
      <c r="AB904" s="11">
        <f t="shared" si="100"/>
        <v>0</v>
      </c>
      <c r="AC904" s="66">
        <f t="shared" si="98"/>
        <v>0.99300699300699302</v>
      </c>
      <c r="AD904" s="67">
        <f t="shared" si="101"/>
        <v>0.98951048951048948</v>
      </c>
    </row>
    <row r="905" spans="1:30" ht="14.5" customHeight="1" x14ac:dyDescent="0.2">
      <c r="A905" t="s">
        <v>2974</v>
      </c>
      <c r="B905" s="17">
        <v>1</v>
      </c>
      <c r="C905" s="17">
        <v>0</v>
      </c>
      <c r="D905" s="22" t="s">
        <v>2101</v>
      </c>
      <c r="E905" s="58" t="s">
        <v>2102</v>
      </c>
      <c r="F905" s="17">
        <f t="shared" si="96"/>
        <v>2014</v>
      </c>
      <c r="G905" s="28">
        <v>41717</v>
      </c>
      <c r="H905" s="5" t="s">
        <v>3034</v>
      </c>
      <c r="I905" s="64">
        <v>0</v>
      </c>
      <c r="J905" s="22" t="s">
        <v>2106</v>
      </c>
      <c r="K905" s="17">
        <v>0</v>
      </c>
      <c r="L905" s="59">
        <v>1</v>
      </c>
      <c r="M905" s="22" t="s">
        <v>129</v>
      </c>
      <c r="N905" s="22" t="s">
        <v>422</v>
      </c>
      <c r="P905" s="22">
        <v>33627</v>
      </c>
      <c r="Q905" s="22" t="str">
        <f t="shared" si="94"/>
        <v>https://www.nrsr.sk/web/Default.aspx?sid=schodze/hlasovanie/hlasklub&amp;ID=33627</v>
      </c>
      <c r="R905" s="17">
        <v>1</v>
      </c>
      <c r="S905" s="17">
        <v>0</v>
      </c>
      <c r="T905" s="17">
        <v>0</v>
      </c>
      <c r="U905" s="17">
        <v>1</v>
      </c>
      <c r="V905" s="17">
        <v>1</v>
      </c>
      <c r="W905" s="64">
        <v>133</v>
      </c>
      <c r="X905" s="64">
        <v>0</v>
      </c>
      <c r="Y905" s="64">
        <v>4</v>
      </c>
      <c r="Z905" s="6">
        <f t="shared" si="97"/>
        <v>137</v>
      </c>
      <c r="AA905" s="11">
        <f t="shared" si="99"/>
        <v>0.97080291970802923</v>
      </c>
      <c r="AB905" s="11">
        <f t="shared" si="100"/>
        <v>0</v>
      </c>
      <c r="AC905" s="66">
        <f t="shared" si="98"/>
        <v>0.97080291970802923</v>
      </c>
      <c r="AD905" s="67">
        <f t="shared" si="101"/>
        <v>0.95620437956204385</v>
      </c>
    </row>
    <row r="906" spans="1:30" ht="14.5" customHeight="1" x14ac:dyDescent="0.2">
      <c r="A906" t="s">
        <v>2974</v>
      </c>
      <c r="B906" s="17">
        <v>1</v>
      </c>
      <c r="C906" s="17">
        <v>0</v>
      </c>
      <c r="D906" s="22" t="s">
        <v>2101</v>
      </c>
      <c r="E906" s="58" t="s">
        <v>2102</v>
      </c>
      <c r="F906" s="17">
        <f t="shared" si="96"/>
        <v>2014</v>
      </c>
      <c r="G906" s="28">
        <v>41984</v>
      </c>
      <c r="H906" s="5" t="s">
        <v>3034</v>
      </c>
      <c r="I906" s="64">
        <v>0</v>
      </c>
      <c r="J906" s="22" t="s">
        <v>2107</v>
      </c>
      <c r="K906" s="17">
        <v>0</v>
      </c>
      <c r="L906" s="59">
        <v>1</v>
      </c>
      <c r="M906" s="22" t="s">
        <v>2555</v>
      </c>
      <c r="N906" s="22" t="s">
        <v>422</v>
      </c>
      <c r="P906" s="22">
        <v>35094</v>
      </c>
      <c r="Q906" s="22" t="str">
        <f t="shared" si="94"/>
        <v>https://www.nrsr.sk/web/Default.aspx?sid=schodze/hlasovanie/hlasklub&amp;ID=35094</v>
      </c>
      <c r="R906" s="17">
        <v>1</v>
      </c>
      <c r="S906" s="17">
        <v>0</v>
      </c>
      <c r="T906" s="17">
        <v>0</v>
      </c>
      <c r="U906" s="17">
        <v>1</v>
      </c>
      <c r="V906" s="17">
        <v>0</v>
      </c>
      <c r="W906" s="64">
        <v>114</v>
      </c>
      <c r="X906" s="64">
        <v>3</v>
      </c>
      <c r="Y906" s="64">
        <v>3</v>
      </c>
      <c r="Z906" s="6">
        <f t="shared" si="97"/>
        <v>120</v>
      </c>
      <c r="AA906" s="11">
        <f t="shared" si="99"/>
        <v>0.95</v>
      </c>
      <c r="AB906" s="11">
        <f t="shared" si="100"/>
        <v>2.5000000000000001E-2</v>
      </c>
      <c r="AC906" s="66">
        <f t="shared" si="98"/>
        <v>0.95</v>
      </c>
      <c r="AD906" s="67">
        <f t="shared" si="101"/>
        <v>0.92500000000000004</v>
      </c>
    </row>
    <row r="907" spans="1:30" ht="14.5" customHeight="1" x14ac:dyDescent="0.2">
      <c r="A907" t="s">
        <v>2974</v>
      </c>
      <c r="B907" s="17">
        <v>1</v>
      </c>
      <c r="C907" s="17">
        <v>0</v>
      </c>
      <c r="D907" s="22" t="s">
        <v>2101</v>
      </c>
      <c r="E907" s="58" t="s">
        <v>2102</v>
      </c>
      <c r="F907" s="17">
        <f t="shared" si="96"/>
        <v>2015</v>
      </c>
      <c r="G907" s="28">
        <v>42320</v>
      </c>
      <c r="H907" s="5" t="s">
        <v>3034</v>
      </c>
      <c r="I907" s="64">
        <v>0</v>
      </c>
      <c r="J907" s="22" t="s">
        <v>2108</v>
      </c>
      <c r="K907" s="17">
        <v>0</v>
      </c>
      <c r="L907" s="59">
        <v>1</v>
      </c>
      <c r="M907" s="22" t="s">
        <v>2555</v>
      </c>
      <c r="N907" s="22" t="s">
        <v>422</v>
      </c>
      <c r="P907" s="22">
        <v>36696</v>
      </c>
      <c r="Q907" s="22" t="str">
        <f t="shared" si="94"/>
        <v>https://www.nrsr.sk/web/Default.aspx?sid=schodze/hlasovanie/hlasklub&amp;ID=36696</v>
      </c>
      <c r="R907" s="17">
        <v>1</v>
      </c>
      <c r="S907" s="17">
        <v>0</v>
      </c>
      <c r="T907" s="17">
        <v>0</v>
      </c>
      <c r="U907" s="17">
        <v>1</v>
      </c>
      <c r="V907" s="17">
        <v>1</v>
      </c>
      <c r="W907" s="64">
        <v>123</v>
      </c>
      <c r="X907" s="64">
        <v>0</v>
      </c>
      <c r="Y907" s="64">
        <v>6</v>
      </c>
      <c r="Z907" s="6">
        <f t="shared" si="97"/>
        <v>129</v>
      </c>
      <c r="AA907" s="11">
        <f t="shared" si="99"/>
        <v>0.95348837209302328</v>
      </c>
      <c r="AB907" s="11">
        <f t="shared" si="100"/>
        <v>0</v>
      </c>
      <c r="AC907" s="66">
        <f t="shared" si="98"/>
        <v>0.95348837209302328</v>
      </c>
      <c r="AD907" s="67">
        <f t="shared" si="101"/>
        <v>0.93023255813953487</v>
      </c>
    </row>
    <row r="908" spans="1:30" ht="14.5" customHeight="1" x14ac:dyDescent="0.2">
      <c r="A908" t="s">
        <v>2974</v>
      </c>
      <c r="B908" s="17">
        <v>1</v>
      </c>
      <c r="C908" s="17">
        <v>0</v>
      </c>
      <c r="D908" s="22" t="s">
        <v>2101</v>
      </c>
      <c r="E908" s="58" t="s">
        <v>2102</v>
      </c>
      <c r="F908" s="17">
        <f t="shared" si="96"/>
        <v>2015</v>
      </c>
      <c r="G908" s="28">
        <v>42339</v>
      </c>
      <c r="H908" s="5" t="s">
        <v>3034</v>
      </c>
      <c r="I908" s="64">
        <v>0</v>
      </c>
      <c r="J908" s="22" t="s">
        <v>2109</v>
      </c>
      <c r="K908" s="17">
        <v>0</v>
      </c>
      <c r="L908" s="59">
        <v>1</v>
      </c>
      <c r="M908" s="22" t="s">
        <v>2542</v>
      </c>
      <c r="N908" s="48" t="s">
        <v>2629</v>
      </c>
      <c r="P908" s="22">
        <v>36984</v>
      </c>
      <c r="Q908" s="22" t="str">
        <f t="shared" si="94"/>
        <v>https://www.nrsr.sk/web/Default.aspx?sid=schodze/hlasovanie/hlasklub&amp;ID=36984</v>
      </c>
      <c r="R908" s="17">
        <v>1</v>
      </c>
      <c r="S908" s="17">
        <v>0</v>
      </c>
      <c r="T908" s="17">
        <v>0</v>
      </c>
      <c r="U908" s="17">
        <v>1</v>
      </c>
      <c r="V908" s="17">
        <v>0</v>
      </c>
      <c r="W908" s="64">
        <v>115</v>
      </c>
      <c r="X908" s="64">
        <v>0</v>
      </c>
      <c r="Y908" s="64">
        <v>3</v>
      </c>
      <c r="Z908" s="6">
        <f t="shared" si="97"/>
        <v>118</v>
      </c>
      <c r="AA908" s="11">
        <f t="shared" si="99"/>
        <v>0.97457627118644063</v>
      </c>
      <c r="AB908" s="11">
        <f t="shared" si="100"/>
        <v>0</v>
      </c>
      <c r="AC908" s="66">
        <f t="shared" si="98"/>
        <v>0.97457627118644063</v>
      </c>
      <c r="AD908" s="67">
        <f t="shared" si="101"/>
        <v>0.96186440677966101</v>
      </c>
    </row>
    <row r="909" spans="1:30" ht="14.5" customHeight="1" x14ac:dyDescent="0.2">
      <c r="A909" t="s">
        <v>2974</v>
      </c>
      <c r="B909" s="17">
        <v>1</v>
      </c>
      <c r="C909" s="17">
        <v>0</v>
      </c>
      <c r="D909" s="22" t="s">
        <v>2110</v>
      </c>
      <c r="E909" s="58" t="s">
        <v>3031</v>
      </c>
      <c r="F909" s="17">
        <f t="shared" si="96"/>
        <v>2017</v>
      </c>
      <c r="G909" s="28">
        <v>42768</v>
      </c>
      <c r="H909" s="5" t="s">
        <v>3034</v>
      </c>
      <c r="I909" s="64">
        <v>0</v>
      </c>
      <c r="J909" s="22" t="s">
        <v>2111</v>
      </c>
      <c r="K909" s="17">
        <v>0</v>
      </c>
      <c r="L909" s="59">
        <v>1</v>
      </c>
      <c r="M909" s="48" t="s">
        <v>2600</v>
      </c>
      <c r="N909" s="55" t="s">
        <v>2628</v>
      </c>
      <c r="P909" s="22">
        <v>38246</v>
      </c>
      <c r="Q909" s="22" t="str">
        <f t="shared" si="94"/>
        <v>https://www.nrsr.sk/web/Default.aspx?sid=schodze/hlasovanie/hlasklub&amp;ID=38246</v>
      </c>
      <c r="R909" s="17">
        <v>1</v>
      </c>
      <c r="S909" s="17">
        <v>0</v>
      </c>
      <c r="T909" s="17">
        <v>0</v>
      </c>
      <c r="U909" s="17">
        <v>1</v>
      </c>
      <c r="V909" s="17">
        <v>0</v>
      </c>
      <c r="W909" s="64">
        <v>116</v>
      </c>
      <c r="X909" s="64">
        <v>24</v>
      </c>
      <c r="Y909" s="64">
        <v>1</v>
      </c>
      <c r="Z909" s="6">
        <f t="shared" si="97"/>
        <v>141</v>
      </c>
      <c r="AA909" s="11">
        <f t="shared" si="99"/>
        <v>0.82269503546099287</v>
      </c>
      <c r="AB909" s="11">
        <f t="shared" si="100"/>
        <v>0.1702127659574468</v>
      </c>
      <c r="AC909" s="66">
        <f t="shared" si="98"/>
        <v>0.82269503546099287</v>
      </c>
      <c r="AD909" s="67">
        <f t="shared" si="101"/>
        <v>0.73404255319148937</v>
      </c>
    </row>
    <row r="910" spans="1:30" ht="16" x14ac:dyDescent="0.2">
      <c r="A910" t="s">
        <v>2974</v>
      </c>
      <c r="B910" s="17">
        <v>1</v>
      </c>
      <c r="C910" s="17">
        <v>0</v>
      </c>
      <c r="D910" s="22" t="s">
        <v>2110</v>
      </c>
      <c r="E910" s="58" t="s">
        <v>3031</v>
      </c>
      <c r="F910" s="17">
        <f t="shared" si="96"/>
        <v>2017</v>
      </c>
      <c r="G910" s="28">
        <v>42865</v>
      </c>
      <c r="H910" s="5" t="s">
        <v>3034</v>
      </c>
      <c r="I910" s="64">
        <v>0</v>
      </c>
      <c r="J910" s="22" t="s">
        <v>2112</v>
      </c>
      <c r="K910" s="17">
        <v>0</v>
      </c>
      <c r="L910" s="59">
        <v>1</v>
      </c>
      <c r="M910" s="5" t="s">
        <v>3033</v>
      </c>
      <c r="N910" s="22" t="s">
        <v>2627</v>
      </c>
      <c r="P910" s="22">
        <v>38662</v>
      </c>
      <c r="Q910" s="22" t="str">
        <f t="shared" si="94"/>
        <v>https://www.nrsr.sk/web/Default.aspx?sid=schodze/hlasovanie/hlasklub&amp;ID=38662</v>
      </c>
      <c r="R910" s="17">
        <v>1</v>
      </c>
      <c r="S910" s="17">
        <v>0</v>
      </c>
      <c r="T910" s="17">
        <v>0</v>
      </c>
      <c r="U910" s="17">
        <v>1</v>
      </c>
      <c r="V910" s="17">
        <v>0</v>
      </c>
      <c r="W910" s="64">
        <v>123</v>
      </c>
      <c r="X910" s="64">
        <v>0</v>
      </c>
      <c r="Y910" s="64">
        <v>13</v>
      </c>
      <c r="Z910" s="6">
        <f t="shared" si="97"/>
        <v>136</v>
      </c>
      <c r="AA910" s="11">
        <f t="shared" si="99"/>
        <v>0.90441176470588236</v>
      </c>
      <c r="AB910" s="11">
        <f t="shared" si="100"/>
        <v>0</v>
      </c>
      <c r="AC910" s="66">
        <f t="shared" si="98"/>
        <v>0.90441176470588236</v>
      </c>
      <c r="AD910" s="67">
        <f t="shared" si="101"/>
        <v>0.85661764705882348</v>
      </c>
    </row>
    <row r="911" spans="1:30" ht="16" x14ac:dyDescent="0.2">
      <c r="A911" t="s">
        <v>2974</v>
      </c>
      <c r="B911" s="17">
        <v>1</v>
      </c>
      <c r="C911" s="17">
        <v>0</v>
      </c>
      <c r="D911" s="22" t="s">
        <v>2110</v>
      </c>
      <c r="E911" s="58" t="s">
        <v>3031</v>
      </c>
      <c r="F911" s="17">
        <f t="shared" si="96"/>
        <v>2017</v>
      </c>
      <c r="G911" s="28">
        <v>42900</v>
      </c>
      <c r="H911" s="5" t="s">
        <v>3034</v>
      </c>
      <c r="I911" s="64">
        <v>0</v>
      </c>
      <c r="J911" s="22" t="s">
        <v>2113</v>
      </c>
      <c r="K911" s="17">
        <v>0</v>
      </c>
      <c r="L911" s="59">
        <v>1</v>
      </c>
      <c r="M911" s="48" t="s">
        <v>2618</v>
      </c>
      <c r="N911" s="48" t="s">
        <v>2628</v>
      </c>
      <c r="P911" s="22">
        <v>38859</v>
      </c>
      <c r="Q911" s="22" t="str">
        <f t="shared" si="94"/>
        <v>https://www.nrsr.sk/web/Default.aspx?sid=schodze/hlasovanie/hlasklub&amp;ID=38859</v>
      </c>
      <c r="R911" s="17">
        <v>1</v>
      </c>
      <c r="S911" s="17">
        <v>0</v>
      </c>
      <c r="T911" s="17">
        <v>0</v>
      </c>
      <c r="U911" s="17">
        <v>1</v>
      </c>
      <c r="V911" s="17">
        <v>0</v>
      </c>
      <c r="W911" s="64">
        <v>121</v>
      </c>
      <c r="X911" s="64">
        <v>1</v>
      </c>
      <c r="Y911" s="64">
        <v>10</v>
      </c>
      <c r="Z911" s="6">
        <f t="shared" si="97"/>
        <v>132</v>
      </c>
      <c r="AA911" s="11">
        <f t="shared" si="99"/>
        <v>0.91666666666666663</v>
      </c>
      <c r="AB911" s="11">
        <f t="shared" si="100"/>
        <v>7.575757575757576E-3</v>
      </c>
      <c r="AC911" s="66">
        <f t="shared" si="98"/>
        <v>0.91666666666666663</v>
      </c>
      <c r="AD911" s="67">
        <f t="shared" si="101"/>
        <v>0.875</v>
      </c>
    </row>
    <row r="912" spans="1:30" ht="16" x14ac:dyDescent="0.2">
      <c r="A912" t="s">
        <v>2974</v>
      </c>
      <c r="B912" s="17">
        <v>1</v>
      </c>
      <c r="C912" s="17">
        <v>0</v>
      </c>
      <c r="D912" s="22" t="s">
        <v>2110</v>
      </c>
      <c r="E912" s="58" t="s">
        <v>3031</v>
      </c>
      <c r="F912" s="17">
        <f t="shared" si="96"/>
        <v>2017</v>
      </c>
      <c r="G912" s="28">
        <v>43021</v>
      </c>
      <c r="H912" s="5" t="s">
        <v>3034</v>
      </c>
      <c r="I912" s="64">
        <v>0</v>
      </c>
      <c r="J912" s="22" t="s">
        <v>2114</v>
      </c>
      <c r="K912" s="17">
        <v>0</v>
      </c>
      <c r="L912" s="59">
        <v>1</v>
      </c>
      <c r="M912" s="48" t="s">
        <v>2617</v>
      </c>
      <c r="N912" t="s">
        <v>2121</v>
      </c>
      <c r="P912" s="22">
        <v>39298</v>
      </c>
      <c r="Q912" s="22" t="str">
        <f t="shared" si="94"/>
        <v>https://www.nrsr.sk/web/Default.aspx?sid=schodze/hlasovanie/hlasklub&amp;ID=39298</v>
      </c>
      <c r="R912" s="17">
        <v>1</v>
      </c>
      <c r="S912" s="17">
        <v>0</v>
      </c>
      <c r="T912" s="17">
        <v>0</v>
      </c>
      <c r="U912" s="17">
        <v>1</v>
      </c>
      <c r="V912" s="17">
        <v>0</v>
      </c>
      <c r="W912" s="64">
        <v>110</v>
      </c>
      <c r="X912" s="64">
        <v>10</v>
      </c>
      <c r="Y912" s="64">
        <v>9</v>
      </c>
      <c r="Z912" s="6">
        <f t="shared" si="97"/>
        <v>129</v>
      </c>
      <c r="AA912" s="11">
        <f t="shared" si="99"/>
        <v>0.8527131782945736</v>
      </c>
      <c r="AB912" s="11">
        <f t="shared" si="100"/>
        <v>7.7519379844961239E-2</v>
      </c>
      <c r="AC912" s="66">
        <f t="shared" si="98"/>
        <v>0.8527131782945736</v>
      </c>
      <c r="AD912" s="67">
        <f t="shared" si="101"/>
        <v>0.77906976744186052</v>
      </c>
    </row>
    <row r="913" spans="1:30" ht="16" x14ac:dyDescent="0.2">
      <c r="A913" t="s">
        <v>2974</v>
      </c>
      <c r="B913" s="17">
        <v>1</v>
      </c>
      <c r="C913" s="17">
        <v>0</v>
      </c>
      <c r="D913" s="22" t="s">
        <v>2115</v>
      </c>
      <c r="E913" s="58" t="s">
        <v>3031</v>
      </c>
      <c r="F913" s="17">
        <f t="shared" si="96"/>
        <v>2018</v>
      </c>
      <c r="G913" s="18">
        <v>43236</v>
      </c>
      <c r="H913" s="5" t="s">
        <v>3034</v>
      </c>
      <c r="I913" s="64">
        <v>0</v>
      </c>
      <c r="J913" s="22" t="s">
        <v>2116</v>
      </c>
      <c r="K913" s="17">
        <v>0</v>
      </c>
      <c r="L913" s="59">
        <v>1</v>
      </c>
      <c r="M913" s="48" t="s">
        <v>2839</v>
      </c>
      <c r="N913" s="55" t="s">
        <v>2628</v>
      </c>
      <c r="P913" s="22">
        <v>40143</v>
      </c>
      <c r="Q913" s="22" t="str">
        <f t="shared" si="94"/>
        <v>https://www.nrsr.sk/web/Default.aspx?sid=schodze/hlasovanie/hlasklub&amp;ID=40143</v>
      </c>
      <c r="R913" s="17">
        <v>1</v>
      </c>
      <c r="S913" s="17">
        <v>0</v>
      </c>
      <c r="T913" s="17">
        <v>0</v>
      </c>
      <c r="U913" s="17">
        <v>1</v>
      </c>
      <c r="V913" s="17">
        <v>1</v>
      </c>
      <c r="W913" s="17">
        <v>116</v>
      </c>
      <c r="X913" s="17">
        <v>24</v>
      </c>
      <c r="Y913" s="17">
        <v>0</v>
      </c>
      <c r="Z913" s="6">
        <f t="shared" si="97"/>
        <v>140</v>
      </c>
      <c r="AA913" s="11">
        <f t="shared" si="99"/>
        <v>0.82857142857142863</v>
      </c>
      <c r="AB913" s="11">
        <f t="shared" si="100"/>
        <v>0.17142857142857143</v>
      </c>
      <c r="AC913" s="66">
        <f t="shared" si="98"/>
        <v>0.82857142857142863</v>
      </c>
      <c r="AD913" s="67">
        <f t="shared" si="101"/>
        <v>0.74285714285714288</v>
      </c>
    </row>
    <row r="914" spans="1:30" ht="16" x14ac:dyDescent="0.2">
      <c r="A914" t="s">
        <v>2974</v>
      </c>
      <c r="B914" s="17">
        <v>1</v>
      </c>
      <c r="C914" s="17">
        <v>0</v>
      </c>
      <c r="D914" s="22" t="s">
        <v>2115</v>
      </c>
      <c r="E914" s="58" t="s">
        <v>3031</v>
      </c>
      <c r="F914" s="17">
        <f t="shared" si="96"/>
        <v>2018</v>
      </c>
      <c r="G914" s="18">
        <v>43438</v>
      </c>
      <c r="H914" s="5" t="s">
        <v>3034</v>
      </c>
      <c r="I914" s="64">
        <v>0</v>
      </c>
      <c r="J914" s="22" t="s">
        <v>2117</v>
      </c>
      <c r="K914" s="17">
        <v>0</v>
      </c>
      <c r="L914" s="59">
        <v>1</v>
      </c>
      <c r="M914" t="s">
        <v>2572</v>
      </c>
      <c r="N914" s="24" t="s">
        <v>2121</v>
      </c>
      <c r="P914" s="22">
        <v>41087</v>
      </c>
      <c r="Q914" s="22" t="str">
        <f t="shared" si="94"/>
        <v>https://www.nrsr.sk/web/Default.aspx?sid=schodze/hlasovanie/hlasklub&amp;ID=41087</v>
      </c>
      <c r="R914" s="17">
        <v>1</v>
      </c>
      <c r="S914" s="17">
        <v>0</v>
      </c>
      <c r="T914" s="17">
        <v>0</v>
      </c>
      <c r="U914" s="17">
        <v>1</v>
      </c>
      <c r="V914" s="17">
        <v>1</v>
      </c>
      <c r="W914" s="17">
        <v>120</v>
      </c>
      <c r="X914" s="17">
        <v>13</v>
      </c>
      <c r="Y914" s="17">
        <v>9</v>
      </c>
      <c r="Z914" s="6">
        <f t="shared" si="97"/>
        <v>142</v>
      </c>
      <c r="AA914" s="11">
        <f t="shared" si="99"/>
        <v>0.84507042253521125</v>
      </c>
      <c r="AB914" s="11">
        <f t="shared" si="100"/>
        <v>9.154929577464789E-2</v>
      </c>
      <c r="AC914" s="66">
        <f t="shared" si="98"/>
        <v>0.84507042253521125</v>
      </c>
      <c r="AD914" s="67">
        <f t="shared" si="101"/>
        <v>0.76760563380281688</v>
      </c>
    </row>
    <row r="915" spans="1:30" ht="16" x14ac:dyDescent="0.2">
      <c r="A915" t="s">
        <v>2974</v>
      </c>
      <c r="B915" s="17">
        <v>1</v>
      </c>
      <c r="C915" s="17">
        <v>0</v>
      </c>
      <c r="D915" s="22" t="s">
        <v>2115</v>
      </c>
      <c r="E915" s="58" t="s">
        <v>3031</v>
      </c>
      <c r="F915" s="17">
        <f t="shared" si="96"/>
        <v>2019</v>
      </c>
      <c r="G915" s="18">
        <v>43636</v>
      </c>
      <c r="H915" s="5" t="s">
        <v>3034</v>
      </c>
      <c r="I915" s="64">
        <v>0</v>
      </c>
      <c r="J915" s="22" t="s">
        <v>2118</v>
      </c>
      <c r="K915" s="17">
        <v>0</v>
      </c>
      <c r="L915" s="59">
        <v>1</v>
      </c>
      <c r="M915" s="48" t="s">
        <v>2839</v>
      </c>
      <c r="N915" s="55" t="s">
        <v>2628</v>
      </c>
      <c r="P915" s="22">
        <v>42446</v>
      </c>
      <c r="Q915" s="22" t="str">
        <f t="shared" si="94"/>
        <v>https://www.nrsr.sk/web/Default.aspx?sid=schodze/hlasovanie/hlasklub&amp;ID=42446</v>
      </c>
      <c r="R915" s="17">
        <v>1</v>
      </c>
      <c r="S915" s="17">
        <v>0</v>
      </c>
      <c r="T915" s="17">
        <v>0</v>
      </c>
      <c r="U915" s="17">
        <v>1</v>
      </c>
      <c r="V915" s="17">
        <v>1</v>
      </c>
      <c r="W915" s="64">
        <v>104</v>
      </c>
      <c r="X915" s="64">
        <v>16</v>
      </c>
      <c r="Y915" s="64">
        <v>10</v>
      </c>
      <c r="Z915" s="6">
        <f t="shared" si="97"/>
        <v>130</v>
      </c>
      <c r="AA915" s="11">
        <f t="shared" si="99"/>
        <v>0.8</v>
      </c>
      <c r="AB915" s="11">
        <f t="shared" si="100"/>
        <v>0.12307692307692308</v>
      </c>
      <c r="AC915" s="66">
        <f t="shared" si="98"/>
        <v>0.8</v>
      </c>
      <c r="AD915" s="67">
        <f t="shared" si="101"/>
        <v>0.7</v>
      </c>
    </row>
    <row r="916" spans="1:30" ht="16" x14ac:dyDescent="0.2">
      <c r="A916" t="s">
        <v>2970</v>
      </c>
      <c r="B916" s="17">
        <v>1</v>
      </c>
      <c r="C916" s="4">
        <v>0</v>
      </c>
      <c r="D916" s="22" t="s">
        <v>309</v>
      </c>
      <c r="E916" s="58" t="s">
        <v>310</v>
      </c>
      <c r="F916" s="64">
        <f t="shared" si="96"/>
        <v>2006</v>
      </c>
      <c r="G916" s="18">
        <v>38848</v>
      </c>
      <c r="H916" s="22" t="s">
        <v>2977</v>
      </c>
      <c r="I916" s="64">
        <v>0</v>
      </c>
      <c r="J916" s="22" t="s">
        <v>311</v>
      </c>
      <c r="K916" s="17">
        <v>0</v>
      </c>
      <c r="L916" s="59">
        <v>1</v>
      </c>
      <c r="M916" s="22" t="s">
        <v>129</v>
      </c>
      <c r="N916" s="22" t="s">
        <v>422</v>
      </c>
      <c r="O916" s="8"/>
      <c r="P916" s="8" t="s">
        <v>312</v>
      </c>
      <c r="Q916" s="29" t="s">
        <v>313</v>
      </c>
      <c r="R916" s="9">
        <v>1</v>
      </c>
      <c r="S916" s="9">
        <v>0</v>
      </c>
      <c r="T916" s="9">
        <v>0</v>
      </c>
      <c r="U916" s="7">
        <v>1</v>
      </c>
      <c r="V916" s="7">
        <v>0</v>
      </c>
      <c r="W916" s="17">
        <v>283</v>
      </c>
      <c r="X916" s="17">
        <v>6</v>
      </c>
      <c r="Y916" s="17">
        <v>2</v>
      </c>
      <c r="Z916" s="6">
        <f t="shared" si="97"/>
        <v>291</v>
      </c>
      <c r="AA916" s="11">
        <f t="shared" si="99"/>
        <v>0.97250859106529208</v>
      </c>
      <c r="AB916" s="11">
        <f t="shared" si="100"/>
        <v>2.0618556701030927E-2</v>
      </c>
      <c r="AC916" s="66">
        <f t="shared" si="98"/>
        <v>0.97250859106529208</v>
      </c>
      <c r="AD916" s="67">
        <f t="shared" si="101"/>
        <v>0.95876288659793818</v>
      </c>
    </row>
    <row r="917" spans="1:30" ht="16" x14ac:dyDescent="0.2">
      <c r="A917" t="s">
        <v>2970</v>
      </c>
      <c r="B917" s="17">
        <v>1</v>
      </c>
      <c r="C917" s="4">
        <v>0</v>
      </c>
      <c r="D917" s="22" t="s">
        <v>309</v>
      </c>
      <c r="E917" s="58" t="s">
        <v>310</v>
      </c>
      <c r="F917" s="64">
        <f t="shared" si="96"/>
        <v>2006</v>
      </c>
      <c r="G917" s="18">
        <v>38867</v>
      </c>
      <c r="H917" s="22" t="s">
        <v>2977</v>
      </c>
      <c r="I917" s="64">
        <v>1</v>
      </c>
      <c r="J917" s="22" t="s">
        <v>314</v>
      </c>
      <c r="K917" s="17">
        <v>0</v>
      </c>
      <c r="L917" s="59">
        <v>1</v>
      </c>
      <c r="M917" s="21" t="s">
        <v>2560</v>
      </c>
      <c r="N917" s="22" t="s">
        <v>2629</v>
      </c>
      <c r="O917" s="8"/>
      <c r="P917" s="8" t="s">
        <v>315</v>
      </c>
      <c r="Q917" s="29" t="s">
        <v>316</v>
      </c>
      <c r="R917" s="9">
        <v>1</v>
      </c>
      <c r="S917" s="9">
        <v>0</v>
      </c>
      <c r="T917" s="9">
        <v>0</v>
      </c>
      <c r="U917" s="7">
        <v>1</v>
      </c>
      <c r="V917" s="7">
        <v>0</v>
      </c>
      <c r="W917" s="17">
        <v>30</v>
      </c>
      <c r="X917" s="17">
        <v>0</v>
      </c>
      <c r="Y917" s="17">
        <v>1</v>
      </c>
      <c r="Z917" s="6">
        <f t="shared" si="97"/>
        <v>31</v>
      </c>
      <c r="AA917" s="11">
        <f t="shared" si="99"/>
        <v>0.967741935483871</v>
      </c>
      <c r="AB917" s="11">
        <f t="shared" si="100"/>
        <v>0</v>
      </c>
      <c r="AC917" s="66">
        <f t="shared" si="98"/>
        <v>0.967741935483871</v>
      </c>
      <c r="AD917" s="67">
        <f t="shared" si="101"/>
        <v>0.95161290322580649</v>
      </c>
    </row>
    <row r="918" spans="1:30" ht="16" x14ac:dyDescent="0.2">
      <c r="A918" t="s">
        <v>2970</v>
      </c>
      <c r="B918" s="17">
        <v>1</v>
      </c>
      <c r="C918" s="4">
        <v>0</v>
      </c>
      <c r="D918" s="22" t="s">
        <v>309</v>
      </c>
      <c r="E918" s="58" t="s">
        <v>310</v>
      </c>
      <c r="F918" s="64">
        <f t="shared" si="96"/>
        <v>2006</v>
      </c>
      <c r="G918" s="18">
        <v>38867</v>
      </c>
      <c r="H918" s="22" t="s">
        <v>2977</v>
      </c>
      <c r="I918" s="64">
        <v>0</v>
      </c>
      <c r="J918" s="22" t="s">
        <v>317</v>
      </c>
      <c r="K918" s="17">
        <v>0</v>
      </c>
      <c r="L918" s="59">
        <v>1</v>
      </c>
      <c r="M918" s="50" t="s">
        <v>202</v>
      </c>
      <c r="N918" s="50" t="s">
        <v>2121</v>
      </c>
      <c r="O918" s="8"/>
      <c r="P918" s="8" t="s">
        <v>318</v>
      </c>
      <c r="Q918" s="29" t="s">
        <v>319</v>
      </c>
      <c r="R918" s="9">
        <v>1</v>
      </c>
      <c r="S918" s="9">
        <v>0</v>
      </c>
      <c r="T918" s="9">
        <v>0</v>
      </c>
      <c r="U918" s="7">
        <v>1</v>
      </c>
      <c r="V918" s="7">
        <v>0</v>
      </c>
      <c r="W918" s="17">
        <v>306</v>
      </c>
      <c r="X918" s="17">
        <v>0</v>
      </c>
      <c r="Y918" s="17">
        <v>2</v>
      </c>
      <c r="Z918" s="6">
        <f t="shared" si="97"/>
        <v>308</v>
      </c>
      <c r="AA918" s="11">
        <f t="shared" si="99"/>
        <v>0.99350649350649356</v>
      </c>
      <c r="AB918" s="11">
        <f t="shared" si="100"/>
        <v>0</v>
      </c>
      <c r="AC918" s="66">
        <f t="shared" si="98"/>
        <v>0.99350649350649356</v>
      </c>
      <c r="AD918" s="67">
        <f t="shared" si="101"/>
        <v>0.99025974025974028</v>
      </c>
    </row>
    <row r="919" spans="1:30" ht="16" x14ac:dyDescent="0.2">
      <c r="A919" t="s">
        <v>2970</v>
      </c>
      <c r="B919" s="17">
        <v>1</v>
      </c>
      <c r="C919" s="4">
        <v>0</v>
      </c>
      <c r="D919" s="22" t="s">
        <v>309</v>
      </c>
      <c r="E919" s="58" t="s">
        <v>310</v>
      </c>
      <c r="F919" s="64">
        <f t="shared" si="96"/>
        <v>2007</v>
      </c>
      <c r="G919" s="18">
        <v>39350</v>
      </c>
      <c r="H919" s="22" t="s">
        <v>2977</v>
      </c>
      <c r="I919" s="64">
        <v>1</v>
      </c>
      <c r="J919" s="22" t="s">
        <v>320</v>
      </c>
      <c r="K919" s="17">
        <v>0</v>
      </c>
      <c r="L919" s="59">
        <v>1</v>
      </c>
      <c r="M919" s="22" t="s">
        <v>129</v>
      </c>
      <c r="N919" s="22" t="s">
        <v>422</v>
      </c>
      <c r="O919" s="8"/>
      <c r="P919" s="8" t="s">
        <v>321</v>
      </c>
      <c r="Q919" s="29" t="s">
        <v>322</v>
      </c>
      <c r="R919" s="9">
        <v>1</v>
      </c>
      <c r="S919" s="9">
        <v>0</v>
      </c>
      <c r="T919" s="9">
        <v>0</v>
      </c>
      <c r="U919" s="7">
        <v>1</v>
      </c>
      <c r="V919" s="7">
        <v>1</v>
      </c>
      <c r="W919" s="17">
        <v>34</v>
      </c>
      <c r="X919" s="17">
        <v>1</v>
      </c>
      <c r="Y919" s="17">
        <v>0</v>
      </c>
      <c r="Z919" s="6">
        <f t="shared" si="97"/>
        <v>35</v>
      </c>
      <c r="AA919" s="11">
        <f t="shared" si="99"/>
        <v>0.97142857142857142</v>
      </c>
      <c r="AB919" s="11">
        <f t="shared" si="100"/>
        <v>2.8571428571428571E-2</v>
      </c>
      <c r="AC919" s="66">
        <f t="shared" si="98"/>
        <v>0.97142857142857142</v>
      </c>
      <c r="AD919" s="67">
        <f t="shared" si="101"/>
        <v>0.95714285714285718</v>
      </c>
    </row>
    <row r="920" spans="1:30" ht="16" x14ac:dyDescent="0.2">
      <c r="A920" t="s">
        <v>2970</v>
      </c>
      <c r="B920" s="17">
        <v>1</v>
      </c>
      <c r="C920" s="4">
        <v>0</v>
      </c>
      <c r="D920" s="22" t="s">
        <v>309</v>
      </c>
      <c r="E920" s="58" t="s">
        <v>310</v>
      </c>
      <c r="F920" s="64">
        <f t="shared" si="96"/>
        <v>2008</v>
      </c>
      <c r="G920" s="18">
        <v>39532</v>
      </c>
      <c r="H920" s="22" t="s">
        <v>2977</v>
      </c>
      <c r="I920" s="64">
        <v>1</v>
      </c>
      <c r="J920" s="22" t="s">
        <v>323</v>
      </c>
      <c r="K920" s="17">
        <v>0</v>
      </c>
      <c r="L920" s="59">
        <v>1</v>
      </c>
      <c r="M920" s="22" t="s">
        <v>129</v>
      </c>
      <c r="N920" s="22" t="s">
        <v>422</v>
      </c>
      <c r="O920" s="8"/>
      <c r="P920" s="8" t="s">
        <v>324</v>
      </c>
      <c r="Q920" s="29" t="s">
        <v>325</v>
      </c>
      <c r="R920" s="9">
        <v>1</v>
      </c>
      <c r="S920" s="9">
        <v>0</v>
      </c>
      <c r="T920" s="9">
        <v>0</v>
      </c>
      <c r="U920" s="7">
        <v>1</v>
      </c>
      <c r="V920" s="7">
        <v>1</v>
      </c>
      <c r="W920" s="17">
        <v>45</v>
      </c>
      <c r="X920" s="17">
        <v>3</v>
      </c>
      <c r="Y920" s="17">
        <v>1</v>
      </c>
      <c r="Z920" s="6">
        <f t="shared" si="97"/>
        <v>49</v>
      </c>
      <c r="AA920" s="11">
        <f t="shared" si="99"/>
        <v>0.91836734693877553</v>
      </c>
      <c r="AB920" s="11">
        <f t="shared" si="100"/>
        <v>6.1224489795918366E-2</v>
      </c>
      <c r="AC920" s="66">
        <f t="shared" si="98"/>
        <v>0.91836734693877553</v>
      </c>
      <c r="AD920" s="67">
        <f t="shared" si="101"/>
        <v>0.87755102040816324</v>
      </c>
    </row>
    <row r="921" spans="1:30" ht="16" x14ac:dyDescent="0.2">
      <c r="A921" t="s">
        <v>2970</v>
      </c>
      <c r="B921" s="17">
        <v>1</v>
      </c>
      <c r="C921" s="4">
        <v>0</v>
      </c>
      <c r="D921" s="22" t="s">
        <v>326</v>
      </c>
      <c r="E921" s="58" t="s">
        <v>310</v>
      </c>
      <c r="F921" s="64">
        <f t="shared" si="96"/>
        <v>2008</v>
      </c>
      <c r="G921" s="18">
        <v>39597</v>
      </c>
      <c r="H921" s="22" t="s">
        <v>2977</v>
      </c>
      <c r="I921" s="64">
        <v>1</v>
      </c>
      <c r="J921" s="22" t="s">
        <v>330</v>
      </c>
      <c r="K921" s="17">
        <v>0</v>
      </c>
      <c r="L921" s="59">
        <v>1</v>
      </c>
      <c r="M921" s="22" t="s">
        <v>706</v>
      </c>
      <c r="N921" s="22" t="s">
        <v>2629</v>
      </c>
      <c r="O921" s="8"/>
      <c r="P921" s="8" t="s">
        <v>331</v>
      </c>
      <c r="Q921" s="29" t="s">
        <v>329</v>
      </c>
      <c r="R921" s="9">
        <v>1</v>
      </c>
      <c r="S921" s="9">
        <v>0</v>
      </c>
      <c r="T921" s="9">
        <v>0</v>
      </c>
      <c r="U921" s="7">
        <v>1</v>
      </c>
      <c r="V921" s="7">
        <v>0</v>
      </c>
      <c r="W921" s="17">
        <v>37</v>
      </c>
      <c r="X921" s="17">
        <v>0</v>
      </c>
      <c r="Y921" s="17">
        <v>1</v>
      </c>
      <c r="Z921" s="6">
        <f t="shared" si="97"/>
        <v>38</v>
      </c>
      <c r="AA921" s="11">
        <f t="shared" si="99"/>
        <v>0.97368421052631582</v>
      </c>
      <c r="AB921" s="11">
        <f t="shared" si="100"/>
        <v>0</v>
      </c>
      <c r="AC921" s="66">
        <f t="shared" si="98"/>
        <v>0.97368421052631582</v>
      </c>
      <c r="AD921" s="67">
        <f t="shared" si="101"/>
        <v>0.96052631578947367</v>
      </c>
    </row>
    <row r="922" spans="1:30" ht="16" x14ac:dyDescent="0.2">
      <c r="A922" t="s">
        <v>2970</v>
      </c>
      <c r="B922" s="17">
        <v>1</v>
      </c>
      <c r="C922" s="4">
        <v>0</v>
      </c>
      <c r="D922" s="22" t="s">
        <v>326</v>
      </c>
      <c r="E922" s="58" t="s">
        <v>310</v>
      </c>
      <c r="F922" s="64">
        <f t="shared" si="96"/>
        <v>2008</v>
      </c>
      <c r="G922" s="18">
        <v>39597</v>
      </c>
      <c r="H922" s="22" t="s">
        <v>2977</v>
      </c>
      <c r="I922" s="64">
        <v>1</v>
      </c>
      <c r="J922" s="22" t="s">
        <v>327</v>
      </c>
      <c r="K922" s="17">
        <v>0</v>
      </c>
      <c r="L922" s="59">
        <v>1</v>
      </c>
      <c r="M922" s="50" t="s">
        <v>202</v>
      </c>
      <c r="N922" s="50" t="s">
        <v>2121</v>
      </c>
      <c r="O922" s="8"/>
      <c r="P922" s="8" t="s">
        <v>328</v>
      </c>
      <c r="Q922" s="29" t="s">
        <v>329</v>
      </c>
      <c r="R922" s="9">
        <v>1</v>
      </c>
      <c r="S922" s="9">
        <v>0</v>
      </c>
      <c r="T922" s="9">
        <v>0</v>
      </c>
      <c r="U922" s="7">
        <v>1</v>
      </c>
      <c r="V922" s="7">
        <v>0</v>
      </c>
      <c r="W922" s="17">
        <v>37</v>
      </c>
      <c r="X922" s="17">
        <v>0</v>
      </c>
      <c r="Y922" s="17">
        <v>0</v>
      </c>
      <c r="Z922" s="6">
        <f t="shared" si="97"/>
        <v>37</v>
      </c>
      <c r="AA922" s="11">
        <f t="shared" si="99"/>
        <v>1</v>
      </c>
      <c r="AB922" s="11">
        <f t="shared" si="100"/>
        <v>0</v>
      </c>
      <c r="AC922" s="66">
        <f t="shared" si="98"/>
        <v>1</v>
      </c>
      <c r="AD922" s="67">
        <f t="shared" si="101"/>
        <v>1</v>
      </c>
    </row>
    <row r="923" spans="1:30" ht="16" x14ac:dyDescent="0.2">
      <c r="A923" t="s">
        <v>2970</v>
      </c>
      <c r="B923" s="17">
        <v>1</v>
      </c>
      <c r="C923" s="4">
        <v>0</v>
      </c>
      <c r="D923" s="22" t="s">
        <v>326</v>
      </c>
      <c r="E923" s="58" t="s">
        <v>310</v>
      </c>
      <c r="F923" s="64">
        <f t="shared" si="96"/>
        <v>2009</v>
      </c>
      <c r="G923" s="18">
        <v>39834</v>
      </c>
      <c r="H923" s="22" t="s">
        <v>2977</v>
      </c>
      <c r="I923" s="64">
        <v>0</v>
      </c>
      <c r="J923" s="12" t="s">
        <v>332</v>
      </c>
      <c r="K923" s="17">
        <v>0</v>
      </c>
      <c r="L923" s="59">
        <v>1</v>
      </c>
      <c r="M923" s="22" t="s">
        <v>2860</v>
      </c>
      <c r="N923" s="54" t="s">
        <v>2631</v>
      </c>
      <c r="O923" s="8"/>
      <c r="P923" s="8" t="s">
        <v>333</v>
      </c>
      <c r="Q923" s="29" t="s">
        <v>334</v>
      </c>
      <c r="R923" s="9">
        <v>1</v>
      </c>
      <c r="S923" s="9">
        <v>0</v>
      </c>
      <c r="T923" s="9">
        <v>0</v>
      </c>
      <c r="U923" s="7">
        <v>1</v>
      </c>
      <c r="V923" s="7">
        <v>0</v>
      </c>
      <c r="W923" s="17">
        <v>311</v>
      </c>
      <c r="X923" s="17">
        <v>0</v>
      </c>
      <c r="Y923" s="17">
        <v>2</v>
      </c>
      <c r="Z923" s="6">
        <f t="shared" si="97"/>
        <v>313</v>
      </c>
      <c r="AA923" s="11">
        <f t="shared" si="99"/>
        <v>0.99361022364217255</v>
      </c>
      <c r="AB923" s="11">
        <f t="shared" si="100"/>
        <v>0</v>
      </c>
      <c r="AC923" s="66">
        <f t="shared" si="98"/>
        <v>0.99361022364217255</v>
      </c>
      <c r="AD923" s="67">
        <f t="shared" si="101"/>
        <v>0.99041533546325877</v>
      </c>
    </row>
    <row r="924" spans="1:30" ht="16" x14ac:dyDescent="0.2">
      <c r="A924" t="s">
        <v>2970</v>
      </c>
      <c r="B924" s="17">
        <v>1</v>
      </c>
      <c r="C924" s="4">
        <v>0</v>
      </c>
      <c r="D924" s="22" t="s">
        <v>326</v>
      </c>
      <c r="E924" s="58" t="s">
        <v>310</v>
      </c>
      <c r="F924" s="64">
        <f t="shared" si="96"/>
        <v>2009</v>
      </c>
      <c r="G924" s="18">
        <v>39981</v>
      </c>
      <c r="H924" s="22" t="s">
        <v>2977</v>
      </c>
      <c r="I924" s="64">
        <v>1</v>
      </c>
      <c r="J924" s="22" t="s">
        <v>335</v>
      </c>
      <c r="K924" s="17">
        <v>0</v>
      </c>
      <c r="L924" s="59">
        <v>1</v>
      </c>
      <c r="M924" s="22" t="s">
        <v>129</v>
      </c>
      <c r="N924" s="22" t="s">
        <v>422</v>
      </c>
      <c r="O924" s="8"/>
      <c r="P924" s="22" t="s">
        <v>336</v>
      </c>
      <c r="Q924" s="29" t="s">
        <v>337</v>
      </c>
      <c r="R924" s="9">
        <v>1</v>
      </c>
      <c r="S924" s="9">
        <v>0</v>
      </c>
      <c r="T924" s="9">
        <v>0</v>
      </c>
      <c r="U924" s="7">
        <v>1</v>
      </c>
      <c r="V924" s="7">
        <v>1</v>
      </c>
      <c r="W924" s="17">
        <v>32</v>
      </c>
      <c r="X924" s="17">
        <v>1</v>
      </c>
      <c r="Y924" s="17">
        <v>0</v>
      </c>
      <c r="Z924" s="6">
        <f t="shared" si="97"/>
        <v>33</v>
      </c>
      <c r="AA924" s="11">
        <f t="shared" si="99"/>
        <v>0.96969696969696972</v>
      </c>
      <c r="AB924" s="11">
        <f t="shared" si="100"/>
        <v>3.0303030303030304E-2</v>
      </c>
      <c r="AC924" s="66">
        <f t="shared" si="98"/>
        <v>0.96969696969696972</v>
      </c>
      <c r="AD924" s="67">
        <f t="shared" si="101"/>
        <v>0.95454545454545459</v>
      </c>
    </row>
    <row r="925" spans="1:30" ht="16" x14ac:dyDescent="0.2">
      <c r="A925" t="s">
        <v>2970</v>
      </c>
      <c r="B925" s="17">
        <v>1</v>
      </c>
      <c r="C925" s="4">
        <v>0</v>
      </c>
      <c r="D925" s="22" t="s">
        <v>326</v>
      </c>
      <c r="E925" s="58" t="s">
        <v>310</v>
      </c>
      <c r="F925" s="64">
        <f t="shared" si="96"/>
        <v>2009</v>
      </c>
      <c r="G925" s="18">
        <v>40079</v>
      </c>
      <c r="H925" s="22" t="s">
        <v>2977</v>
      </c>
      <c r="I925" s="64">
        <v>1</v>
      </c>
      <c r="J925" s="22" t="s">
        <v>338</v>
      </c>
      <c r="K925" s="17">
        <v>0</v>
      </c>
      <c r="L925" s="59">
        <v>1</v>
      </c>
      <c r="M925" s="22" t="s">
        <v>129</v>
      </c>
      <c r="N925" s="22" t="s">
        <v>422</v>
      </c>
      <c r="O925" s="8"/>
      <c r="P925" s="22" t="s">
        <v>339</v>
      </c>
      <c r="Q925" s="29" t="s">
        <v>340</v>
      </c>
      <c r="R925" s="9">
        <v>1</v>
      </c>
      <c r="S925" s="9">
        <v>0</v>
      </c>
      <c r="T925" s="9">
        <v>0</v>
      </c>
      <c r="U925" s="7">
        <v>1</v>
      </c>
      <c r="V925" s="7">
        <v>1</v>
      </c>
      <c r="W925" s="17">
        <v>37</v>
      </c>
      <c r="X925" s="17">
        <v>1</v>
      </c>
      <c r="Y925" s="17">
        <v>0</v>
      </c>
      <c r="Z925" s="6">
        <f t="shared" si="97"/>
        <v>38</v>
      </c>
      <c r="AA925" s="11">
        <f t="shared" si="99"/>
        <v>0.97368421052631582</v>
      </c>
      <c r="AB925" s="11">
        <f t="shared" si="100"/>
        <v>2.6315789473684209E-2</v>
      </c>
      <c r="AC925" s="66">
        <f t="shared" si="98"/>
        <v>0.97368421052631582</v>
      </c>
      <c r="AD925" s="67">
        <f t="shared" si="101"/>
        <v>0.96052631578947367</v>
      </c>
    </row>
    <row r="926" spans="1:30" ht="16" x14ac:dyDescent="0.2">
      <c r="A926" t="s">
        <v>2970</v>
      </c>
      <c r="B926" s="17">
        <v>1</v>
      </c>
      <c r="C926" s="4">
        <v>0</v>
      </c>
      <c r="D926" s="22" t="s">
        <v>326</v>
      </c>
      <c r="E926" s="58" t="s">
        <v>310</v>
      </c>
      <c r="F926" s="64">
        <f t="shared" si="96"/>
        <v>2010</v>
      </c>
      <c r="G926" s="18">
        <v>40219</v>
      </c>
      <c r="H926" s="22" t="s">
        <v>2977</v>
      </c>
      <c r="I926" s="64">
        <v>0</v>
      </c>
      <c r="J926" s="22" t="s">
        <v>341</v>
      </c>
      <c r="K926" s="17">
        <v>0</v>
      </c>
      <c r="L926" s="59">
        <v>1</v>
      </c>
      <c r="M926" s="58" t="s">
        <v>342</v>
      </c>
      <c r="N926" s="58" t="s">
        <v>2632</v>
      </c>
      <c r="O926" s="8"/>
      <c r="P926" s="22" t="s">
        <v>343</v>
      </c>
      <c r="Q926" s="29" t="s">
        <v>344</v>
      </c>
      <c r="R926" s="9">
        <v>1</v>
      </c>
      <c r="S926" s="9">
        <v>0</v>
      </c>
      <c r="T926" s="9">
        <v>0</v>
      </c>
      <c r="U926" s="7">
        <v>1</v>
      </c>
      <c r="V926" s="7">
        <v>0</v>
      </c>
      <c r="W926" s="17">
        <v>315</v>
      </c>
      <c r="X926" s="17">
        <v>0</v>
      </c>
      <c r="Y926" s="17">
        <v>4</v>
      </c>
      <c r="Z926" s="6">
        <f t="shared" si="97"/>
        <v>319</v>
      </c>
      <c r="AA926" s="11">
        <f t="shared" si="99"/>
        <v>0.98746081504702199</v>
      </c>
      <c r="AB926" s="11">
        <f t="shared" si="100"/>
        <v>0</v>
      </c>
      <c r="AC926" s="66">
        <f t="shared" si="98"/>
        <v>0.98746081504702199</v>
      </c>
      <c r="AD926" s="67">
        <f t="shared" si="101"/>
        <v>0.98119122257053293</v>
      </c>
    </row>
    <row r="927" spans="1:30" ht="16" x14ac:dyDescent="0.2">
      <c r="A927" t="s">
        <v>2970</v>
      </c>
      <c r="B927" s="17">
        <v>1</v>
      </c>
      <c r="C927" s="4">
        <v>0</v>
      </c>
      <c r="D927" s="22" t="s">
        <v>326</v>
      </c>
      <c r="E927" s="58" t="s">
        <v>310</v>
      </c>
      <c r="F927" s="64">
        <f t="shared" si="96"/>
        <v>2010</v>
      </c>
      <c r="G927" s="18">
        <v>40226</v>
      </c>
      <c r="H927" s="22" t="s">
        <v>2977</v>
      </c>
      <c r="I927" s="64">
        <v>1</v>
      </c>
      <c r="J927" s="22" t="s">
        <v>345</v>
      </c>
      <c r="K927" s="17">
        <v>0</v>
      </c>
      <c r="L927" s="59">
        <v>1</v>
      </c>
      <c r="M927" s="22" t="s">
        <v>129</v>
      </c>
      <c r="N927" s="22" t="s">
        <v>422</v>
      </c>
      <c r="O927" s="8"/>
      <c r="P927" s="22" t="s">
        <v>346</v>
      </c>
      <c r="Q927" s="29" t="s">
        <v>347</v>
      </c>
      <c r="R927" s="9">
        <v>1</v>
      </c>
      <c r="S927" s="9">
        <v>0</v>
      </c>
      <c r="T927" s="9">
        <v>0</v>
      </c>
      <c r="U927" s="7">
        <v>1</v>
      </c>
      <c r="V927" s="7">
        <v>1</v>
      </c>
      <c r="W927" s="17">
        <v>35</v>
      </c>
      <c r="X927" s="17">
        <v>1</v>
      </c>
      <c r="Y927" s="17">
        <v>0</v>
      </c>
      <c r="Z927" s="6">
        <f t="shared" si="97"/>
        <v>36</v>
      </c>
      <c r="AA927" s="11">
        <f t="shared" si="99"/>
        <v>0.97222222222222221</v>
      </c>
      <c r="AB927" s="11">
        <f t="shared" si="100"/>
        <v>2.7777777777777776E-2</v>
      </c>
      <c r="AC927" s="66">
        <f t="shared" si="98"/>
        <v>0.97222222222222221</v>
      </c>
      <c r="AD927" s="67">
        <f t="shared" si="101"/>
        <v>0.95833333333333337</v>
      </c>
    </row>
    <row r="928" spans="1:30" ht="16" x14ac:dyDescent="0.2">
      <c r="A928" t="s">
        <v>2970</v>
      </c>
      <c r="B928" s="17">
        <v>1</v>
      </c>
      <c r="C928" s="4">
        <v>0</v>
      </c>
      <c r="D928" s="22" t="s">
        <v>326</v>
      </c>
      <c r="E928" s="58" t="s">
        <v>310</v>
      </c>
      <c r="F928" s="64">
        <f t="shared" si="96"/>
        <v>2010</v>
      </c>
      <c r="G928" s="18">
        <v>40290</v>
      </c>
      <c r="H928" s="22" t="s">
        <v>2977</v>
      </c>
      <c r="I928" s="64">
        <v>0</v>
      </c>
      <c r="J928" s="22" t="s">
        <v>348</v>
      </c>
      <c r="K928" s="17">
        <v>0</v>
      </c>
      <c r="L928" s="59">
        <v>1</v>
      </c>
      <c r="M928" s="22" t="s">
        <v>2561</v>
      </c>
      <c r="N928" s="48" t="s">
        <v>2629</v>
      </c>
      <c r="P928" s="22" t="s">
        <v>349</v>
      </c>
      <c r="Q928" s="29" t="s">
        <v>350</v>
      </c>
      <c r="R928" s="17">
        <v>1</v>
      </c>
      <c r="S928" s="17">
        <v>0</v>
      </c>
      <c r="T928" s="17">
        <v>0</v>
      </c>
      <c r="U928" s="17">
        <v>1</v>
      </c>
      <c r="V928" s="17">
        <v>0</v>
      </c>
      <c r="W928" s="17">
        <v>318</v>
      </c>
      <c r="X928" s="17">
        <v>0</v>
      </c>
      <c r="Y928" s="17">
        <v>5</v>
      </c>
      <c r="Z928" s="6">
        <f t="shared" si="97"/>
        <v>323</v>
      </c>
      <c r="AA928" s="11">
        <f t="shared" si="99"/>
        <v>0.98452012383900933</v>
      </c>
      <c r="AB928" s="11">
        <f t="shared" si="100"/>
        <v>0</v>
      </c>
      <c r="AC928" s="66">
        <f t="shared" si="98"/>
        <v>0.98452012383900933</v>
      </c>
      <c r="AD928" s="67">
        <f t="shared" si="101"/>
        <v>0.97678018575851389</v>
      </c>
    </row>
    <row r="929" spans="1:32" ht="16" x14ac:dyDescent="0.2">
      <c r="A929" t="s">
        <v>2970</v>
      </c>
      <c r="B929" s="17">
        <v>1</v>
      </c>
      <c r="C929" s="4">
        <v>0</v>
      </c>
      <c r="D929" s="22" t="s">
        <v>326</v>
      </c>
      <c r="E929" s="58" t="s">
        <v>310</v>
      </c>
      <c r="F929" s="64">
        <f t="shared" si="96"/>
        <v>2011</v>
      </c>
      <c r="G929" s="18">
        <v>40624</v>
      </c>
      <c r="H929" s="22" t="s">
        <v>2977</v>
      </c>
      <c r="I929" s="64">
        <v>0</v>
      </c>
      <c r="J929" s="22" t="s">
        <v>351</v>
      </c>
      <c r="K929" s="17">
        <v>0</v>
      </c>
      <c r="L929" s="59">
        <v>1</v>
      </c>
      <c r="M929" t="s">
        <v>949</v>
      </c>
      <c r="N929" s="48" t="s">
        <v>2629</v>
      </c>
      <c r="P929" s="22" t="s">
        <v>352</v>
      </c>
      <c r="Q929" s="29" t="s">
        <v>353</v>
      </c>
      <c r="R929" s="17">
        <v>1</v>
      </c>
      <c r="S929" s="17">
        <v>0</v>
      </c>
      <c r="T929" s="17">
        <v>0</v>
      </c>
      <c r="U929" s="17">
        <v>1</v>
      </c>
      <c r="V929" s="17">
        <v>0</v>
      </c>
      <c r="W929" s="17">
        <v>336</v>
      </c>
      <c r="X929" s="17">
        <v>3</v>
      </c>
      <c r="Y929" s="17">
        <v>1</v>
      </c>
      <c r="Z929" s="6">
        <f t="shared" si="97"/>
        <v>340</v>
      </c>
      <c r="AA929" s="11">
        <f t="shared" si="99"/>
        <v>0.9882352941176471</v>
      </c>
      <c r="AB929" s="11">
        <f t="shared" si="100"/>
        <v>8.8235294117647058E-3</v>
      </c>
      <c r="AC929" s="66">
        <f t="shared" si="98"/>
        <v>0.9882352941176471</v>
      </c>
      <c r="AD929" s="67">
        <f t="shared" si="101"/>
        <v>0.98235294117647054</v>
      </c>
    </row>
    <row r="930" spans="1:32" ht="16" x14ac:dyDescent="0.2">
      <c r="A930" t="s">
        <v>2970</v>
      </c>
      <c r="B930" s="17">
        <v>1</v>
      </c>
      <c r="C930" s="4">
        <v>0</v>
      </c>
      <c r="D930" s="22" t="s">
        <v>354</v>
      </c>
      <c r="E930" s="58" t="s">
        <v>355</v>
      </c>
      <c r="F930" s="64">
        <f t="shared" si="96"/>
        <v>2013</v>
      </c>
      <c r="G930" s="18">
        <v>41304</v>
      </c>
      <c r="H930" s="22" t="s">
        <v>2977</v>
      </c>
      <c r="I930" s="64">
        <v>0</v>
      </c>
      <c r="J930" s="22" t="s">
        <v>356</v>
      </c>
      <c r="K930" s="17">
        <v>0</v>
      </c>
      <c r="L930" s="59">
        <v>1</v>
      </c>
      <c r="M930" s="22" t="s">
        <v>2542</v>
      </c>
      <c r="N930" s="48" t="s">
        <v>2629</v>
      </c>
      <c r="P930" s="22" t="s">
        <v>328</v>
      </c>
      <c r="Q930" s="29" t="s">
        <v>357</v>
      </c>
      <c r="R930" s="17">
        <v>1</v>
      </c>
      <c r="S930" s="17">
        <v>0</v>
      </c>
      <c r="T930" s="17">
        <v>0</v>
      </c>
      <c r="U930" s="17">
        <v>1</v>
      </c>
      <c r="V930" s="17">
        <v>0</v>
      </c>
      <c r="W930" s="17">
        <v>302</v>
      </c>
      <c r="X930" s="17">
        <v>18</v>
      </c>
      <c r="Y930" s="17">
        <v>2</v>
      </c>
      <c r="Z930" s="6">
        <f t="shared" si="97"/>
        <v>322</v>
      </c>
      <c r="AA930" s="11">
        <f t="shared" si="99"/>
        <v>0.93788819875776397</v>
      </c>
      <c r="AB930" s="11">
        <f t="shared" si="100"/>
        <v>5.5900621118012424E-2</v>
      </c>
      <c r="AC930" s="66">
        <f t="shared" si="98"/>
        <v>0.93788819875776397</v>
      </c>
      <c r="AD930" s="67">
        <f t="shared" si="101"/>
        <v>0.90683229813664601</v>
      </c>
    </row>
    <row r="931" spans="1:32" ht="16" x14ac:dyDescent="0.2">
      <c r="A931" t="s">
        <v>2970</v>
      </c>
      <c r="B931" s="17">
        <v>1</v>
      </c>
      <c r="C931" s="4">
        <v>0</v>
      </c>
      <c r="D931" s="22" t="s">
        <v>354</v>
      </c>
      <c r="E931" s="58" t="s">
        <v>355</v>
      </c>
      <c r="F931" s="64">
        <f t="shared" si="96"/>
        <v>2013</v>
      </c>
      <c r="G931" s="18">
        <v>41443</v>
      </c>
      <c r="H931" s="22" t="s">
        <v>2977</v>
      </c>
      <c r="I931" s="64">
        <v>1</v>
      </c>
      <c r="J931" s="22" t="s">
        <v>358</v>
      </c>
      <c r="K931" s="17">
        <v>0</v>
      </c>
      <c r="L931" s="59">
        <v>1</v>
      </c>
      <c r="M931" s="22" t="s">
        <v>2542</v>
      </c>
      <c r="N931" s="48" t="s">
        <v>2629</v>
      </c>
      <c r="P931" s="22" t="s">
        <v>331</v>
      </c>
      <c r="Q931" s="29" t="s">
        <v>359</v>
      </c>
      <c r="R931" s="17">
        <v>1</v>
      </c>
      <c r="S931" s="17">
        <v>0</v>
      </c>
      <c r="T931" s="17">
        <v>0</v>
      </c>
      <c r="U931" s="17">
        <v>1</v>
      </c>
      <c r="V931" s="17">
        <v>1</v>
      </c>
      <c r="W931" s="17">
        <v>39</v>
      </c>
      <c r="X931" s="17">
        <v>2</v>
      </c>
      <c r="Y931" s="17">
        <v>0</v>
      </c>
      <c r="Z931" s="6">
        <f t="shared" si="97"/>
        <v>41</v>
      </c>
      <c r="AA931" s="11">
        <f t="shared" si="99"/>
        <v>0.95121951219512191</v>
      </c>
      <c r="AB931" s="11">
        <f t="shared" si="100"/>
        <v>4.878048780487805E-2</v>
      </c>
      <c r="AC931" s="66">
        <f t="shared" si="98"/>
        <v>0.95121951219512191</v>
      </c>
      <c r="AD931" s="67">
        <f t="shared" si="101"/>
        <v>0.92682926829268297</v>
      </c>
    </row>
    <row r="932" spans="1:32" ht="16" x14ac:dyDescent="0.2">
      <c r="A932" t="s">
        <v>2970</v>
      </c>
      <c r="B932" s="17">
        <v>1</v>
      </c>
      <c r="C932" s="4">
        <v>0</v>
      </c>
      <c r="D932" s="22" t="s">
        <v>354</v>
      </c>
      <c r="E932" s="58" t="s">
        <v>355</v>
      </c>
      <c r="F932" s="64">
        <f t="shared" si="96"/>
        <v>2013</v>
      </c>
      <c r="G932" s="18">
        <v>41627</v>
      </c>
      <c r="H932" s="22" t="s">
        <v>2977</v>
      </c>
      <c r="I932" s="64">
        <v>0</v>
      </c>
      <c r="J932" s="22" t="s">
        <v>360</v>
      </c>
      <c r="K932" s="17">
        <v>0</v>
      </c>
      <c r="L932" s="59">
        <v>1</v>
      </c>
      <c r="M932" s="22" t="s">
        <v>2562</v>
      </c>
      <c r="N932" s="5" t="s">
        <v>2629</v>
      </c>
      <c r="P932" s="22" t="s">
        <v>333</v>
      </c>
      <c r="Q932" s="29" t="s">
        <v>361</v>
      </c>
      <c r="R932" s="17">
        <v>1</v>
      </c>
      <c r="S932" s="17">
        <v>0</v>
      </c>
      <c r="T932" s="17">
        <v>0</v>
      </c>
      <c r="U932" s="17">
        <v>1</v>
      </c>
      <c r="V932" s="17">
        <v>0</v>
      </c>
      <c r="W932" s="17">
        <v>309</v>
      </c>
      <c r="X932" s="17">
        <v>2</v>
      </c>
      <c r="Y932" s="17">
        <v>17</v>
      </c>
      <c r="Z932" s="6">
        <f t="shared" si="97"/>
        <v>328</v>
      </c>
      <c r="AA932" s="11">
        <f t="shared" si="99"/>
        <v>0.94207317073170727</v>
      </c>
      <c r="AB932" s="11">
        <f t="shared" si="100"/>
        <v>6.0975609756097563E-3</v>
      </c>
      <c r="AC932" s="66">
        <f t="shared" ref="AC932:AC945" si="102">IF(K932=1,AB932,AA932)</f>
        <v>0.94207317073170727</v>
      </c>
      <c r="AD932" s="67">
        <f t="shared" si="101"/>
        <v>0.91310975609756095</v>
      </c>
      <c r="AF932" s="36"/>
    </row>
    <row r="933" spans="1:32" ht="16" x14ac:dyDescent="0.2">
      <c r="A933" t="s">
        <v>2970</v>
      </c>
      <c r="B933" s="17">
        <v>1</v>
      </c>
      <c r="C933" s="4">
        <v>0</v>
      </c>
      <c r="D933" s="22" t="s">
        <v>354</v>
      </c>
      <c r="E933" s="58" t="s">
        <v>355</v>
      </c>
      <c r="F933" s="64">
        <f t="shared" si="96"/>
        <v>2014</v>
      </c>
      <c r="G933" s="18">
        <v>41718</v>
      </c>
      <c r="H933" s="22" t="s">
        <v>2977</v>
      </c>
      <c r="I933" s="64">
        <v>0</v>
      </c>
      <c r="J933" s="22" t="s">
        <v>362</v>
      </c>
      <c r="K933" s="17">
        <v>0</v>
      </c>
      <c r="L933" s="59">
        <v>1</v>
      </c>
      <c r="M933" s="22" t="s">
        <v>706</v>
      </c>
      <c r="N933" s="22" t="s">
        <v>2629</v>
      </c>
      <c r="P933" s="22" t="s">
        <v>336</v>
      </c>
      <c r="Q933" s="29" t="s">
        <v>363</v>
      </c>
      <c r="R933" s="17">
        <v>1</v>
      </c>
      <c r="S933" s="17">
        <v>0</v>
      </c>
      <c r="T933" s="17">
        <v>0</v>
      </c>
      <c r="U933" s="17">
        <v>1</v>
      </c>
      <c r="V933" s="17">
        <v>0</v>
      </c>
      <c r="W933" s="17">
        <v>288</v>
      </c>
      <c r="X933" s="17">
        <v>14</v>
      </c>
      <c r="Y933" s="17">
        <v>0</v>
      </c>
      <c r="Z933" s="6">
        <f t="shared" si="97"/>
        <v>302</v>
      </c>
      <c r="AA933" s="11">
        <f t="shared" si="99"/>
        <v>0.95364238410596025</v>
      </c>
      <c r="AB933" s="11">
        <f t="shared" si="100"/>
        <v>4.6357615894039736E-2</v>
      </c>
      <c r="AC933" s="66">
        <f t="shared" si="102"/>
        <v>0.95364238410596025</v>
      </c>
      <c r="AD933" s="67">
        <f t="shared" si="101"/>
        <v>0.93046357615894038</v>
      </c>
    </row>
    <row r="934" spans="1:32" ht="16" x14ac:dyDescent="0.2">
      <c r="A934" t="s">
        <v>2970</v>
      </c>
      <c r="B934" s="17">
        <v>1</v>
      </c>
      <c r="C934" s="4">
        <v>0</v>
      </c>
      <c r="D934" s="22" t="s">
        <v>354</v>
      </c>
      <c r="E934" s="58" t="s">
        <v>355</v>
      </c>
      <c r="F934" s="64">
        <f t="shared" si="96"/>
        <v>2014</v>
      </c>
      <c r="G934" s="18">
        <v>41934</v>
      </c>
      <c r="H934" s="22" t="s">
        <v>2977</v>
      </c>
      <c r="I934" s="64">
        <v>0</v>
      </c>
      <c r="J934" s="22" t="s">
        <v>364</v>
      </c>
      <c r="K934" s="17">
        <v>0</v>
      </c>
      <c r="L934" s="59">
        <v>1</v>
      </c>
      <c r="M934" t="s">
        <v>2544</v>
      </c>
      <c r="N934" s="22" t="s">
        <v>2121</v>
      </c>
      <c r="P934" s="22" t="s">
        <v>339</v>
      </c>
      <c r="Q934" s="29" t="s">
        <v>365</v>
      </c>
      <c r="R934" s="17">
        <v>1</v>
      </c>
      <c r="S934" s="17">
        <v>0</v>
      </c>
      <c r="T934" s="17">
        <v>0</v>
      </c>
      <c r="U934" s="17">
        <v>1</v>
      </c>
      <c r="V934" s="17">
        <v>0</v>
      </c>
      <c r="W934" s="17">
        <v>314</v>
      </c>
      <c r="X934" s="17">
        <v>11</v>
      </c>
      <c r="Y934" s="17">
        <v>4</v>
      </c>
      <c r="Z934" s="6">
        <f t="shared" si="97"/>
        <v>329</v>
      </c>
      <c r="AA934" s="11">
        <f t="shared" ref="AA934:AA945" si="103">W934/Z934</f>
        <v>0.95440729483282671</v>
      </c>
      <c r="AB934" s="11">
        <f t="shared" ref="AB934:AB945" si="104">X934/Z934</f>
        <v>3.3434650455927049E-2</v>
      </c>
      <c r="AC934" s="66">
        <f t="shared" si="102"/>
        <v>0.95440729483282671</v>
      </c>
      <c r="AD934" s="67">
        <f t="shared" ref="AD934:AD945" si="105">SUM((MAX(W934,X934,Y934)-0.5*(SUM(W934+X934+Y934)-MAX(W934,X934,Y934)))/SUM(W934+X934+Y934))</f>
        <v>0.93161094224924013</v>
      </c>
    </row>
    <row r="935" spans="1:32" ht="16" x14ac:dyDescent="0.2">
      <c r="A935" t="s">
        <v>2970</v>
      </c>
      <c r="B935" s="17">
        <v>1</v>
      </c>
      <c r="C935" s="4">
        <v>0</v>
      </c>
      <c r="D935" s="22" t="s">
        <v>354</v>
      </c>
      <c r="E935" s="58" t="s">
        <v>355</v>
      </c>
      <c r="F935" s="64">
        <f t="shared" si="96"/>
        <v>2014</v>
      </c>
      <c r="G935" s="18">
        <v>41991</v>
      </c>
      <c r="H935" s="22" t="s">
        <v>2977</v>
      </c>
      <c r="I935" s="64">
        <v>0</v>
      </c>
      <c r="J935" s="22" t="s">
        <v>366</v>
      </c>
      <c r="K935" s="17">
        <v>0</v>
      </c>
      <c r="L935" s="59">
        <v>1</v>
      </c>
      <c r="M935" s="22" t="s">
        <v>2555</v>
      </c>
      <c r="N935" s="22" t="s">
        <v>422</v>
      </c>
      <c r="P935" s="22" t="s">
        <v>343</v>
      </c>
      <c r="Q935" s="29" t="s">
        <v>367</v>
      </c>
      <c r="R935" s="17">
        <v>1</v>
      </c>
      <c r="S935" s="17">
        <v>0</v>
      </c>
      <c r="T935" s="17">
        <v>0</v>
      </c>
      <c r="U935" s="17">
        <v>1</v>
      </c>
      <c r="V935" s="17">
        <v>0</v>
      </c>
      <c r="W935" s="17">
        <v>308</v>
      </c>
      <c r="X935" s="17">
        <v>11</v>
      </c>
      <c r="Y935" s="17">
        <v>5</v>
      </c>
      <c r="Z935" s="6">
        <f t="shared" si="97"/>
        <v>324</v>
      </c>
      <c r="AA935" s="11">
        <f t="shared" si="103"/>
        <v>0.95061728395061729</v>
      </c>
      <c r="AB935" s="11">
        <f t="shared" si="104"/>
        <v>3.3950617283950615E-2</v>
      </c>
      <c r="AC935" s="66">
        <f t="shared" si="102"/>
        <v>0.95061728395061729</v>
      </c>
      <c r="AD935" s="67">
        <f t="shared" si="105"/>
        <v>0.92592592592592593</v>
      </c>
    </row>
    <row r="936" spans="1:32" ht="16" x14ac:dyDescent="0.2">
      <c r="A936" t="s">
        <v>2970</v>
      </c>
      <c r="B936" s="17">
        <v>1</v>
      </c>
      <c r="C936" s="4">
        <v>0</v>
      </c>
      <c r="D936" s="22" t="s">
        <v>354</v>
      </c>
      <c r="E936" s="58" t="s">
        <v>355</v>
      </c>
      <c r="F936" s="64">
        <f t="shared" si="96"/>
        <v>2015</v>
      </c>
      <c r="G936" s="18">
        <v>42116</v>
      </c>
      <c r="H936" s="22" t="s">
        <v>2977</v>
      </c>
      <c r="I936" s="64">
        <v>1</v>
      </c>
      <c r="J936" s="22" t="s">
        <v>368</v>
      </c>
      <c r="K936" s="17">
        <v>0</v>
      </c>
      <c r="L936" s="59">
        <v>1</v>
      </c>
      <c r="M936" s="22" t="s">
        <v>2563</v>
      </c>
      <c r="N936" s="21" t="s">
        <v>2629</v>
      </c>
      <c r="P936" s="22" t="s">
        <v>346</v>
      </c>
      <c r="Q936" s="29" t="s">
        <v>369</v>
      </c>
      <c r="R936" s="17">
        <v>1</v>
      </c>
      <c r="S936" s="17">
        <v>0</v>
      </c>
      <c r="T936" s="17">
        <v>0</v>
      </c>
      <c r="U936" s="17">
        <v>1</v>
      </c>
      <c r="V936" s="17">
        <v>0</v>
      </c>
      <c r="W936" s="17">
        <v>39</v>
      </c>
      <c r="X936" s="17">
        <v>1</v>
      </c>
      <c r="Y936" s="17">
        <v>0</v>
      </c>
      <c r="Z936" s="6">
        <f t="shared" si="97"/>
        <v>40</v>
      </c>
      <c r="AA936" s="11">
        <f t="shared" si="103"/>
        <v>0.97499999999999998</v>
      </c>
      <c r="AB936" s="11">
        <f t="shared" si="104"/>
        <v>2.5000000000000001E-2</v>
      </c>
      <c r="AC936" s="66">
        <f t="shared" si="102"/>
        <v>0.97499999999999998</v>
      </c>
      <c r="AD936" s="67">
        <f t="shared" si="105"/>
        <v>0.96250000000000002</v>
      </c>
    </row>
    <row r="937" spans="1:32" ht="16" x14ac:dyDescent="0.2">
      <c r="A937" t="s">
        <v>2970</v>
      </c>
      <c r="B937" s="17">
        <v>1</v>
      </c>
      <c r="C937" s="4">
        <v>0</v>
      </c>
      <c r="D937" s="22" t="s">
        <v>354</v>
      </c>
      <c r="E937" s="58" t="s">
        <v>355</v>
      </c>
      <c r="F937" s="64">
        <f t="shared" si="96"/>
        <v>2015</v>
      </c>
      <c r="G937" s="18">
        <v>42170</v>
      </c>
      <c r="H937" s="22" t="s">
        <v>2977</v>
      </c>
      <c r="I937" s="64">
        <v>0</v>
      </c>
      <c r="J937" s="22" t="s">
        <v>370</v>
      </c>
      <c r="K937" s="17">
        <v>0</v>
      </c>
      <c r="L937" s="59">
        <v>1</v>
      </c>
      <c r="M937" s="5" t="s">
        <v>3033</v>
      </c>
      <c r="N937" s="22" t="s">
        <v>2627</v>
      </c>
      <c r="P937" s="22" t="s">
        <v>349</v>
      </c>
      <c r="Q937" s="29" t="s">
        <v>371</v>
      </c>
      <c r="R937" s="17">
        <v>1</v>
      </c>
      <c r="S937" s="17">
        <v>0</v>
      </c>
      <c r="T937" s="17">
        <v>0</v>
      </c>
      <c r="U937" s="17">
        <v>1</v>
      </c>
      <c r="V937" s="17">
        <v>0</v>
      </c>
      <c r="W937" s="17">
        <v>300</v>
      </c>
      <c r="X937" s="17">
        <v>1</v>
      </c>
      <c r="Y937" s="17">
        <v>14</v>
      </c>
      <c r="Z937" s="6">
        <f t="shared" si="97"/>
        <v>315</v>
      </c>
      <c r="AA937" s="11">
        <f t="shared" si="103"/>
        <v>0.95238095238095233</v>
      </c>
      <c r="AB937" s="11">
        <f t="shared" si="104"/>
        <v>3.1746031746031746E-3</v>
      </c>
      <c r="AC937" s="66">
        <f t="shared" si="102"/>
        <v>0.95238095238095233</v>
      </c>
      <c r="AD937" s="67">
        <f t="shared" si="105"/>
        <v>0.9285714285714286</v>
      </c>
    </row>
    <row r="938" spans="1:32" ht="16" x14ac:dyDescent="0.2">
      <c r="A938" t="s">
        <v>2970</v>
      </c>
      <c r="B938" s="17">
        <v>1</v>
      </c>
      <c r="C938" s="4">
        <v>0</v>
      </c>
      <c r="D938" s="22" t="s">
        <v>372</v>
      </c>
      <c r="E938" s="58" t="s">
        <v>355</v>
      </c>
      <c r="F938" s="64">
        <f t="shared" si="96"/>
        <v>2016</v>
      </c>
      <c r="G938" s="18">
        <v>42724</v>
      </c>
      <c r="H938" s="22" t="s">
        <v>2977</v>
      </c>
      <c r="I938" s="64">
        <v>1</v>
      </c>
      <c r="J938" s="22" t="s">
        <v>373</v>
      </c>
      <c r="K938" s="17">
        <v>0</v>
      </c>
      <c r="L938" s="59">
        <v>1</v>
      </c>
      <c r="M938" t="s">
        <v>2544</v>
      </c>
      <c r="N938" s="22" t="s">
        <v>2121</v>
      </c>
      <c r="P938" s="22" t="s">
        <v>328</v>
      </c>
      <c r="Q938" s="29" t="s">
        <v>374</v>
      </c>
      <c r="R938" s="17">
        <v>1</v>
      </c>
      <c r="S938" s="17">
        <v>0</v>
      </c>
      <c r="T938" s="17">
        <v>0</v>
      </c>
      <c r="U938" s="17">
        <v>1</v>
      </c>
      <c r="V938" s="17">
        <v>1</v>
      </c>
      <c r="W938" s="17">
        <v>29</v>
      </c>
      <c r="X938" s="17">
        <v>8</v>
      </c>
      <c r="Y938" s="17">
        <v>0</v>
      </c>
      <c r="Z938" s="6">
        <f t="shared" si="97"/>
        <v>37</v>
      </c>
      <c r="AA938" s="11">
        <f t="shared" si="103"/>
        <v>0.78378378378378377</v>
      </c>
      <c r="AB938" s="11">
        <f t="shared" si="104"/>
        <v>0.21621621621621623</v>
      </c>
      <c r="AC938" s="66">
        <f t="shared" si="102"/>
        <v>0.78378378378378377</v>
      </c>
      <c r="AD938" s="67">
        <f t="shared" si="105"/>
        <v>0.67567567567567566</v>
      </c>
    </row>
    <row r="939" spans="1:32" ht="16" x14ac:dyDescent="0.2">
      <c r="A939" t="s">
        <v>2970</v>
      </c>
      <c r="B939" s="17">
        <v>1</v>
      </c>
      <c r="C939" s="4">
        <v>0</v>
      </c>
      <c r="D939" s="58" t="s">
        <v>372</v>
      </c>
      <c r="E939" s="58" t="s">
        <v>355</v>
      </c>
      <c r="F939" s="64">
        <f t="shared" si="96"/>
        <v>2018</v>
      </c>
      <c r="G939" s="28">
        <v>43124</v>
      </c>
      <c r="H939" s="22" t="s">
        <v>2977</v>
      </c>
      <c r="I939" s="64">
        <v>1</v>
      </c>
      <c r="J939" s="22" t="s">
        <v>375</v>
      </c>
      <c r="K939" s="17">
        <v>0</v>
      </c>
      <c r="L939" s="59">
        <v>1</v>
      </c>
      <c r="M939" s="22" t="s">
        <v>2542</v>
      </c>
      <c r="N939" s="48" t="s">
        <v>2629</v>
      </c>
      <c r="P939" s="22" t="s">
        <v>331</v>
      </c>
      <c r="Q939" s="29" t="s">
        <v>376</v>
      </c>
      <c r="R939" s="17">
        <v>1</v>
      </c>
      <c r="S939" s="17">
        <v>0</v>
      </c>
      <c r="T939" s="17">
        <v>0</v>
      </c>
      <c r="U939" s="17">
        <v>1</v>
      </c>
      <c r="V939" s="17">
        <v>1</v>
      </c>
      <c r="W939" s="64">
        <v>25</v>
      </c>
      <c r="X939" s="64">
        <v>0</v>
      </c>
      <c r="Y939" s="64">
        <v>7</v>
      </c>
      <c r="Z939" s="6">
        <f t="shared" si="97"/>
        <v>32</v>
      </c>
      <c r="AA939" s="11">
        <f t="shared" si="103"/>
        <v>0.78125</v>
      </c>
      <c r="AB939" s="11">
        <f t="shared" si="104"/>
        <v>0</v>
      </c>
      <c r="AC939" s="66">
        <f t="shared" si="102"/>
        <v>0.78125</v>
      </c>
      <c r="AD939" s="67">
        <f t="shared" si="105"/>
        <v>0.671875</v>
      </c>
    </row>
    <row r="940" spans="1:32" ht="16" x14ac:dyDescent="0.2">
      <c r="A940" s="21" t="s">
        <v>2957</v>
      </c>
      <c r="B940" s="17">
        <v>1</v>
      </c>
      <c r="C940" s="17">
        <v>0</v>
      </c>
      <c r="D940" s="22" t="s">
        <v>1695</v>
      </c>
      <c r="E940" s="22" t="s">
        <v>1696</v>
      </c>
      <c r="F940" s="106">
        <f t="shared" si="96"/>
        <v>1990</v>
      </c>
      <c r="G940" s="18">
        <v>33121</v>
      </c>
      <c r="H940" s="22" t="s">
        <v>2958</v>
      </c>
      <c r="I940" s="64">
        <v>0</v>
      </c>
      <c r="J940" s="107" t="s">
        <v>1697</v>
      </c>
      <c r="K940" s="17">
        <v>0</v>
      </c>
      <c r="L940" s="59">
        <v>1</v>
      </c>
      <c r="M940" t="s">
        <v>23</v>
      </c>
      <c r="N940" s="48" t="s">
        <v>2121</v>
      </c>
      <c r="P940" s="22" t="s">
        <v>1698</v>
      </c>
      <c r="Q940" s="29" t="s">
        <v>1699</v>
      </c>
      <c r="R940" s="17">
        <v>0</v>
      </c>
      <c r="S940" s="17">
        <v>0</v>
      </c>
      <c r="T940" s="17">
        <v>1</v>
      </c>
      <c r="U940" s="17">
        <v>1</v>
      </c>
      <c r="V940" s="17">
        <v>0</v>
      </c>
      <c r="W940" s="17">
        <v>246</v>
      </c>
      <c r="X940" s="17">
        <v>136</v>
      </c>
      <c r="Y940" s="108">
        <v>0</v>
      </c>
      <c r="Z940" s="17">
        <f t="shared" si="97"/>
        <v>382</v>
      </c>
      <c r="AA940" s="11">
        <f t="shared" si="103"/>
        <v>0.64397905759162299</v>
      </c>
      <c r="AB940" s="11">
        <f t="shared" si="104"/>
        <v>0.35602094240837695</v>
      </c>
      <c r="AC940" s="66">
        <f t="shared" si="102"/>
        <v>0.64397905759162299</v>
      </c>
      <c r="AD940" s="67">
        <f t="shared" si="105"/>
        <v>0.46596858638743455</v>
      </c>
    </row>
    <row r="941" spans="1:32" ht="16" x14ac:dyDescent="0.2">
      <c r="A941" s="21" t="s">
        <v>2957</v>
      </c>
      <c r="B941" s="17">
        <v>1</v>
      </c>
      <c r="C941" s="17">
        <v>0</v>
      </c>
      <c r="D941" s="22" t="s">
        <v>1695</v>
      </c>
      <c r="E941" s="58" t="s">
        <v>1696</v>
      </c>
      <c r="F941" s="106">
        <f t="shared" ref="F941:F982" si="106">YEAR(G941)</f>
        <v>1991</v>
      </c>
      <c r="G941" s="18">
        <v>33255</v>
      </c>
      <c r="H941" s="22" t="s">
        <v>2958</v>
      </c>
      <c r="I941" s="64">
        <v>0</v>
      </c>
      <c r="J941" s="107" t="s">
        <v>1700</v>
      </c>
      <c r="K941" s="17">
        <v>0</v>
      </c>
      <c r="L941" s="59">
        <v>1</v>
      </c>
      <c r="M941" t="s">
        <v>2596</v>
      </c>
      <c r="N941" t="s">
        <v>2121</v>
      </c>
      <c r="P941" s="22" t="s">
        <v>1701</v>
      </c>
      <c r="Q941" s="29" t="s">
        <v>1702</v>
      </c>
      <c r="R941" s="17">
        <v>1</v>
      </c>
      <c r="S941" s="17">
        <v>0</v>
      </c>
      <c r="T941" s="17">
        <v>0</v>
      </c>
      <c r="U941" s="17">
        <v>1</v>
      </c>
      <c r="V941" s="17">
        <v>0</v>
      </c>
      <c r="W941" s="17">
        <v>250</v>
      </c>
      <c r="X941" s="17">
        <v>148</v>
      </c>
      <c r="Y941" s="17">
        <v>1</v>
      </c>
      <c r="Z941" s="17">
        <f t="shared" si="97"/>
        <v>399</v>
      </c>
      <c r="AA941" s="11">
        <f t="shared" si="103"/>
        <v>0.62656641604010022</v>
      </c>
      <c r="AB941" s="11">
        <f t="shared" si="104"/>
        <v>0.37092731829573933</v>
      </c>
      <c r="AC941" s="66">
        <f t="shared" si="102"/>
        <v>0.62656641604010022</v>
      </c>
      <c r="AD941" s="67">
        <f t="shared" si="105"/>
        <v>0.43984962406015038</v>
      </c>
    </row>
    <row r="942" spans="1:32" ht="16" x14ac:dyDescent="0.2">
      <c r="A942" s="21" t="s">
        <v>2957</v>
      </c>
      <c r="B942" s="17">
        <v>1</v>
      </c>
      <c r="C942" s="17">
        <v>0</v>
      </c>
      <c r="D942" s="22" t="s">
        <v>1703</v>
      </c>
      <c r="E942" s="22" t="s">
        <v>1704</v>
      </c>
      <c r="F942" s="106">
        <f t="shared" si="106"/>
        <v>1992</v>
      </c>
      <c r="G942" s="18">
        <v>33781</v>
      </c>
      <c r="H942" s="22" t="s">
        <v>2958</v>
      </c>
      <c r="I942" s="64">
        <v>0</v>
      </c>
      <c r="J942" s="107" t="s">
        <v>1705</v>
      </c>
      <c r="K942" s="17">
        <v>0</v>
      </c>
      <c r="L942" s="59">
        <v>1</v>
      </c>
      <c r="M942" t="s">
        <v>2597</v>
      </c>
      <c r="N942" t="s">
        <v>2121</v>
      </c>
      <c r="P942" s="22" t="s">
        <v>1706</v>
      </c>
      <c r="Q942" s="29" t="s">
        <v>1707</v>
      </c>
      <c r="R942" s="17">
        <v>1</v>
      </c>
      <c r="S942" s="17">
        <v>0</v>
      </c>
      <c r="T942" s="17">
        <v>0</v>
      </c>
      <c r="U942" s="17">
        <v>1</v>
      </c>
      <c r="V942" s="17">
        <v>0</v>
      </c>
      <c r="W942" s="17">
        <v>226</v>
      </c>
      <c r="X942" s="17">
        <v>133</v>
      </c>
      <c r="Y942" s="17">
        <v>0</v>
      </c>
      <c r="Z942" s="17">
        <f t="shared" si="97"/>
        <v>359</v>
      </c>
      <c r="AA942" s="11">
        <f t="shared" si="103"/>
        <v>0.62952646239554322</v>
      </c>
      <c r="AB942" s="11">
        <f t="shared" si="104"/>
        <v>0.37047353760445684</v>
      </c>
      <c r="AC942" s="66">
        <f t="shared" si="102"/>
        <v>0.62952646239554322</v>
      </c>
      <c r="AD942" s="67">
        <f t="shared" si="105"/>
        <v>0.44428969359331477</v>
      </c>
    </row>
    <row r="943" spans="1:32" ht="16" x14ac:dyDescent="0.2">
      <c r="A943" s="21" t="s">
        <v>2957</v>
      </c>
      <c r="B943" s="17">
        <v>1</v>
      </c>
      <c r="C943" s="17">
        <v>0</v>
      </c>
      <c r="D943" s="22" t="s">
        <v>1703</v>
      </c>
      <c r="E943" s="22" t="s">
        <v>1704</v>
      </c>
      <c r="F943" s="106">
        <f t="shared" si="106"/>
        <v>1992</v>
      </c>
      <c r="G943" s="18">
        <v>33946</v>
      </c>
      <c r="H943" s="22" t="s">
        <v>2958</v>
      </c>
      <c r="I943" s="64">
        <v>0</v>
      </c>
      <c r="J943" s="107" t="s">
        <v>1711</v>
      </c>
      <c r="K943" s="17">
        <v>0</v>
      </c>
      <c r="L943" s="59">
        <v>1</v>
      </c>
      <c r="M943" t="s">
        <v>2598</v>
      </c>
      <c r="N943" t="s">
        <v>2629</v>
      </c>
      <c r="P943" s="22" t="s">
        <v>1712</v>
      </c>
      <c r="Q943" s="29" t="s">
        <v>1713</v>
      </c>
      <c r="R943" s="17">
        <v>1</v>
      </c>
      <c r="S943" s="17">
        <v>0</v>
      </c>
      <c r="T943" s="17">
        <v>0</v>
      </c>
      <c r="U943" s="17">
        <v>1</v>
      </c>
      <c r="V943" s="17">
        <v>0</v>
      </c>
      <c r="W943" s="17">
        <v>266</v>
      </c>
      <c r="X943" s="17">
        <v>43</v>
      </c>
      <c r="Y943" s="17">
        <v>0</v>
      </c>
      <c r="Z943" s="17">
        <f t="shared" si="97"/>
        <v>309</v>
      </c>
      <c r="AA943" s="11">
        <f t="shared" si="103"/>
        <v>0.86084142394822005</v>
      </c>
      <c r="AB943" s="11">
        <f t="shared" si="104"/>
        <v>0.13915857605177995</v>
      </c>
      <c r="AC943" s="66">
        <f t="shared" si="102"/>
        <v>0.86084142394822005</v>
      </c>
      <c r="AD943" s="67">
        <f t="shared" si="105"/>
        <v>0.79126213592233008</v>
      </c>
    </row>
    <row r="944" spans="1:32" ht="16" x14ac:dyDescent="0.2">
      <c r="A944" s="21" t="s">
        <v>2957</v>
      </c>
      <c r="B944" s="17">
        <v>1</v>
      </c>
      <c r="C944" s="17">
        <v>0</v>
      </c>
      <c r="D944" s="22" t="s">
        <v>1703</v>
      </c>
      <c r="E944" s="22" t="s">
        <v>1704</v>
      </c>
      <c r="F944" s="106">
        <f t="shared" si="106"/>
        <v>1992</v>
      </c>
      <c r="G944" s="18">
        <v>33946</v>
      </c>
      <c r="H944" s="22" t="s">
        <v>2958</v>
      </c>
      <c r="I944" s="64">
        <v>0</v>
      </c>
      <c r="J944" s="107" t="s">
        <v>1711</v>
      </c>
      <c r="K944" s="17">
        <v>0</v>
      </c>
      <c r="L944" s="59">
        <v>1</v>
      </c>
      <c r="M944" t="s">
        <v>2558</v>
      </c>
      <c r="N944" s="5" t="s">
        <v>2630</v>
      </c>
      <c r="P944" s="22" t="s">
        <v>1712</v>
      </c>
      <c r="Q944" s="29" t="s">
        <v>1713</v>
      </c>
      <c r="R944" s="17">
        <v>1</v>
      </c>
      <c r="S944" s="17">
        <v>0</v>
      </c>
      <c r="T944" s="17">
        <v>0</v>
      </c>
      <c r="U944" s="17">
        <v>1</v>
      </c>
      <c r="V944" s="17">
        <v>0</v>
      </c>
      <c r="W944" s="17">
        <v>317</v>
      </c>
      <c r="X944" s="17">
        <v>0</v>
      </c>
      <c r="Y944" s="17">
        <v>1</v>
      </c>
      <c r="Z944" s="17">
        <f t="shared" si="97"/>
        <v>318</v>
      </c>
      <c r="AA944" s="11">
        <f t="shared" si="103"/>
        <v>0.99685534591194969</v>
      </c>
      <c r="AB944" s="11">
        <f t="shared" si="104"/>
        <v>0</v>
      </c>
      <c r="AC944" s="66">
        <f t="shared" si="102"/>
        <v>0.99685534591194969</v>
      </c>
      <c r="AD944" s="67">
        <f t="shared" si="105"/>
        <v>0.99528301886792447</v>
      </c>
    </row>
    <row r="945" spans="1:30" ht="16" x14ac:dyDescent="0.2">
      <c r="A945" s="21" t="s">
        <v>2957</v>
      </c>
      <c r="B945" s="17">
        <v>1</v>
      </c>
      <c r="C945" s="17">
        <v>0</v>
      </c>
      <c r="D945" s="22" t="s">
        <v>1703</v>
      </c>
      <c r="E945" s="22" t="s">
        <v>1704</v>
      </c>
      <c r="F945" s="106">
        <f t="shared" si="106"/>
        <v>1992</v>
      </c>
      <c r="G945" s="18">
        <v>33962</v>
      </c>
      <c r="H945" s="22" t="s">
        <v>2958</v>
      </c>
      <c r="I945" s="64">
        <v>0</v>
      </c>
      <c r="J945" s="107" t="s">
        <v>1708</v>
      </c>
      <c r="K945" s="17">
        <v>0</v>
      </c>
      <c r="L945" s="59">
        <v>1</v>
      </c>
      <c r="M945" t="s">
        <v>2597</v>
      </c>
      <c r="N945" t="s">
        <v>2121</v>
      </c>
      <c r="P945" s="22" t="s">
        <v>1709</v>
      </c>
      <c r="Q945" s="29" t="s">
        <v>1710</v>
      </c>
      <c r="R945" s="17">
        <v>1</v>
      </c>
      <c r="S945" s="17">
        <v>0</v>
      </c>
      <c r="T945" s="17">
        <v>0</v>
      </c>
      <c r="U945" s="17">
        <v>1</v>
      </c>
      <c r="V945" s="17">
        <v>1</v>
      </c>
      <c r="W945" s="17">
        <v>234</v>
      </c>
      <c r="X945" s="17">
        <v>157</v>
      </c>
      <c r="Y945" s="17">
        <v>0</v>
      </c>
      <c r="Z945" s="17">
        <f t="shared" si="97"/>
        <v>391</v>
      </c>
      <c r="AA945" s="11">
        <f t="shared" si="103"/>
        <v>0.59846547314578002</v>
      </c>
      <c r="AB945" s="11">
        <f t="shared" si="104"/>
        <v>0.40153452685421998</v>
      </c>
      <c r="AC945" s="66">
        <f t="shared" si="102"/>
        <v>0.59846547314578002</v>
      </c>
      <c r="AD945" s="67">
        <f t="shared" si="105"/>
        <v>0.39769820971867009</v>
      </c>
    </row>
    <row r="946" spans="1:30" ht="16" x14ac:dyDescent="0.2">
      <c r="A946" s="21" t="s">
        <v>2957</v>
      </c>
      <c r="B946" s="17">
        <v>1</v>
      </c>
      <c r="C946" s="17">
        <v>0</v>
      </c>
      <c r="D946" s="5" t="s">
        <v>1714</v>
      </c>
      <c r="E946" s="22" t="s">
        <v>1704</v>
      </c>
      <c r="F946" s="106">
        <f t="shared" si="106"/>
        <v>1993</v>
      </c>
      <c r="G946" s="18">
        <v>34144</v>
      </c>
      <c r="H946" s="22" t="s">
        <v>2958</v>
      </c>
      <c r="I946" s="64">
        <v>0</v>
      </c>
      <c r="J946" s="107" t="s">
        <v>1715</v>
      </c>
      <c r="K946" s="17">
        <v>0</v>
      </c>
      <c r="L946" s="17">
        <v>0</v>
      </c>
      <c r="M946" t="s">
        <v>2597</v>
      </c>
      <c r="N946" t="s">
        <v>2121</v>
      </c>
      <c r="P946" s="22" t="s">
        <v>1716</v>
      </c>
      <c r="Q946" s="29" t="s">
        <v>1717</v>
      </c>
      <c r="R946" s="17">
        <v>1</v>
      </c>
      <c r="S946" s="17">
        <v>0</v>
      </c>
      <c r="T946" s="17">
        <v>0</v>
      </c>
      <c r="U946" s="17">
        <v>1</v>
      </c>
      <c r="V946" s="17">
        <v>1</v>
      </c>
      <c r="W946" s="17" t="s">
        <v>26</v>
      </c>
      <c r="X946" s="17" t="s">
        <v>26</v>
      </c>
      <c r="Y946" s="17" t="s">
        <v>26</v>
      </c>
      <c r="AA946" s="92"/>
      <c r="AB946" s="92"/>
      <c r="AC946" s="93"/>
      <c r="AD946" s="67"/>
    </row>
    <row r="947" spans="1:30" ht="16" x14ac:dyDescent="0.2">
      <c r="A947" s="21" t="s">
        <v>2957</v>
      </c>
      <c r="B947" s="17">
        <v>1</v>
      </c>
      <c r="C947" s="17">
        <v>0</v>
      </c>
      <c r="D947" s="5" t="s">
        <v>1718</v>
      </c>
      <c r="E947" s="22" t="s">
        <v>1704</v>
      </c>
      <c r="F947" s="106">
        <f t="shared" si="106"/>
        <v>1993</v>
      </c>
      <c r="G947" s="18">
        <v>34331</v>
      </c>
      <c r="H947" s="22" t="s">
        <v>2958</v>
      </c>
      <c r="I947" s="64">
        <v>0</v>
      </c>
      <c r="J947" s="107" t="s">
        <v>1719</v>
      </c>
      <c r="K947" s="17">
        <v>0</v>
      </c>
      <c r="L947" s="59">
        <v>1</v>
      </c>
      <c r="M947" t="s">
        <v>2597</v>
      </c>
      <c r="N947" t="s">
        <v>2121</v>
      </c>
      <c r="P947" s="22" t="s">
        <v>1720</v>
      </c>
      <c r="Q947" s="29" t="s">
        <v>1721</v>
      </c>
      <c r="R947" s="17">
        <v>1</v>
      </c>
      <c r="S947" s="17">
        <v>0</v>
      </c>
      <c r="T947" s="17">
        <v>0</v>
      </c>
      <c r="U947" s="17">
        <v>1</v>
      </c>
      <c r="V947" s="17">
        <v>1</v>
      </c>
      <c r="W947" s="17">
        <v>194</v>
      </c>
      <c r="X947" s="17">
        <v>160</v>
      </c>
      <c r="Y947" s="17">
        <v>2</v>
      </c>
      <c r="Z947" s="17">
        <f t="shared" ref="Z947:Z953" si="107">SUM(W947:Y947)</f>
        <v>356</v>
      </c>
      <c r="AA947" s="11">
        <f t="shared" ref="AA947:AA953" si="108">W947/Z947</f>
        <v>0.5449438202247191</v>
      </c>
      <c r="AB947" s="11">
        <f t="shared" ref="AB947:AB953" si="109">X947/Z947</f>
        <v>0.449438202247191</v>
      </c>
      <c r="AC947" s="66">
        <f t="shared" ref="AC947:AC953" si="110">IF(K947=1,AB947,AA947)</f>
        <v>0.5449438202247191</v>
      </c>
      <c r="AD947" s="67">
        <f t="shared" ref="AD947:AD953" si="111">SUM((MAX(W947,X947,Y947)-0.5*(SUM(W947+X947+Y947)-MAX(W947,X947,Y947)))/SUM(W947+X947+Y947))</f>
        <v>0.31741573033707865</v>
      </c>
    </row>
    <row r="948" spans="1:30" ht="16" x14ac:dyDescent="0.2">
      <c r="A948" s="21" t="s">
        <v>2957</v>
      </c>
      <c r="B948" s="17">
        <v>1</v>
      </c>
      <c r="C948" s="17">
        <v>0</v>
      </c>
      <c r="D948" s="5" t="s">
        <v>1718</v>
      </c>
      <c r="E948" s="22" t="s">
        <v>1704</v>
      </c>
      <c r="F948" s="106">
        <f t="shared" si="106"/>
        <v>1994</v>
      </c>
      <c r="G948" s="18">
        <v>34499</v>
      </c>
      <c r="H948" s="22" t="s">
        <v>2958</v>
      </c>
      <c r="I948" s="64">
        <v>0</v>
      </c>
      <c r="J948" s="107" t="s">
        <v>1722</v>
      </c>
      <c r="K948" s="17">
        <v>0</v>
      </c>
      <c r="L948" s="59">
        <v>1</v>
      </c>
      <c r="M948" t="s">
        <v>2597</v>
      </c>
      <c r="N948" t="s">
        <v>2121</v>
      </c>
      <c r="P948" s="22" t="s">
        <v>1723</v>
      </c>
      <c r="Q948" s="29" t="s">
        <v>1724</v>
      </c>
      <c r="R948" s="17">
        <v>1</v>
      </c>
      <c r="S948" s="17">
        <v>0</v>
      </c>
      <c r="T948" s="17">
        <v>0</v>
      </c>
      <c r="U948" s="17">
        <v>1</v>
      </c>
      <c r="V948" s="17">
        <v>1</v>
      </c>
      <c r="W948" s="17">
        <v>192</v>
      </c>
      <c r="X948" s="17">
        <v>146</v>
      </c>
      <c r="Y948" s="17">
        <v>0</v>
      </c>
      <c r="Z948" s="17">
        <f t="shared" si="107"/>
        <v>338</v>
      </c>
      <c r="AA948" s="11">
        <f t="shared" si="108"/>
        <v>0.56804733727810652</v>
      </c>
      <c r="AB948" s="11">
        <f t="shared" si="109"/>
        <v>0.43195266272189348</v>
      </c>
      <c r="AC948" s="66">
        <f t="shared" si="110"/>
        <v>0.56804733727810652</v>
      </c>
      <c r="AD948" s="67">
        <f t="shared" si="111"/>
        <v>0.35207100591715978</v>
      </c>
    </row>
    <row r="949" spans="1:30" ht="16" x14ac:dyDescent="0.2">
      <c r="A949" s="21" t="s">
        <v>2957</v>
      </c>
      <c r="B949" s="17">
        <v>1</v>
      </c>
      <c r="C949" s="17">
        <v>0</v>
      </c>
      <c r="D949" s="5" t="s">
        <v>1718</v>
      </c>
      <c r="E949" s="22" t="s">
        <v>1704</v>
      </c>
      <c r="F949" s="106">
        <f t="shared" si="106"/>
        <v>1994</v>
      </c>
      <c r="G949" s="18">
        <v>34696</v>
      </c>
      <c r="H949" s="22" t="s">
        <v>2958</v>
      </c>
      <c r="I949" s="64">
        <v>0</v>
      </c>
      <c r="J949" s="107" t="s">
        <v>1725</v>
      </c>
      <c r="K949" s="17">
        <v>0</v>
      </c>
      <c r="L949" s="59">
        <v>1</v>
      </c>
      <c r="M949" t="s">
        <v>2597</v>
      </c>
      <c r="N949" t="s">
        <v>2121</v>
      </c>
      <c r="P949" s="22" t="s">
        <v>1726</v>
      </c>
      <c r="Q949" s="29" t="s">
        <v>1727</v>
      </c>
      <c r="R949" s="17">
        <v>1</v>
      </c>
      <c r="S949" s="17">
        <v>0</v>
      </c>
      <c r="T949" s="17">
        <v>0</v>
      </c>
      <c r="U949" s="17">
        <v>1</v>
      </c>
      <c r="V949" s="17">
        <v>1</v>
      </c>
      <c r="W949" s="17">
        <v>196</v>
      </c>
      <c r="X949" s="17">
        <v>160</v>
      </c>
      <c r="Y949" s="17">
        <v>0</v>
      </c>
      <c r="Z949" s="17">
        <f t="shared" si="107"/>
        <v>356</v>
      </c>
      <c r="AA949" s="11">
        <f t="shared" si="108"/>
        <v>0.550561797752809</v>
      </c>
      <c r="AB949" s="11">
        <f t="shared" si="109"/>
        <v>0.449438202247191</v>
      </c>
      <c r="AC949" s="66">
        <f t="shared" si="110"/>
        <v>0.550561797752809</v>
      </c>
      <c r="AD949" s="67">
        <f t="shared" si="111"/>
        <v>0.3258426966292135</v>
      </c>
    </row>
    <row r="950" spans="1:30" ht="16" x14ac:dyDescent="0.2">
      <c r="A950" s="21" t="s">
        <v>2957</v>
      </c>
      <c r="B950" s="17">
        <v>1</v>
      </c>
      <c r="C950" s="17">
        <v>0</v>
      </c>
      <c r="D950" s="5" t="s">
        <v>1718</v>
      </c>
      <c r="E950" s="22" t="s">
        <v>1704</v>
      </c>
      <c r="F950" s="106">
        <f t="shared" si="106"/>
        <v>1995</v>
      </c>
      <c r="G950" s="18">
        <v>34877</v>
      </c>
      <c r="H950" s="22" t="s">
        <v>2958</v>
      </c>
      <c r="I950" s="64">
        <v>0</v>
      </c>
      <c r="J950" s="107" t="s">
        <v>1728</v>
      </c>
      <c r="K950" s="17">
        <v>0</v>
      </c>
      <c r="L950" s="59">
        <v>1</v>
      </c>
      <c r="M950" t="s">
        <v>2597</v>
      </c>
      <c r="N950" t="s">
        <v>2121</v>
      </c>
      <c r="P950" s="22" t="s">
        <v>1729</v>
      </c>
      <c r="Q950" s="29" t="s">
        <v>1730</v>
      </c>
      <c r="R950" s="17">
        <v>1</v>
      </c>
      <c r="S950" s="17">
        <v>0</v>
      </c>
      <c r="T950" s="17">
        <v>0</v>
      </c>
      <c r="U950" s="17">
        <v>1</v>
      </c>
      <c r="V950" s="17">
        <v>1</v>
      </c>
      <c r="W950" s="17">
        <v>200</v>
      </c>
      <c r="X950" s="17">
        <v>151</v>
      </c>
      <c r="Y950" s="17">
        <v>0</v>
      </c>
      <c r="Z950" s="17">
        <f t="shared" si="107"/>
        <v>351</v>
      </c>
      <c r="AA950" s="11">
        <f t="shared" si="108"/>
        <v>0.56980056980056981</v>
      </c>
      <c r="AB950" s="11">
        <f t="shared" si="109"/>
        <v>0.43019943019943019</v>
      </c>
      <c r="AC950" s="66">
        <f t="shared" si="110"/>
        <v>0.56980056980056981</v>
      </c>
      <c r="AD950" s="67">
        <f t="shared" si="111"/>
        <v>0.35470085470085472</v>
      </c>
    </row>
    <row r="951" spans="1:30" ht="16" x14ac:dyDescent="0.2">
      <c r="A951" s="21" t="s">
        <v>2957</v>
      </c>
      <c r="B951" s="17">
        <v>1</v>
      </c>
      <c r="C951" s="17">
        <v>0</v>
      </c>
      <c r="D951" s="5" t="s">
        <v>1731</v>
      </c>
      <c r="E951" s="22" t="s">
        <v>1732</v>
      </c>
      <c r="F951" s="106">
        <f t="shared" si="106"/>
        <v>1995</v>
      </c>
      <c r="G951" s="18">
        <v>35000</v>
      </c>
      <c r="H951" s="22" t="s">
        <v>2958</v>
      </c>
      <c r="I951" s="64">
        <v>0</v>
      </c>
      <c r="J951" s="107" t="s">
        <v>1733</v>
      </c>
      <c r="K951" s="17">
        <v>0</v>
      </c>
      <c r="L951" s="59">
        <v>1</v>
      </c>
      <c r="M951" t="s">
        <v>2597</v>
      </c>
      <c r="N951" t="s">
        <v>2121</v>
      </c>
      <c r="P951" s="22" t="s">
        <v>1734</v>
      </c>
      <c r="Q951" s="29" t="s">
        <v>1735</v>
      </c>
      <c r="R951" s="17">
        <v>1</v>
      </c>
      <c r="S951" s="17">
        <v>0</v>
      </c>
      <c r="T951" s="17">
        <v>0</v>
      </c>
      <c r="U951" s="17">
        <v>1</v>
      </c>
      <c r="V951" s="17">
        <v>1</v>
      </c>
      <c r="W951" s="17">
        <v>165</v>
      </c>
      <c r="X951" s="17">
        <v>111</v>
      </c>
      <c r="Y951" s="17">
        <v>1</v>
      </c>
      <c r="Z951" s="17">
        <f t="shared" si="107"/>
        <v>277</v>
      </c>
      <c r="AA951" s="11">
        <f t="shared" si="108"/>
        <v>0.59566787003610111</v>
      </c>
      <c r="AB951" s="11">
        <f t="shared" si="109"/>
        <v>0.4007220216606498</v>
      </c>
      <c r="AC951" s="66">
        <f t="shared" si="110"/>
        <v>0.59566787003610111</v>
      </c>
      <c r="AD951" s="67">
        <f t="shared" si="111"/>
        <v>0.39350180505415161</v>
      </c>
    </row>
    <row r="952" spans="1:30" ht="16" x14ac:dyDescent="0.2">
      <c r="A952" s="21" t="s">
        <v>2957</v>
      </c>
      <c r="B952" s="17">
        <v>1</v>
      </c>
      <c r="C952" s="17">
        <v>0</v>
      </c>
      <c r="D952" s="5" t="s">
        <v>1736</v>
      </c>
      <c r="E952" s="22" t="s">
        <v>2519</v>
      </c>
      <c r="F952" s="106">
        <f t="shared" si="106"/>
        <v>1996</v>
      </c>
      <c r="G952" s="18">
        <v>35152</v>
      </c>
      <c r="H952" s="22" t="s">
        <v>2958</v>
      </c>
      <c r="I952" s="64">
        <v>0</v>
      </c>
      <c r="J952" s="107" t="s">
        <v>1737</v>
      </c>
      <c r="K952" s="17">
        <v>0</v>
      </c>
      <c r="L952" s="59">
        <v>1</v>
      </c>
      <c r="M952" t="s">
        <v>2597</v>
      </c>
      <c r="N952" t="s">
        <v>2121</v>
      </c>
      <c r="P952" s="22" t="s">
        <v>1738</v>
      </c>
      <c r="Q952" s="29" t="s">
        <v>1739</v>
      </c>
      <c r="R952" s="17">
        <v>1</v>
      </c>
      <c r="S952" s="17">
        <v>0</v>
      </c>
      <c r="T952" s="17">
        <v>0</v>
      </c>
      <c r="U952" s="17">
        <v>1</v>
      </c>
      <c r="V952" s="17">
        <v>1</v>
      </c>
      <c r="W952" s="17">
        <v>230</v>
      </c>
      <c r="X952" s="17">
        <v>196</v>
      </c>
      <c r="Y952" s="17">
        <v>69</v>
      </c>
      <c r="Z952" s="17">
        <f t="shared" si="107"/>
        <v>495</v>
      </c>
      <c r="AA952" s="11">
        <f t="shared" si="108"/>
        <v>0.46464646464646464</v>
      </c>
      <c r="AB952" s="11">
        <f t="shared" si="109"/>
        <v>0.39595959595959596</v>
      </c>
      <c r="AC952" s="66">
        <f t="shared" si="110"/>
        <v>0.46464646464646464</v>
      </c>
      <c r="AD952" s="67">
        <f t="shared" si="111"/>
        <v>0.19696969696969696</v>
      </c>
    </row>
    <row r="953" spans="1:30" ht="16" x14ac:dyDescent="0.2">
      <c r="A953" s="21" t="s">
        <v>2957</v>
      </c>
      <c r="B953" s="17">
        <v>1</v>
      </c>
      <c r="C953" s="17">
        <v>0</v>
      </c>
      <c r="D953" s="5" t="s">
        <v>1736</v>
      </c>
      <c r="E953" s="22" t="s">
        <v>2519</v>
      </c>
      <c r="F953" s="106">
        <f t="shared" si="106"/>
        <v>1996</v>
      </c>
      <c r="G953" s="18">
        <v>35234</v>
      </c>
      <c r="H953" s="22" t="s">
        <v>2958</v>
      </c>
      <c r="I953" s="64">
        <v>0</v>
      </c>
      <c r="J953" s="107" t="s">
        <v>1740</v>
      </c>
      <c r="K953" s="17">
        <v>0</v>
      </c>
      <c r="L953" s="59">
        <v>1</v>
      </c>
      <c r="M953" t="s">
        <v>2597</v>
      </c>
      <c r="N953" t="s">
        <v>2121</v>
      </c>
      <c r="P953" s="22" t="s">
        <v>1741</v>
      </c>
      <c r="Q953" s="29" t="s">
        <v>1742</v>
      </c>
      <c r="R953" s="17">
        <v>1</v>
      </c>
      <c r="S953" s="17">
        <v>0</v>
      </c>
      <c r="T953" s="17">
        <v>0</v>
      </c>
      <c r="U953" s="17">
        <v>1</v>
      </c>
      <c r="V953" s="17">
        <v>1</v>
      </c>
      <c r="W953" s="17">
        <v>249</v>
      </c>
      <c r="X953" s="17">
        <v>195</v>
      </c>
      <c r="Y953" s="17">
        <v>0</v>
      </c>
      <c r="Z953" s="17">
        <f t="shared" si="107"/>
        <v>444</v>
      </c>
      <c r="AA953" s="11">
        <f t="shared" si="108"/>
        <v>0.56081081081081086</v>
      </c>
      <c r="AB953" s="11">
        <f t="shared" si="109"/>
        <v>0.4391891891891892</v>
      </c>
      <c r="AC953" s="66">
        <f t="shared" si="110"/>
        <v>0.56081081081081086</v>
      </c>
      <c r="AD953" s="67">
        <f t="shared" si="111"/>
        <v>0.34121621621621623</v>
      </c>
    </row>
    <row r="954" spans="1:30" ht="16" x14ac:dyDescent="0.2">
      <c r="A954" s="21" t="s">
        <v>2957</v>
      </c>
      <c r="B954" s="17">
        <v>1</v>
      </c>
      <c r="C954" s="17">
        <v>0</v>
      </c>
      <c r="D954" s="22" t="s">
        <v>1743</v>
      </c>
      <c r="E954" s="22" t="s">
        <v>1744</v>
      </c>
      <c r="F954" s="106">
        <f t="shared" si="106"/>
        <v>1996</v>
      </c>
      <c r="G954" s="18">
        <v>35276</v>
      </c>
      <c r="H954" s="22" t="s">
        <v>2958</v>
      </c>
      <c r="I954" s="64">
        <v>0</v>
      </c>
      <c r="J954" s="107" t="s">
        <v>1745</v>
      </c>
      <c r="K954" s="17">
        <v>0</v>
      </c>
      <c r="L954" s="17">
        <v>0</v>
      </c>
      <c r="M954" t="s">
        <v>2597</v>
      </c>
      <c r="N954" t="s">
        <v>2121</v>
      </c>
      <c r="P954" s="22" t="s">
        <v>1746</v>
      </c>
      <c r="Q954" s="29" t="s">
        <v>1747</v>
      </c>
      <c r="R954" s="17">
        <v>1</v>
      </c>
      <c r="S954" s="17">
        <v>0</v>
      </c>
      <c r="T954" s="17">
        <v>0</v>
      </c>
      <c r="U954" s="17">
        <v>1</v>
      </c>
      <c r="V954" s="17">
        <v>1</v>
      </c>
      <c r="W954" s="17" t="s">
        <v>26</v>
      </c>
      <c r="X954" s="17" t="s">
        <v>26</v>
      </c>
      <c r="Y954" s="17" t="s">
        <v>26</v>
      </c>
      <c r="AA954" s="92"/>
      <c r="AB954" s="92"/>
      <c r="AC954" s="93"/>
      <c r="AD954" s="67"/>
    </row>
    <row r="955" spans="1:30" ht="16" x14ac:dyDescent="0.2">
      <c r="A955" s="21" t="s">
        <v>2957</v>
      </c>
      <c r="B955" s="17">
        <v>1</v>
      </c>
      <c r="C955" s="17">
        <v>0</v>
      </c>
      <c r="D955" s="22" t="s">
        <v>1743</v>
      </c>
      <c r="E955" s="22" t="s">
        <v>1744</v>
      </c>
      <c r="F955" s="106">
        <f t="shared" si="106"/>
        <v>1996</v>
      </c>
      <c r="G955" s="18">
        <v>35424</v>
      </c>
      <c r="H955" s="22" t="s">
        <v>2958</v>
      </c>
      <c r="I955" s="64">
        <v>0</v>
      </c>
      <c r="J955" s="107" t="s">
        <v>1748</v>
      </c>
      <c r="K955" s="17">
        <v>0</v>
      </c>
      <c r="L955" s="59">
        <v>1</v>
      </c>
      <c r="M955" t="s">
        <v>2595</v>
      </c>
      <c r="N955" s="24" t="s">
        <v>2121</v>
      </c>
      <c r="P955" s="22" t="s">
        <v>1749</v>
      </c>
      <c r="Q955" s="29" t="s">
        <v>1750</v>
      </c>
      <c r="R955" s="17">
        <v>1</v>
      </c>
      <c r="S955" s="17">
        <v>0</v>
      </c>
      <c r="T955" s="17">
        <v>0</v>
      </c>
      <c r="U955" s="17">
        <v>1</v>
      </c>
      <c r="V955" s="17">
        <v>0</v>
      </c>
      <c r="W955" s="17">
        <v>253</v>
      </c>
      <c r="X955" s="17">
        <v>217</v>
      </c>
      <c r="Y955" s="17">
        <v>0</v>
      </c>
      <c r="Z955" s="17">
        <f>SUM(W955:Y955)</f>
        <v>470</v>
      </c>
      <c r="AA955" s="11">
        <f>W955/Z955</f>
        <v>0.53829787234042559</v>
      </c>
      <c r="AB955" s="11">
        <f>X955/Z955</f>
        <v>0.46170212765957447</v>
      </c>
      <c r="AC955" s="66">
        <f>IF(K955=1,AB955,AA955)</f>
        <v>0.53829787234042559</v>
      </c>
      <c r="AD955" s="67">
        <f>SUM((MAX(W955,X955,Y955)-0.5*(SUM(W955+X955+Y955)-MAX(W955,X955,Y955)))/SUM(W955+X955+Y955))</f>
        <v>0.30744680851063833</v>
      </c>
    </row>
    <row r="956" spans="1:30" ht="16" x14ac:dyDescent="0.2">
      <c r="A956" s="21" t="s">
        <v>2957</v>
      </c>
      <c r="B956" s="17">
        <v>1</v>
      </c>
      <c r="C956" s="17">
        <v>0</v>
      </c>
      <c r="D956" s="22" t="s">
        <v>1743</v>
      </c>
      <c r="E956" s="22" t="s">
        <v>1744</v>
      </c>
      <c r="F956" s="106">
        <f t="shared" si="106"/>
        <v>1997</v>
      </c>
      <c r="G956" s="18">
        <v>35481</v>
      </c>
      <c r="H956" s="22" t="s">
        <v>2958</v>
      </c>
      <c r="I956" s="64">
        <v>0</v>
      </c>
      <c r="J956" s="107" t="s">
        <v>1751</v>
      </c>
      <c r="K956" s="17">
        <v>0</v>
      </c>
      <c r="L956" s="17">
        <v>1</v>
      </c>
      <c r="M956" t="s">
        <v>2626</v>
      </c>
      <c r="N956" t="s">
        <v>2121</v>
      </c>
      <c r="P956" s="22" t="s">
        <v>1752</v>
      </c>
      <c r="Q956" s="29" t="s">
        <v>1753</v>
      </c>
      <c r="R956" s="17">
        <v>1</v>
      </c>
      <c r="S956" s="17">
        <v>0</v>
      </c>
      <c r="T956" s="17">
        <v>0</v>
      </c>
      <c r="U956" s="17">
        <v>1</v>
      </c>
      <c r="V956" s="17">
        <v>0</v>
      </c>
      <c r="W956" s="17" t="s">
        <v>56</v>
      </c>
      <c r="X956" s="17" t="s">
        <v>56</v>
      </c>
      <c r="Y956" s="17" t="s">
        <v>56</v>
      </c>
      <c r="AA956" s="11">
        <v>1</v>
      </c>
      <c r="AB956" s="11">
        <v>0</v>
      </c>
      <c r="AC956" s="66">
        <f>IF(K956=1,AB956,AA956)</f>
        <v>1</v>
      </c>
      <c r="AD956" s="67"/>
    </row>
    <row r="957" spans="1:30" ht="16" x14ac:dyDescent="0.2">
      <c r="A957" s="21" t="s">
        <v>2957</v>
      </c>
      <c r="B957" s="17">
        <v>1</v>
      </c>
      <c r="C957" s="17">
        <v>0</v>
      </c>
      <c r="D957" s="22" t="s">
        <v>1743</v>
      </c>
      <c r="E957" s="22" t="s">
        <v>1744</v>
      </c>
      <c r="F957" s="106">
        <f t="shared" si="106"/>
        <v>1997</v>
      </c>
      <c r="G957" s="18">
        <v>35530</v>
      </c>
      <c r="H957" s="22" t="s">
        <v>2958</v>
      </c>
      <c r="I957" s="64">
        <v>0</v>
      </c>
      <c r="J957" s="107" t="s">
        <v>1754</v>
      </c>
      <c r="K957" s="17">
        <v>0</v>
      </c>
      <c r="L957" s="17">
        <v>0</v>
      </c>
      <c r="M957" s="22" t="s">
        <v>2580</v>
      </c>
      <c r="N957" s="22" t="s">
        <v>2630</v>
      </c>
      <c r="P957" s="22" t="s">
        <v>1755</v>
      </c>
      <c r="Q957" s="29" t="s">
        <v>1756</v>
      </c>
      <c r="R957" s="17">
        <v>1</v>
      </c>
      <c r="S957" s="17">
        <v>0</v>
      </c>
      <c r="T957" s="17">
        <v>0</v>
      </c>
      <c r="U957" s="17">
        <v>1</v>
      </c>
      <c r="V957" s="17">
        <v>0</v>
      </c>
      <c r="W957" s="17" t="s">
        <v>26</v>
      </c>
      <c r="X957" s="17" t="s">
        <v>26</v>
      </c>
      <c r="Y957" s="17" t="s">
        <v>26</v>
      </c>
      <c r="AA957" s="11"/>
      <c r="AB957" s="11"/>
      <c r="AC957" s="66"/>
      <c r="AD957" s="67"/>
    </row>
    <row r="958" spans="1:30" ht="16" x14ac:dyDescent="0.2">
      <c r="A958" s="21" t="s">
        <v>2957</v>
      </c>
      <c r="B958" s="17">
        <v>1</v>
      </c>
      <c r="C958" s="17">
        <v>0</v>
      </c>
      <c r="D958" s="22" t="s">
        <v>1743</v>
      </c>
      <c r="E958" s="22" t="s">
        <v>1744</v>
      </c>
      <c r="F958" s="106">
        <f t="shared" si="106"/>
        <v>1997</v>
      </c>
      <c r="G958" s="18">
        <v>35607</v>
      </c>
      <c r="H958" s="22" t="s">
        <v>2958</v>
      </c>
      <c r="I958" s="64">
        <v>0</v>
      </c>
      <c r="J958" s="107" t="s">
        <v>1757</v>
      </c>
      <c r="K958" s="17">
        <v>0</v>
      </c>
      <c r="L958" s="17">
        <v>0</v>
      </c>
      <c r="M958" t="s">
        <v>2595</v>
      </c>
      <c r="N958" s="24" t="s">
        <v>2121</v>
      </c>
      <c r="P958" s="22" t="s">
        <v>1758</v>
      </c>
      <c r="Q958" s="29" t="s">
        <v>1759</v>
      </c>
      <c r="R958" s="17">
        <v>1</v>
      </c>
      <c r="S958" s="17">
        <v>0</v>
      </c>
      <c r="T958" s="17">
        <v>0</v>
      </c>
      <c r="U958" s="17">
        <v>1</v>
      </c>
      <c r="V958" s="17">
        <v>1</v>
      </c>
      <c r="W958" s="17" t="s">
        <v>26</v>
      </c>
      <c r="X958" s="17" t="s">
        <v>26</v>
      </c>
      <c r="Y958" s="17" t="s">
        <v>26</v>
      </c>
      <c r="AA958" s="92"/>
      <c r="AB958" s="92"/>
      <c r="AC958" s="93"/>
      <c r="AD958" s="67"/>
    </row>
    <row r="959" spans="1:30" ht="16" x14ac:dyDescent="0.2">
      <c r="A959" s="21" t="s">
        <v>2957</v>
      </c>
      <c r="B959" s="17">
        <v>1</v>
      </c>
      <c r="C959" s="17">
        <v>0</v>
      </c>
      <c r="D959" s="5" t="s">
        <v>1760</v>
      </c>
      <c r="E959" s="22" t="s">
        <v>1761</v>
      </c>
      <c r="F959" s="106">
        <f t="shared" si="106"/>
        <v>1997</v>
      </c>
      <c r="G959" s="18">
        <v>35789</v>
      </c>
      <c r="H959" s="22" t="s">
        <v>2958</v>
      </c>
      <c r="I959" s="64">
        <v>0</v>
      </c>
      <c r="J959" s="107" t="s">
        <v>1762</v>
      </c>
      <c r="K959" s="17">
        <v>0</v>
      </c>
      <c r="L959" s="17">
        <v>0</v>
      </c>
      <c r="M959" t="s">
        <v>2595</v>
      </c>
      <c r="N959" s="24" t="s">
        <v>2121</v>
      </c>
      <c r="P959" s="22" t="s">
        <v>1763</v>
      </c>
      <c r="Q959" s="29" t="s">
        <v>1764</v>
      </c>
      <c r="R959" s="17">
        <v>1</v>
      </c>
      <c r="S959" s="17">
        <v>0</v>
      </c>
      <c r="T959" s="17">
        <v>0</v>
      </c>
      <c r="U959" s="17">
        <v>1</v>
      </c>
      <c r="V959" s="17">
        <v>1</v>
      </c>
      <c r="W959" s="17" t="s">
        <v>26</v>
      </c>
      <c r="X959" s="17" t="s">
        <v>26</v>
      </c>
      <c r="Y959" s="17" t="s">
        <v>26</v>
      </c>
      <c r="AA959" s="92"/>
      <c r="AB959" s="92"/>
      <c r="AC959" s="93"/>
      <c r="AD959" s="67"/>
    </row>
    <row r="960" spans="1:30" ht="16" x14ac:dyDescent="0.2">
      <c r="A960" s="21" t="s">
        <v>2957</v>
      </c>
      <c r="B960" s="17">
        <v>1</v>
      </c>
      <c r="C960" s="17">
        <v>0</v>
      </c>
      <c r="D960" s="5" t="s">
        <v>1760</v>
      </c>
      <c r="E960" s="22" t="s">
        <v>1761</v>
      </c>
      <c r="F960" s="106">
        <f t="shared" si="106"/>
        <v>1998</v>
      </c>
      <c r="G960" s="18">
        <v>35976</v>
      </c>
      <c r="H960" s="22" t="s">
        <v>2958</v>
      </c>
      <c r="I960" s="64">
        <v>0</v>
      </c>
      <c r="J960" s="107" t="s">
        <v>1765</v>
      </c>
      <c r="K960" s="17">
        <v>0</v>
      </c>
      <c r="L960" s="17">
        <v>0</v>
      </c>
      <c r="M960" t="s">
        <v>2595</v>
      </c>
      <c r="N960" s="24" t="s">
        <v>2121</v>
      </c>
      <c r="P960" s="22" t="s">
        <v>1766</v>
      </c>
      <c r="Q960" s="29" t="s">
        <v>1767</v>
      </c>
      <c r="R960" s="17">
        <v>1</v>
      </c>
      <c r="S960" s="17">
        <v>0</v>
      </c>
      <c r="T960" s="17">
        <v>0</v>
      </c>
      <c r="U960" s="17">
        <v>1</v>
      </c>
      <c r="V960" s="17">
        <v>1</v>
      </c>
      <c r="W960" s="17" t="s">
        <v>26</v>
      </c>
      <c r="X960" s="17" t="s">
        <v>26</v>
      </c>
      <c r="Y960" s="17" t="s">
        <v>26</v>
      </c>
      <c r="AA960" s="92"/>
      <c r="AB960" s="92"/>
      <c r="AC960" s="93"/>
      <c r="AD960" s="67"/>
    </row>
    <row r="961" spans="1:30" ht="16" x14ac:dyDescent="0.2">
      <c r="A961" s="21" t="s">
        <v>2957</v>
      </c>
      <c r="B961" s="17">
        <v>1</v>
      </c>
      <c r="C961" s="17">
        <v>0</v>
      </c>
      <c r="D961" s="5" t="s">
        <v>1760</v>
      </c>
      <c r="E961" s="22" t="s">
        <v>1761</v>
      </c>
      <c r="F961" s="106">
        <f t="shared" si="106"/>
        <v>1998</v>
      </c>
      <c r="G961" s="18">
        <v>36076</v>
      </c>
      <c r="H961" s="22" t="s">
        <v>2958</v>
      </c>
      <c r="I961" s="64">
        <v>0</v>
      </c>
      <c r="J961" s="107" t="s">
        <v>1768</v>
      </c>
      <c r="K961" s="17">
        <v>0</v>
      </c>
      <c r="L961" s="17">
        <v>1</v>
      </c>
      <c r="M961" s="22" t="s">
        <v>2622</v>
      </c>
      <c r="N961" s="22" t="s">
        <v>2630</v>
      </c>
      <c r="P961" s="22" t="s">
        <v>1769</v>
      </c>
      <c r="Q961" s="29" t="s">
        <v>1770</v>
      </c>
      <c r="R961" s="17">
        <v>1</v>
      </c>
      <c r="S961" s="17">
        <v>0</v>
      </c>
      <c r="T961" s="17">
        <v>0</v>
      </c>
      <c r="U961" s="17">
        <v>1</v>
      </c>
      <c r="V961" s="17">
        <v>0</v>
      </c>
      <c r="W961" s="17" t="s">
        <v>56</v>
      </c>
      <c r="X961" s="17" t="s">
        <v>56</v>
      </c>
      <c r="Y961" s="17" t="s">
        <v>56</v>
      </c>
      <c r="AA961" s="11">
        <v>1</v>
      </c>
      <c r="AB961" s="11">
        <v>0</v>
      </c>
      <c r="AC961" s="66">
        <f>IF(K961=1,AB961,AA961)</f>
        <v>1</v>
      </c>
      <c r="AD961" s="67"/>
    </row>
    <row r="962" spans="1:30" ht="16" x14ac:dyDescent="0.2">
      <c r="A962" s="21" t="s">
        <v>2957</v>
      </c>
      <c r="B962" s="17">
        <v>1</v>
      </c>
      <c r="C962" s="17">
        <v>0</v>
      </c>
      <c r="D962" s="5" t="s">
        <v>1760</v>
      </c>
      <c r="E962" s="22" t="s">
        <v>1761</v>
      </c>
      <c r="F962" s="106">
        <f t="shared" si="106"/>
        <v>1998</v>
      </c>
      <c r="G962" s="18">
        <v>36153</v>
      </c>
      <c r="H962" s="22" t="s">
        <v>2958</v>
      </c>
      <c r="I962" s="64">
        <v>0</v>
      </c>
      <c r="J962" s="107" t="s">
        <v>1771</v>
      </c>
      <c r="K962" s="17">
        <v>0</v>
      </c>
      <c r="L962" s="17">
        <v>0</v>
      </c>
      <c r="M962" t="s">
        <v>2595</v>
      </c>
      <c r="N962" s="24" t="s">
        <v>2121</v>
      </c>
      <c r="P962" s="22" t="s">
        <v>1772</v>
      </c>
      <c r="Q962" s="29" t="s">
        <v>1773</v>
      </c>
      <c r="R962" s="17">
        <v>1</v>
      </c>
      <c r="S962" s="17">
        <v>0</v>
      </c>
      <c r="T962" s="17">
        <v>0</v>
      </c>
      <c r="U962" s="17">
        <v>1</v>
      </c>
      <c r="V962" s="17">
        <v>1</v>
      </c>
      <c r="W962" s="17" t="s">
        <v>26</v>
      </c>
      <c r="X962" s="17" t="s">
        <v>26</v>
      </c>
      <c r="Y962" s="17" t="s">
        <v>26</v>
      </c>
      <c r="AA962" s="92"/>
      <c r="AB962" s="92"/>
      <c r="AC962" s="93"/>
      <c r="AD962" s="67"/>
    </row>
    <row r="963" spans="1:30" ht="16" x14ac:dyDescent="0.2">
      <c r="A963" s="21" t="s">
        <v>2957</v>
      </c>
      <c r="B963" s="17">
        <v>1</v>
      </c>
      <c r="C963" s="17">
        <v>0</v>
      </c>
      <c r="D963" s="5" t="s">
        <v>1774</v>
      </c>
      <c r="E963" s="22" t="s">
        <v>1775</v>
      </c>
      <c r="F963" s="106">
        <f t="shared" si="106"/>
        <v>1999</v>
      </c>
      <c r="G963" s="18">
        <v>36334</v>
      </c>
      <c r="H963" s="22" t="s">
        <v>2958</v>
      </c>
      <c r="I963" s="64">
        <v>0</v>
      </c>
      <c r="J963" s="107" t="s">
        <v>1776</v>
      </c>
      <c r="K963" s="17">
        <v>0</v>
      </c>
      <c r="L963" s="17">
        <v>0</v>
      </c>
      <c r="M963" t="s">
        <v>2595</v>
      </c>
      <c r="N963" s="24" t="s">
        <v>2121</v>
      </c>
      <c r="P963" s="22" t="s">
        <v>1777</v>
      </c>
      <c r="Q963" s="29" t="s">
        <v>1778</v>
      </c>
      <c r="R963" s="17">
        <v>1</v>
      </c>
      <c r="S963" s="17">
        <v>0</v>
      </c>
      <c r="T963" s="17">
        <v>0</v>
      </c>
      <c r="U963" s="17">
        <v>1</v>
      </c>
      <c r="V963" s="17">
        <v>1</v>
      </c>
      <c r="W963" s="17" t="s">
        <v>26</v>
      </c>
      <c r="X963" s="17" t="s">
        <v>26</v>
      </c>
      <c r="Y963" s="17" t="s">
        <v>26</v>
      </c>
      <c r="AA963" s="92"/>
      <c r="AB963" s="92"/>
      <c r="AC963" s="93"/>
      <c r="AD963" s="67"/>
    </row>
    <row r="964" spans="1:30" ht="16" x14ac:dyDescent="0.2">
      <c r="A964" s="21" t="s">
        <v>2957</v>
      </c>
      <c r="B964" s="17">
        <v>1</v>
      </c>
      <c r="C964" s="17">
        <v>0</v>
      </c>
      <c r="D964" s="5" t="s">
        <v>1774</v>
      </c>
      <c r="E964" s="22" t="s">
        <v>1775</v>
      </c>
      <c r="F964" s="106">
        <f t="shared" si="106"/>
        <v>1999</v>
      </c>
      <c r="G964" s="18">
        <v>36519</v>
      </c>
      <c r="H964" s="22" t="s">
        <v>2958</v>
      </c>
      <c r="I964" s="64">
        <v>0</v>
      </c>
      <c r="J964" s="107" t="s">
        <v>1779</v>
      </c>
      <c r="K964" s="17">
        <v>0</v>
      </c>
      <c r="L964" s="17">
        <v>0</v>
      </c>
      <c r="M964" t="s">
        <v>2595</v>
      </c>
      <c r="N964" s="24" t="s">
        <v>2121</v>
      </c>
      <c r="P964" s="22" t="s">
        <v>1780</v>
      </c>
      <c r="Q964" s="29" t="s">
        <v>1781</v>
      </c>
      <c r="R964" s="17">
        <v>1</v>
      </c>
      <c r="S964" s="17">
        <v>0</v>
      </c>
      <c r="T964" s="17">
        <v>0</v>
      </c>
      <c r="U964" s="17">
        <v>1</v>
      </c>
      <c r="V964" s="17">
        <v>1</v>
      </c>
      <c r="W964" s="17" t="s">
        <v>26</v>
      </c>
      <c r="X964" s="17" t="s">
        <v>26</v>
      </c>
      <c r="Y964" s="17" t="s">
        <v>26</v>
      </c>
      <c r="AA964" s="92"/>
      <c r="AB964" s="92"/>
      <c r="AC964" s="93"/>
      <c r="AD964" s="67"/>
    </row>
    <row r="965" spans="1:30" ht="16" x14ac:dyDescent="0.2">
      <c r="A965" s="21" t="s">
        <v>2957</v>
      </c>
      <c r="B965" s="17">
        <v>1</v>
      </c>
      <c r="C965" s="17">
        <v>0</v>
      </c>
      <c r="D965" s="5" t="s">
        <v>1774</v>
      </c>
      <c r="E965" s="22" t="s">
        <v>1775</v>
      </c>
      <c r="F965" s="106">
        <f t="shared" si="106"/>
        <v>2000</v>
      </c>
      <c r="G965" s="18">
        <v>36705</v>
      </c>
      <c r="H965" s="22" t="s">
        <v>2958</v>
      </c>
      <c r="I965" s="64">
        <v>0</v>
      </c>
      <c r="J965" s="107" t="s">
        <v>1782</v>
      </c>
      <c r="K965" s="17">
        <v>0</v>
      </c>
      <c r="L965" s="17">
        <v>0</v>
      </c>
      <c r="M965" t="s">
        <v>2595</v>
      </c>
      <c r="N965" s="24" t="s">
        <v>2121</v>
      </c>
      <c r="P965" s="22" t="s">
        <v>1783</v>
      </c>
      <c r="Q965" s="29" t="s">
        <v>1784</v>
      </c>
      <c r="R965" s="17">
        <v>1</v>
      </c>
      <c r="S965" s="17">
        <v>0</v>
      </c>
      <c r="T965" s="17">
        <v>0</v>
      </c>
      <c r="U965" s="17">
        <v>1</v>
      </c>
      <c r="V965" s="17">
        <v>1</v>
      </c>
      <c r="W965" s="17" t="s">
        <v>26</v>
      </c>
      <c r="X965" s="17" t="s">
        <v>26</v>
      </c>
      <c r="Y965" s="17" t="s">
        <v>26</v>
      </c>
      <c r="AA965" s="92"/>
      <c r="AB965" s="92"/>
      <c r="AC965" s="93"/>
      <c r="AD965" s="67"/>
    </row>
    <row r="966" spans="1:30" ht="16" x14ac:dyDescent="0.2">
      <c r="A966" s="21" t="s">
        <v>2957</v>
      </c>
      <c r="B966" s="17">
        <v>1</v>
      </c>
      <c r="C966" s="17">
        <v>0</v>
      </c>
      <c r="D966" s="5" t="s">
        <v>1774</v>
      </c>
      <c r="E966" s="22" t="s">
        <v>1775</v>
      </c>
      <c r="F966" s="106">
        <f t="shared" si="106"/>
        <v>2000</v>
      </c>
      <c r="G966" s="18">
        <v>36877</v>
      </c>
      <c r="H966" s="22" t="s">
        <v>2958</v>
      </c>
      <c r="I966" s="64">
        <v>0</v>
      </c>
      <c r="J966" s="107" t="s">
        <v>1785</v>
      </c>
      <c r="K966" s="17">
        <v>0</v>
      </c>
      <c r="L966" s="17">
        <v>0</v>
      </c>
      <c r="M966" t="s">
        <v>2595</v>
      </c>
      <c r="N966" s="24" t="s">
        <v>2121</v>
      </c>
      <c r="P966" s="22" t="s">
        <v>1786</v>
      </c>
      <c r="Q966" s="29" t="s">
        <v>1787</v>
      </c>
      <c r="R966" s="17">
        <v>1</v>
      </c>
      <c r="S966" s="17">
        <v>0</v>
      </c>
      <c r="T966" s="17">
        <v>0</v>
      </c>
      <c r="U966" s="17">
        <v>1</v>
      </c>
      <c r="V966" s="17">
        <v>1</v>
      </c>
      <c r="W966" s="17" t="s">
        <v>26</v>
      </c>
      <c r="X966" s="17" t="s">
        <v>26</v>
      </c>
      <c r="Y966" s="17" t="s">
        <v>26</v>
      </c>
      <c r="AA966" s="92"/>
      <c r="AB966" s="92"/>
      <c r="AC966" s="93"/>
      <c r="AD966" s="67"/>
    </row>
    <row r="967" spans="1:30" ht="16" x14ac:dyDescent="0.2">
      <c r="A967" s="21" t="s">
        <v>2957</v>
      </c>
      <c r="B967" s="17">
        <v>1</v>
      </c>
      <c r="C967" s="17">
        <v>0</v>
      </c>
      <c r="D967" s="5" t="s">
        <v>1774</v>
      </c>
      <c r="E967" s="22" t="s">
        <v>1775</v>
      </c>
      <c r="F967" s="106">
        <f t="shared" si="106"/>
        <v>2001</v>
      </c>
      <c r="G967" s="18">
        <v>37067</v>
      </c>
      <c r="H967" s="22" t="s">
        <v>2958</v>
      </c>
      <c r="I967" s="64">
        <v>0</v>
      </c>
      <c r="J967" s="107" t="s">
        <v>1788</v>
      </c>
      <c r="K967" s="17">
        <v>0</v>
      </c>
      <c r="L967" s="17">
        <v>0</v>
      </c>
      <c r="M967" t="s">
        <v>2595</v>
      </c>
      <c r="N967" s="24" t="s">
        <v>2121</v>
      </c>
      <c r="P967" s="22" t="s">
        <v>1789</v>
      </c>
      <c r="Q967" s="29" t="s">
        <v>1790</v>
      </c>
      <c r="R967" s="17">
        <v>1</v>
      </c>
      <c r="S967" s="17">
        <v>0</v>
      </c>
      <c r="T967" s="17">
        <v>0</v>
      </c>
      <c r="U967" s="17">
        <v>1</v>
      </c>
      <c r="V967" s="17">
        <v>1</v>
      </c>
      <c r="W967" s="17" t="s">
        <v>26</v>
      </c>
      <c r="X967" s="17" t="s">
        <v>26</v>
      </c>
      <c r="Y967" s="17" t="s">
        <v>26</v>
      </c>
      <c r="AA967" s="92"/>
      <c r="AB967" s="92"/>
      <c r="AC967" s="93"/>
      <c r="AD967" s="67"/>
    </row>
    <row r="968" spans="1:30" ht="16" x14ac:dyDescent="0.2">
      <c r="A968" s="21" t="s">
        <v>2957</v>
      </c>
      <c r="B968" s="17">
        <v>1</v>
      </c>
      <c r="C968" s="17">
        <v>0</v>
      </c>
      <c r="D968" s="5" t="s">
        <v>1774</v>
      </c>
      <c r="E968" s="22" t="s">
        <v>1775</v>
      </c>
      <c r="F968" s="106">
        <f t="shared" si="106"/>
        <v>2001</v>
      </c>
      <c r="G968" s="18">
        <v>37174</v>
      </c>
      <c r="H968" s="22" t="s">
        <v>2958</v>
      </c>
      <c r="I968" s="64">
        <v>0</v>
      </c>
      <c r="J968" s="107" t="s">
        <v>1791</v>
      </c>
      <c r="K968" s="17">
        <v>0</v>
      </c>
      <c r="L968" s="59">
        <v>1</v>
      </c>
      <c r="M968" t="s">
        <v>129</v>
      </c>
      <c r="N968" s="22" t="s">
        <v>422</v>
      </c>
      <c r="P968" s="22" t="s">
        <v>1792</v>
      </c>
      <c r="Q968" s="29" t="s">
        <v>1793</v>
      </c>
      <c r="R968" s="17">
        <v>1</v>
      </c>
      <c r="S968" s="17">
        <v>0</v>
      </c>
      <c r="T968" s="17">
        <v>0</v>
      </c>
      <c r="U968" s="17">
        <v>1</v>
      </c>
      <c r="V968" s="17">
        <v>0</v>
      </c>
      <c r="W968" s="17">
        <v>319</v>
      </c>
      <c r="X968" s="17">
        <v>100</v>
      </c>
      <c r="Y968" s="17">
        <v>2</v>
      </c>
      <c r="Z968" s="17">
        <f>SUM(W968:Y968)</f>
        <v>421</v>
      </c>
      <c r="AA968" s="11">
        <f>W968/Z968</f>
        <v>0.75771971496437052</v>
      </c>
      <c r="AB968" s="11">
        <f>X968/Z968</f>
        <v>0.23752969121140141</v>
      </c>
      <c r="AC968" s="66">
        <f>IF(K968=1,AB968,AA968)</f>
        <v>0.75771971496437052</v>
      </c>
      <c r="AD968" s="67">
        <f>SUM((MAX(W968,X968,Y968)-0.5*(SUM(W968+X968+Y968)-MAX(W968,X968,Y968)))/SUM(W968+X968+Y968))</f>
        <v>0.63657957244655583</v>
      </c>
    </row>
    <row r="969" spans="1:30" ht="16" x14ac:dyDescent="0.2">
      <c r="A969" s="21" t="s">
        <v>2957</v>
      </c>
      <c r="B969" s="17">
        <v>1</v>
      </c>
      <c r="C969" s="17">
        <v>0</v>
      </c>
      <c r="D969" s="5" t="s">
        <v>1774</v>
      </c>
      <c r="E969" s="22" t="s">
        <v>1775</v>
      </c>
      <c r="F969" s="106">
        <f t="shared" si="106"/>
        <v>2001</v>
      </c>
      <c r="G969" s="18">
        <v>37250</v>
      </c>
      <c r="H969" s="22" t="s">
        <v>2958</v>
      </c>
      <c r="I969" s="64">
        <v>0</v>
      </c>
      <c r="J969" s="107" t="s">
        <v>1794</v>
      </c>
      <c r="K969" s="17">
        <v>0</v>
      </c>
      <c r="L969" s="17">
        <v>0</v>
      </c>
      <c r="M969" t="s">
        <v>2595</v>
      </c>
      <c r="N969" s="24" t="s">
        <v>2121</v>
      </c>
      <c r="P969" s="22" t="s">
        <v>1795</v>
      </c>
      <c r="Q969" s="29" t="s">
        <v>1796</v>
      </c>
      <c r="R969" s="17">
        <v>1</v>
      </c>
      <c r="S969" s="17">
        <v>0</v>
      </c>
      <c r="T969" s="17">
        <v>0</v>
      </c>
      <c r="U969" s="17">
        <v>1</v>
      </c>
      <c r="V969" s="17">
        <v>1</v>
      </c>
      <c r="W969" s="17" t="s">
        <v>26</v>
      </c>
      <c r="X969" s="17" t="s">
        <v>26</v>
      </c>
      <c r="Y969" s="17" t="s">
        <v>26</v>
      </c>
      <c r="AA969" s="92"/>
      <c r="AB969" s="92"/>
      <c r="AC969" s="93"/>
      <c r="AD969" s="67"/>
    </row>
    <row r="970" spans="1:30" ht="16" x14ac:dyDescent="0.2">
      <c r="A970" s="21" t="s">
        <v>2957</v>
      </c>
      <c r="B970" s="17">
        <v>1</v>
      </c>
      <c r="C970" s="17">
        <v>0</v>
      </c>
      <c r="D970" s="5" t="s">
        <v>1774</v>
      </c>
      <c r="E970" s="22" t="s">
        <v>1775</v>
      </c>
      <c r="F970" s="106">
        <f t="shared" si="106"/>
        <v>2002</v>
      </c>
      <c r="G970" s="18">
        <v>37425</v>
      </c>
      <c r="H970" s="22" t="s">
        <v>2958</v>
      </c>
      <c r="I970" s="64">
        <v>0</v>
      </c>
      <c r="J970" s="107" t="s">
        <v>1797</v>
      </c>
      <c r="K970" s="17">
        <v>0</v>
      </c>
      <c r="L970" s="17">
        <v>0</v>
      </c>
      <c r="M970" t="s">
        <v>2595</v>
      </c>
      <c r="N970" s="24" t="s">
        <v>2121</v>
      </c>
      <c r="P970" s="22" t="s">
        <v>1798</v>
      </c>
      <c r="Q970" s="29" t="s">
        <v>1799</v>
      </c>
      <c r="R970" s="17">
        <v>1</v>
      </c>
      <c r="S970" s="17">
        <v>0</v>
      </c>
      <c r="T970" s="17">
        <v>0</v>
      </c>
      <c r="U970" s="17">
        <v>1</v>
      </c>
      <c r="V970" s="17">
        <v>1</v>
      </c>
      <c r="W970" s="17" t="s">
        <v>26</v>
      </c>
      <c r="X970" s="17" t="s">
        <v>26</v>
      </c>
      <c r="Y970" s="17" t="s">
        <v>26</v>
      </c>
      <c r="AA970" s="92"/>
      <c r="AB970" s="92"/>
      <c r="AC970" s="93"/>
      <c r="AD970" s="67"/>
    </row>
    <row r="971" spans="1:30" ht="16" x14ac:dyDescent="0.2">
      <c r="A971" s="21" t="s">
        <v>2957</v>
      </c>
      <c r="B971" s="17">
        <v>1</v>
      </c>
      <c r="C971" s="17">
        <v>0</v>
      </c>
      <c r="D971" s="22" t="s">
        <v>1800</v>
      </c>
      <c r="E971" s="22" t="s">
        <v>1801</v>
      </c>
      <c r="F971" s="106">
        <f t="shared" si="106"/>
        <v>2002</v>
      </c>
      <c r="G971" s="18">
        <v>37615</v>
      </c>
      <c r="H971" s="22" t="s">
        <v>2958</v>
      </c>
      <c r="I971" s="64">
        <v>0</v>
      </c>
      <c r="J971" s="107" t="s">
        <v>1802</v>
      </c>
      <c r="K971" s="17">
        <v>0</v>
      </c>
      <c r="L971" s="17">
        <v>0</v>
      </c>
      <c r="M971" t="s">
        <v>2595</v>
      </c>
      <c r="N971" s="24" t="s">
        <v>2121</v>
      </c>
      <c r="P971" s="22" t="s">
        <v>1803</v>
      </c>
      <c r="Q971" s="29" t="s">
        <v>1804</v>
      </c>
      <c r="R971" s="17">
        <v>1</v>
      </c>
      <c r="S971" s="17">
        <v>0</v>
      </c>
      <c r="T971" s="17">
        <v>0</v>
      </c>
      <c r="U971" s="17">
        <v>1</v>
      </c>
      <c r="V971" s="17">
        <v>1</v>
      </c>
      <c r="W971" s="17" t="s">
        <v>26</v>
      </c>
      <c r="X971" s="17" t="s">
        <v>26</v>
      </c>
      <c r="Y971" s="17" t="s">
        <v>26</v>
      </c>
      <c r="AA971" s="92"/>
      <c r="AB971" s="92"/>
      <c r="AC971" s="93"/>
      <c r="AD971" s="67"/>
    </row>
    <row r="972" spans="1:30" ht="16" x14ac:dyDescent="0.2">
      <c r="A972" s="21" t="s">
        <v>2957</v>
      </c>
      <c r="B972" s="17">
        <v>1</v>
      </c>
      <c r="C972" s="17">
        <v>0</v>
      </c>
      <c r="D972" s="22" t="s">
        <v>1800</v>
      </c>
      <c r="E972" s="22" t="s">
        <v>1801</v>
      </c>
      <c r="F972" s="106">
        <f t="shared" si="106"/>
        <v>2003</v>
      </c>
      <c r="G972" s="18">
        <v>37681</v>
      </c>
      <c r="H972" s="22" t="s">
        <v>2958</v>
      </c>
      <c r="I972" s="64">
        <v>0</v>
      </c>
      <c r="J972" s="107" t="s">
        <v>1805</v>
      </c>
      <c r="K972" s="17">
        <v>0</v>
      </c>
      <c r="L972" s="59">
        <v>1</v>
      </c>
      <c r="M972" s="22" t="s">
        <v>2856</v>
      </c>
      <c r="N972" t="s">
        <v>2121</v>
      </c>
      <c r="P972" s="22" t="s">
        <v>1806</v>
      </c>
      <c r="Q972" s="29" t="s">
        <v>1807</v>
      </c>
      <c r="R972" s="17">
        <v>0</v>
      </c>
      <c r="S972" s="17">
        <v>1</v>
      </c>
      <c r="T972" s="17">
        <v>1</v>
      </c>
      <c r="U972" s="17">
        <v>1</v>
      </c>
      <c r="V972" s="17">
        <v>0</v>
      </c>
      <c r="W972" s="17">
        <v>264</v>
      </c>
      <c r="X972" s="17">
        <v>250</v>
      </c>
      <c r="Y972" s="17">
        <v>19</v>
      </c>
      <c r="Z972" s="17">
        <f>SUM(W972:Y972)</f>
        <v>533</v>
      </c>
      <c r="AA972" s="11">
        <f>W972/Z972</f>
        <v>0.49530956848030017</v>
      </c>
      <c r="AB972" s="11">
        <f>X972/Z972</f>
        <v>0.46904315196998125</v>
      </c>
      <c r="AC972" s="66">
        <f>IF(K972=1,AB972,AA972)</f>
        <v>0.49530956848030017</v>
      </c>
      <c r="AD972" s="67">
        <f>SUM((MAX(W972,X972,Y972)-0.5*(SUM(W972+X972+Y972)-MAX(W972,X972,Y972)))/SUM(W972+X972+Y972))</f>
        <v>0.24296435272045028</v>
      </c>
    </row>
    <row r="973" spans="1:30" ht="16" x14ac:dyDescent="0.2">
      <c r="A973" s="21" t="s">
        <v>2957</v>
      </c>
      <c r="B973" s="17">
        <v>1</v>
      </c>
      <c r="C973" s="17">
        <v>0</v>
      </c>
      <c r="D973" s="5" t="s">
        <v>1808</v>
      </c>
      <c r="E973" s="22" t="s">
        <v>1801</v>
      </c>
      <c r="F973" s="106">
        <f t="shared" si="106"/>
        <v>2003</v>
      </c>
      <c r="G973" s="18">
        <v>37700</v>
      </c>
      <c r="H973" s="22" t="s">
        <v>2958</v>
      </c>
      <c r="I973" s="64">
        <v>0</v>
      </c>
      <c r="J973" s="107" t="s">
        <v>1809</v>
      </c>
      <c r="K973" s="17">
        <v>0</v>
      </c>
      <c r="L973" s="59">
        <v>1</v>
      </c>
      <c r="M973" t="s">
        <v>2594</v>
      </c>
      <c r="N973" t="s">
        <v>2121</v>
      </c>
      <c r="P973" s="22" t="s">
        <v>1810</v>
      </c>
      <c r="Q973" s="29" t="s">
        <v>1811</v>
      </c>
      <c r="R973" s="17">
        <v>0</v>
      </c>
      <c r="S973" s="17">
        <v>0</v>
      </c>
      <c r="T973" s="17">
        <v>1</v>
      </c>
      <c r="U973" s="17">
        <v>1</v>
      </c>
      <c r="V973" s="17">
        <v>0</v>
      </c>
      <c r="W973" s="17">
        <v>332</v>
      </c>
      <c r="X973" s="17">
        <v>202</v>
      </c>
      <c r="Y973" s="17">
        <v>1</v>
      </c>
      <c r="Z973" s="17">
        <f>SUM(W973:Y973)</f>
        <v>535</v>
      </c>
      <c r="AA973" s="11">
        <f>W973/Z973</f>
        <v>0.6205607476635514</v>
      </c>
      <c r="AB973" s="11">
        <f>X973/Z973</f>
        <v>0.3775700934579439</v>
      </c>
      <c r="AC973" s="66">
        <f>IF(K973=1,AB973,AA973)</f>
        <v>0.6205607476635514</v>
      </c>
      <c r="AD973" s="67">
        <f>SUM((MAX(W973,X973,Y973)-0.5*(SUM(W973+X973+Y973)-MAX(W973,X973,Y973)))/SUM(W973+X973+Y973))</f>
        <v>0.43084112149532711</v>
      </c>
    </row>
    <row r="974" spans="1:30" ht="16" x14ac:dyDescent="0.2">
      <c r="A974" s="21" t="s">
        <v>2957</v>
      </c>
      <c r="B974" s="17">
        <v>1</v>
      </c>
      <c r="C974" s="17">
        <v>0</v>
      </c>
      <c r="D974" s="5" t="s">
        <v>1808</v>
      </c>
      <c r="E974" s="22" t="s">
        <v>1801</v>
      </c>
      <c r="F974" s="106">
        <f t="shared" si="106"/>
        <v>2003</v>
      </c>
      <c r="G974" s="18">
        <v>37901</v>
      </c>
      <c r="H974" s="22" t="s">
        <v>2958</v>
      </c>
      <c r="I974" s="64">
        <v>0</v>
      </c>
      <c r="J974" s="107" t="s">
        <v>1812</v>
      </c>
      <c r="K974" s="17">
        <v>0</v>
      </c>
      <c r="L974" s="59">
        <v>1</v>
      </c>
      <c r="M974" t="s">
        <v>2594</v>
      </c>
      <c r="N974" t="s">
        <v>2121</v>
      </c>
      <c r="P974" s="22" t="s">
        <v>1813</v>
      </c>
      <c r="Q974" s="29" t="s">
        <v>1814</v>
      </c>
      <c r="R974" s="17">
        <v>0</v>
      </c>
      <c r="S974" s="17">
        <v>0</v>
      </c>
      <c r="T974" s="17">
        <v>1</v>
      </c>
      <c r="U974" s="17">
        <v>1</v>
      </c>
      <c r="V974" s="17">
        <v>1</v>
      </c>
      <c r="W974" s="17">
        <v>358</v>
      </c>
      <c r="X974" s="17">
        <v>183</v>
      </c>
      <c r="Y974" s="17">
        <v>2</v>
      </c>
      <c r="Z974" s="17">
        <f>SUM(W974:Y974)</f>
        <v>543</v>
      </c>
      <c r="AA974" s="11">
        <f>W974/Z974</f>
        <v>0.6593001841620626</v>
      </c>
      <c r="AB974" s="11">
        <f>X974/Z974</f>
        <v>0.33701657458563539</v>
      </c>
      <c r="AC974" s="66">
        <f>IF(K974=1,AB974,AA974)</f>
        <v>0.6593001841620626</v>
      </c>
      <c r="AD974" s="67">
        <f>SUM((MAX(W974,X974,Y974)-0.5*(SUM(W974+X974+Y974)-MAX(W974,X974,Y974)))/SUM(W974+X974+Y974))</f>
        <v>0.4889502762430939</v>
      </c>
    </row>
    <row r="975" spans="1:30" ht="16" x14ac:dyDescent="0.2">
      <c r="A975" s="21" t="s">
        <v>2957</v>
      </c>
      <c r="B975" s="17">
        <v>1</v>
      </c>
      <c r="C975" s="17">
        <v>0</v>
      </c>
      <c r="D975" s="5" t="s">
        <v>1808</v>
      </c>
      <c r="E975" s="22" t="s">
        <v>1801</v>
      </c>
      <c r="F975" s="106">
        <f t="shared" si="106"/>
        <v>2003</v>
      </c>
      <c r="G975" s="18">
        <v>37958</v>
      </c>
      <c r="H975" s="22" t="s">
        <v>2958</v>
      </c>
      <c r="I975" s="64">
        <v>0</v>
      </c>
      <c r="J975" s="107" t="s">
        <v>1815</v>
      </c>
      <c r="K975" s="17">
        <v>0</v>
      </c>
      <c r="L975" s="59">
        <v>1</v>
      </c>
      <c r="M975" t="s">
        <v>2623</v>
      </c>
      <c r="N975" t="s">
        <v>2637</v>
      </c>
      <c r="P975" s="22" t="s">
        <v>1816</v>
      </c>
      <c r="Q975" s="29" t="s">
        <v>1817</v>
      </c>
      <c r="R975" s="17">
        <v>1</v>
      </c>
      <c r="S975" s="17">
        <v>0</v>
      </c>
      <c r="T975" s="17">
        <v>0</v>
      </c>
      <c r="U975" s="17">
        <v>1</v>
      </c>
      <c r="V975" s="17">
        <v>0</v>
      </c>
      <c r="W975" s="17">
        <v>220</v>
      </c>
      <c r="X975" s="17">
        <v>0</v>
      </c>
      <c r="Y975" s="17">
        <v>0</v>
      </c>
      <c r="Z975" s="17">
        <f>SUM(W975:Y975)</f>
        <v>220</v>
      </c>
      <c r="AA975" s="11">
        <f>W975/Z975</f>
        <v>1</v>
      </c>
      <c r="AB975" s="11">
        <f>X975/Z975</f>
        <v>0</v>
      </c>
      <c r="AC975" s="66">
        <f>IF(K975=1,AB975,AA975)</f>
        <v>1</v>
      </c>
      <c r="AD975" s="67">
        <f>SUM((MAX(W975,X975,Y975)-0.5*(SUM(W975+X975+Y975)-MAX(W975,X975,Y975)))/SUM(W975+X975+Y975))</f>
        <v>1</v>
      </c>
    </row>
    <row r="976" spans="1:30" ht="16" x14ac:dyDescent="0.2">
      <c r="A976" s="21" t="s">
        <v>2957</v>
      </c>
      <c r="B976" s="17">
        <v>1</v>
      </c>
      <c r="C976" s="17">
        <v>0</v>
      </c>
      <c r="D976" s="5" t="s">
        <v>1808</v>
      </c>
      <c r="E976" s="22" t="s">
        <v>1801</v>
      </c>
      <c r="F976" s="106">
        <f t="shared" si="106"/>
        <v>2006</v>
      </c>
      <c r="G976" s="18">
        <v>38965</v>
      </c>
      <c r="H976" s="22" t="s">
        <v>2958</v>
      </c>
      <c r="I976" s="64">
        <v>0</v>
      </c>
      <c r="J976" s="107" t="s">
        <v>1818</v>
      </c>
      <c r="K976" s="17">
        <v>0</v>
      </c>
      <c r="L976" s="59">
        <v>1</v>
      </c>
      <c r="M976" t="s">
        <v>202</v>
      </c>
      <c r="N976" t="s">
        <v>2121</v>
      </c>
      <c r="P976" s="22" t="s">
        <v>1819</v>
      </c>
      <c r="Q976" s="29" t="s">
        <v>1820</v>
      </c>
      <c r="R976" s="17">
        <v>1</v>
      </c>
      <c r="S976" s="17">
        <v>0</v>
      </c>
      <c r="T976" s="17">
        <v>0</v>
      </c>
      <c r="U976" s="17">
        <v>1</v>
      </c>
      <c r="V976" s="17">
        <v>0</v>
      </c>
      <c r="W976" s="17">
        <v>340</v>
      </c>
      <c r="X976" s="17">
        <v>192</v>
      </c>
      <c r="Y976" s="17">
        <v>1</v>
      </c>
      <c r="Z976" s="17">
        <f>SUM(W976:Y976)</f>
        <v>533</v>
      </c>
      <c r="AA976" s="11">
        <f>W976/Z976</f>
        <v>0.63789868667917449</v>
      </c>
      <c r="AB976" s="11">
        <f>X976/Z976</f>
        <v>0.36022514071294559</v>
      </c>
      <c r="AC976" s="66">
        <f>IF(K976=1,AB976,AA976)</f>
        <v>0.63789868667917449</v>
      </c>
      <c r="AD976" s="67">
        <f>SUM((MAX(W976,X976,Y976)-0.5*(SUM(W976+X976+Y976)-MAX(W976,X976,Y976)))/SUM(W976+X976+Y976))</f>
        <v>0.45684803001876173</v>
      </c>
    </row>
    <row r="977" spans="1:32" ht="16" x14ac:dyDescent="0.2">
      <c r="A977" s="21" t="s">
        <v>2957</v>
      </c>
      <c r="B977" s="17">
        <v>1</v>
      </c>
      <c r="C977" s="17">
        <v>1</v>
      </c>
      <c r="D977" s="5" t="s">
        <v>1821</v>
      </c>
      <c r="E977" s="22" t="s">
        <v>1801</v>
      </c>
      <c r="F977" s="106">
        <f t="shared" si="106"/>
        <v>2009</v>
      </c>
      <c r="G977" s="18">
        <v>39854</v>
      </c>
      <c r="H977" s="22" t="s">
        <v>2958</v>
      </c>
      <c r="I977" s="64">
        <v>0</v>
      </c>
      <c r="J977" s="107" t="s">
        <v>1822</v>
      </c>
      <c r="K977" s="17">
        <v>0</v>
      </c>
      <c r="L977" s="17">
        <v>0</v>
      </c>
      <c r="M977" s="54" t="s">
        <v>2858</v>
      </c>
      <c r="N977" s="54" t="s">
        <v>2631</v>
      </c>
      <c r="P977" s="22" t="s">
        <v>1823</v>
      </c>
      <c r="Q977" s="29" t="s">
        <v>1824</v>
      </c>
      <c r="R977" s="17">
        <v>1</v>
      </c>
      <c r="S977" s="17">
        <v>0</v>
      </c>
      <c r="T977" s="17">
        <v>0</v>
      </c>
      <c r="U977" s="17">
        <v>1</v>
      </c>
      <c r="V977" s="17">
        <v>0</v>
      </c>
      <c r="W977" s="17" t="s">
        <v>26</v>
      </c>
      <c r="X977" s="17" t="s">
        <v>26</v>
      </c>
      <c r="Y977" s="17" t="s">
        <v>26</v>
      </c>
      <c r="AA977" s="11"/>
      <c r="AB977" s="11"/>
      <c r="AC977" s="66"/>
      <c r="AD977" s="67"/>
    </row>
    <row r="978" spans="1:32" ht="16" x14ac:dyDescent="0.2">
      <c r="A978" s="21" t="s">
        <v>2957</v>
      </c>
      <c r="B978" s="17">
        <v>1</v>
      </c>
      <c r="C978" s="17">
        <v>1</v>
      </c>
      <c r="D978" s="5" t="s">
        <v>1821</v>
      </c>
      <c r="E978" s="22" t="s">
        <v>1801</v>
      </c>
      <c r="F978" s="106">
        <f t="shared" si="106"/>
        <v>2010</v>
      </c>
      <c r="G978" s="18">
        <v>40211</v>
      </c>
      <c r="H978" s="22" t="s">
        <v>2958</v>
      </c>
      <c r="I978" s="64">
        <v>0</v>
      </c>
      <c r="J978" s="107" t="s">
        <v>1825</v>
      </c>
      <c r="K978" s="17">
        <v>0</v>
      </c>
      <c r="L978" s="17">
        <v>0</v>
      </c>
      <c r="M978" s="54" t="s">
        <v>2858</v>
      </c>
      <c r="N978" s="54" t="s">
        <v>2631</v>
      </c>
      <c r="P978" s="22" t="s">
        <v>1826</v>
      </c>
      <c r="Q978" s="29" t="s">
        <v>1827</v>
      </c>
      <c r="R978" s="17">
        <v>1</v>
      </c>
      <c r="S978" s="17">
        <v>0</v>
      </c>
      <c r="T978" s="17">
        <v>0</v>
      </c>
      <c r="U978" s="17">
        <v>1</v>
      </c>
      <c r="V978" s="17">
        <v>1</v>
      </c>
      <c r="W978" s="17" t="s">
        <v>26</v>
      </c>
      <c r="X978" s="17" t="s">
        <v>26</v>
      </c>
      <c r="Y978" s="17" t="s">
        <v>26</v>
      </c>
      <c r="AA978" s="11"/>
      <c r="AB978" s="11"/>
      <c r="AC978" s="66"/>
      <c r="AD978" s="67"/>
    </row>
    <row r="979" spans="1:32" ht="16" x14ac:dyDescent="0.2">
      <c r="A979" s="21" t="s">
        <v>2957</v>
      </c>
      <c r="B979" s="17">
        <v>1</v>
      </c>
      <c r="C979" s="17">
        <v>0</v>
      </c>
      <c r="D979" s="5" t="s">
        <v>1821</v>
      </c>
      <c r="E979" s="22" t="s">
        <v>1801</v>
      </c>
      <c r="F979" s="106">
        <f t="shared" si="106"/>
        <v>2011</v>
      </c>
      <c r="G979" s="18">
        <v>40581</v>
      </c>
      <c r="H979" s="22" t="s">
        <v>2958</v>
      </c>
      <c r="I979" s="64">
        <v>0</v>
      </c>
      <c r="J979" s="107" t="s">
        <v>1828</v>
      </c>
      <c r="K979" s="17">
        <v>0</v>
      </c>
      <c r="L979" s="17">
        <v>0</v>
      </c>
      <c r="M979" s="54" t="s">
        <v>2858</v>
      </c>
      <c r="N979" s="54" t="s">
        <v>2631</v>
      </c>
      <c r="P979" s="22" t="s">
        <v>1829</v>
      </c>
      <c r="Q979" s="29" t="s">
        <v>1830</v>
      </c>
      <c r="R979" s="17">
        <v>1</v>
      </c>
      <c r="S979" s="17">
        <v>0</v>
      </c>
      <c r="T979" s="17">
        <v>0</v>
      </c>
      <c r="U979" s="17">
        <v>1</v>
      </c>
      <c r="V979" s="17">
        <v>1</v>
      </c>
      <c r="W979" s="17" t="s">
        <v>26</v>
      </c>
      <c r="X979" s="17" t="s">
        <v>26</v>
      </c>
      <c r="Y979" s="17" t="s">
        <v>26</v>
      </c>
      <c r="AA979" s="11"/>
      <c r="AB979" s="11"/>
      <c r="AC979" s="66"/>
      <c r="AD979" s="67"/>
      <c r="AF979" s="36"/>
    </row>
    <row r="980" spans="1:32" ht="16" x14ac:dyDescent="0.2">
      <c r="A980" s="21" t="s">
        <v>2957</v>
      </c>
      <c r="B980" s="17">
        <v>1</v>
      </c>
      <c r="C980" s="17">
        <v>0</v>
      </c>
      <c r="D980" s="5" t="s">
        <v>1821</v>
      </c>
      <c r="E980" s="22" t="s">
        <v>1801</v>
      </c>
      <c r="F980" s="106">
        <f t="shared" si="106"/>
        <v>2011</v>
      </c>
      <c r="G980" s="18">
        <v>40626</v>
      </c>
      <c r="H980" s="22" t="s">
        <v>2958</v>
      </c>
      <c r="I980" s="64">
        <v>0</v>
      </c>
      <c r="J980" s="107" t="s">
        <v>1831</v>
      </c>
      <c r="K980" s="17">
        <v>0</v>
      </c>
      <c r="L980" s="17">
        <v>0</v>
      </c>
      <c r="M980" s="22" t="s">
        <v>949</v>
      </c>
      <c r="N980" s="48" t="s">
        <v>2629</v>
      </c>
      <c r="P980" s="22" t="s">
        <v>1832</v>
      </c>
      <c r="Q980" s="29" t="s">
        <v>1833</v>
      </c>
      <c r="R980" s="17">
        <v>1</v>
      </c>
      <c r="S980" s="17">
        <v>0</v>
      </c>
      <c r="T980" s="17">
        <v>0</v>
      </c>
      <c r="U980" s="17">
        <v>1</v>
      </c>
      <c r="V980" s="17">
        <v>0</v>
      </c>
      <c r="W980" s="17" t="s">
        <v>26</v>
      </c>
      <c r="X980" s="17" t="s">
        <v>26</v>
      </c>
      <c r="Y980" s="17" t="s">
        <v>26</v>
      </c>
      <c r="AA980" s="11"/>
      <c r="AB980" s="11"/>
      <c r="AC980" s="66"/>
      <c r="AD980" s="67"/>
    </row>
    <row r="981" spans="1:32" ht="16" x14ac:dyDescent="0.2">
      <c r="A981" s="21" t="s">
        <v>2957</v>
      </c>
      <c r="B981" s="17">
        <v>1</v>
      </c>
      <c r="C981" s="17">
        <v>0</v>
      </c>
      <c r="D981" s="5" t="s">
        <v>1834</v>
      </c>
      <c r="E981" s="22" t="s">
        <v>1801</v>
      </c>
      <c r="F981" s="106">
        <f t="shared" si="106"/>
        <v>2012</v>
      </c>
      <c r="G981" s="18">
        <v>40933</v>
      </c>
      <c r="H981" s="22" t="s">
        <v>2958</v>
      </c>
      <c r="I981" s="64">
        <v>0</v>
      </c>
      <c r="J981" s="107" t="s">
        <v>1835</v>
      </c>
      <c r="K981" s="17">
        <v>0</v>
      </c>
      <c r="L981" s="17">
        <v>0</v>
      </c>
      <c r="M981" s="54" t="s">
        <v>2858</v>
      </c>
      <c r="N981" s="54" t="s">
        <v>2631</v>
      </c>
      <c r="P981" s="22" t="s">
        <v>1836</v>
      </c>
      <c r="Q981" s="29" t="s">
        <v>1831</v>
      </c>
      <c r="R981" s="17">
        <v>1</v>
      </c>
      <c r="S981" s="17">
        <v>0</v>
      </c>
      <c r="T981" s="17">
        <v>0</v>
      </c>
      <c r="U981" s="17">
        <v>1</v>
      </c>
      <c r="V981" s="17">
        <v>1</v>
      </c>
      <c r="W981" s="17" t="s">
        <v>26</v>
      </c>
      <c r="X981" s="17" t="s">
        <v>26</v>
      </c>
      <c r="Y981" s="17" t="s">
        <v>26</v>
      </c>
      <c r="AA981" s="11"/>
      <c r="AB981" s="11"/>
      <c r="AC981" s="66"/>
      <c r="AD981" s="67"/>
    </row>
    <row r="982" spans="1:32" ht="16" x14ac:dyDescent="0.2">
      <c r="A982" s="21" t="s">
        <v>2957</v>
      </c>
      <c r="B982" s="17">
        <v>1</v>
      </c>
      <c r="C982" s="17">
        <v>0</v>
      </c>
      <c r="D982" s="5" t="s">
        <v>1834</v>
      </c>
      <c r="E982" s="22" t="s">
        <v>1801</v>
      </c>
      <c r="F982" s="106">
        <f t="shared" si="106"/>
        <v>2013</v>
      </c>
      <c r="G982" s="18">
        <v>41310</v>
      </c>
      <c r="H982" s="22" t="s">
        <v>2958</v>
      </c>
      <c r="I982" s="64">
        <v>0</v>
      </c>
      <c r="J982" s="107" t="s">
        <v>1837</v>
      </c>
      <c r="K982" s="17">
        <v>0</v>
      </c>
      <c r="L982" s="17">
        <v>0</v>
      </c>
      <c r="M982" s="54" t="s">
        <v>2858</v>
      </c>
      <c r="N982" s="54" t="s">
        <v>2631</v>
      </c>
      <c r="P982" s="22" t="s">
        <v>1838</v>
      </c>
      <c r="Q982" s="29" t="s">
        <v>1839</v>
      </c>
      <c r="R982" s="17">
        <v>1</v>
      </c>
      <c r="S982" s="17">
        <v>0</v>
      </c>
      <c r="T982" s="17">
        <v>0</v>
      </c>
      <c r="U982" s="17">
        <v>1</v>
      </c>
      <c r="V982" s="17">
        <v>1</v>
      </c>
      <c r="W982" s="17" t="s">
        <v>26</v>
      </c>
      <c r="X982" s="17" t="s">
        <v>26</v>
      </c>
      <c r="Y982" s="17" t="s">
        <v>26</v>
      </c>
      <c r="AA982" s="11"/>
      <c r="AB982" s="11"/>
      <c r="AC982" s="66"/>
      <c r="AD982" s="67"/>
    </row>
    <row r="983" spans="1:32" ht="16" x14ac:dyDescent="0.2">
      <c r="A983" t="s">
        <v>2975</v>
      </c>
      <c r="B983" s="17">
        <v>1</v>
      </c>
      <c r="C983" s="17">
        <v>1</v>
      </c>
      <c r="D983" s="22" t="s">
        <v>1840</v>
      </c>
      <c r="E983" s="22" t="s">
        <v>1841</v>
      </c>
      <c r="F983" s="17">
        <v>2003</v>
      </c>
      <c r="G983" s="18">
        <v>37698</v>
      </c>
      <c r="H983" s="22" t="s">
        <v>2976</v>
      </c>
      <c r="I983" s="64">
        <v>0</v>
      </c>
      <c r="J983" s="22" t="s">
        <v>1842</v>
      </c>
      <c r="K983" s="17">
        <v>0</v>
      </c>
      <c r="L983" s="59">
        <v>1</v>
      </c>
      <c r="M983" t="s">
        <v>30</v>
      </c>
      <c r="N983" t="s">
        <v>2121</v>
      </c>
      <c r="Q983" s="29" t="s">
        <v>1843</v>
      </c>
      <c r="R983" s="17">
        <v>1</v>
      </c>
      <c r="S983" s="17">
        <v>0</v>
      </c>
      <c r="T983" s="17">
        <v>0</v>
      </c>
      <c r="U983" s="17">
        <v>0</v>
      </c>
      <c r="V983" s="17">
        <v>0</v>
      </c>
      <c r="W983" s="17">
        <v>412</v>
      </c>
      <c r="X983" s="17">
        <v>149</v>
      </c>
      <c r="Y983" s="17">
        <v>0</v>
      </c>
      <c r="Z983" s="17">
        <f t="shared" ref="Z983:Z1022" si="112">SUM(W983:Y983)</f>
        <v>561</v>
      </c>
      <c r="AA983" s="11">
        <f t="shared" ref="AA983:AA1022" si="113">W983/Z983</f>
        <v>0.73440285204991085</v>
      </c>
      <c r="AB983" s="11">
        <f t="shared" ref="AB983:AB1022" si="114">X983/Z983</f>
        <v>0.26559714795008915</v>
      </c>
      <c r="AC983" s="66">
        <f t="shared" ref="AC983:AC1022" si="115">IF(K983=1,AB983,AA983)</f>
        <v>0.73440285204991085</v>
      </c>
      <c r="AD983" s="67">
        <f t="shared" ref="AD983:AD1022" si="116">SUM((MAX(W983,X983,Y983)-0.5*(SUM(W983+X983+Y983)-MAX(W983,X983,Y983)))/SUM(W983+X983+Y983))</f>
        <v>0.60160427807486627</v>
      </c>
    </row>
    <row r="984" spans="1:32" ht="16" x14ac:dyDescent="0.2">
      <c r="A984" t="s">
        <v>2975</v>
      </c>
      <c r="B984" s="17">
        <v>1</v>
      </c>
      <c r="C984" s="17">
        <v>1</v>
      </c>
      <c r="D984" s="22" t="s">
        <v>1844</v>
      </c>
      <c r="E984" s="22" t="s">
        <v>3032</v>
      </c>
      <c r="F984" s="17">
        <v>2010</v>
      </c>
      <c r="G984" s="18">
        <v>40430</v>
      </c>
      <c r="H984" s="22" t="s">
        <v>2976</v>
      </c>
      <c r="I984" s="64">
        <v>0</v>
      </c>
      <c r="J984" s="22" t="s">
        <v>1845</v>
      </c>
      <c r="K984" s="7">
        <v>0</v>
      </c>
      <c r="L984" s="59">
        <v>1</v>
      </c>
      <c r="M984" s="5" t="s">
        <v>422</v>
      </c>
      <c r="N984" t="s">
        <v>422</v>
      </c>
      <c r="Q984" s="29" t="s">
        <v>1846</v>
      </c>
      <c r="R984" s="17">
        <v>1</v>
      </c>
      <c r="S984" s="17">
        <v>0</v>
      </c>
      <c r="T984" s="17">
        <v>0</v>
      </c>
      <c r="U984" s="17">
        <v>0</v>
      </c>
      <c r="V984" s="17">
        <v>1</v>
      </c>
      <c r="W984" s="17">
        <v>310</v>
      </c>
      <c r="X984" s="17">
        <v>14</v>
      </c>
      <c r="Y984" s="17">
        <v>0</v>
      </c>
      <c r="Z984" s="17">
        <f t="shared" si="112"/>
        <v>324</v>
      </c>
      <c r="AA984" s="11">
        <f t="shared" si="113"/>
        <v>0.95679012345679015</v>
      </c>
      <c r="AB984" s="11">
        <f t="shared" si="114"/>
        <v>4.3209876543209874E-2</v>
      </c>
      <c r="AC984" s="66">
        <f t="shared" si="115"/>
        <v>0.95679012345679015</v>
      </c>
      <c r="AD984" s="67">
        <f t="shared" si="116"/>
        <v>0.93518518518518523</v>
      </c>
    </row>
    <row r="985" spans="1:32" ht="16" x14ac:dyDescent="0.2">
      <c r="A985" t="s">
        <v>2975</v>
      </c>
      <c r="B985" s="17">
        <v>1</v>
      </c>
      <c r="C985" s="17">
        <v>1</v>
      </c>
      <c r="D985" s="22" t="s">
        <v>1844</v>
      </c>
      <c r="E985" s="22" t="s">
        <v>3032</v>
      </c>
      <c r="F985" s="17">
        <v>2011</v>
      </c>
      <c r="G985" s="18">
        <v>40623</v>
      </c>
      <c r="H985" s="22" t="s">
        <v>2976</v>
      </c>
      <c r="I985" s="64">
        <v>0</v>
      </c>
      <c r="J985" s="22" t="s">
        <v>1847</v>
      </c>
      <c r="K985" s="17">
        <v>0</v>
      </c>
      <c r="L985" s="59">
        <v>1</v>
      </c>
      <c r="M985" t="s">
        <v>949</v>
      </c>
      <c r="N985" s="48" t="s">
        <v>2629</v>
      </c>
      <c r="Q985" s="29" t="s">
        <v>1848</v>
      </c>
      <c r="R985" s="17">
        <v>1</v>
      </c>
      <c r="S985" s="17">
        <v>0</v>
      </c>
      <c r="T985" s="17">
        <v>0</v>
      </c>
      <c r="U985" s="17">
        <v>0</v>
      </c>
      <c r="V985" s="17">
        <v>0</v>
      </c>
      <c r="W985" s="17">
        <v>557</v>
      </c>
      <c r="X985" s="17">
        <v>13</v>
      </c>
      <c r="Y985" s="17">
        <v>0</v>
      </c>
      <c r="Z985" s="17">
        <f t="shared" si="112"/>
        <v>570</v>
      </c>
      <c r="AA985" s="11">
        <f t="shared" si="113"/>
        <v>0.97719298245614039</v>
      </c>
      <c r="AB985" s="11">
        <f t="shared" si="114"/>
        <v>2.2807017543859651E-2</v>
      </c>
      <c r="AC985" s="66">
        <f t="shared" si="115"/>
        <v>0.97719298245614039</v>
      </c>
      <c r="AD985" s="67">
        <f t="shared" si="116"/>
        <v>0.96578947368421053</v>
      </c>
    </row>
    <row r="986" spans="1:32" ht="16" x14ac:dyDescent="0.2">
      <c r="A986" t="s">
        <v>2975</v>
      </c>
      <c r="B986" s="17">
        <v>1</v>
      </c>
      <c r="C986" s="17">
        <v>1</v>
      </c>
      <c r="D986" s="22" t="s">
        <v>1844</v>
      </c>
      <c r="E986" s="22" t="s">
        <v>3032</v>
      </c>
      <c r="F986" s="17">
        <v>2013</v>
      </c>
      <c r="G986" s="18">
        <v>41515</v>
      </c>
      <c r="H986" s="22" t="s">
        <v>2976</v>
      </c>
      <c r="I986" s="64">
        <v>0</v>
      </c>
      <c r="J986" s="22" t="s">
        <v>1849</v>
      </c>
      <c r="K986" s="17">
        <v>0</v>
      </c>
      <c r="L986" s="59">
        <v>1</v>
      </c>
      <c r="M986" t="s">
        <v>2574</v>
      </c>
      <c r="N986" t="s">
        <v>2121</v>
      </c>
      <c r="Q986" s="29" t="s">
        <v>1850</v>
      </c>
      <c r="R986" s="17">
        <v>1</v>
      </c>
      <c r="S986" s="17">
        <v>0</v>
      </c>
      <c r="T986" s="17">
        <v>0</v>
      </c>
      <c r="U986" s="17">
        <v>0</v>
      </c>
      <c r="V986" s="17">
        <v>0</v>
      </c>
      <c r="W986" s="17">
        <v>270</v>
      </c>
      <c r="X986" s="17">
        <v>283</v>
      </c>
      <c r="Y986" s="17">
        <v>2</v>
      </c>
      <c r="Z986" s="17">
        <f t="shared" si="112"/>
        <v>555</v>
      </c>
      <c r="AA986" s="11">
        <f t="shared" si="113"/>
        <v>0.48648648648648651</v>
      </c>
      <c r="AB986" s="11">
        <f t="shared" si="114"/>
        <v>0.50990990990990992</v>
      </c>
      <c r="AC986" s="66">
        <f t="shared" si="115"/>
        <v>0.48648648648648651</v>
      </c>
      <c r="AD986" s="67">
        <f t="shared" si="116"/>
        <v>0.26486486486486488</v>
      </c>
    </row>
    <row r="987" spans="1:32" ht="16" x14ac:dyDescent="0.2">
      <c r="A987" t="s">
        <v>2975</v>
      </c>
      <c r="B987" s="17">
        <v>1</v>
      </c>
      <c r="C987" s="17">
        <v>1</v>
      </c>
      <c r="D987" s="22" t="s">
        <v>1844</v>
      </c>
      <c r="E987" s="22" t="s">
        <v>3032</v>
      </c>
      <c r="F987" s="17">
        <v>2014</v>
      </c>
      <c r="G987" s="18">
        <v>41908</v>
      </c>
      <c r="H987" s="22" t="s">
        <v>2976</v>
      </c>
      <c r="I987" s="64">
        <v>0</v>
      </c>
      <c r="J987" s="22" t="s">
        <v>1851</v>
      </c>
      <c r="K987" s="17">
        <v>0</v>
      </c>
      <c r="L987" s="59">
        <v>1</v>
      </c>
      <c r="M987" t="s">
        <v>2544</v>
      </c>
      <c r="N987" s="22" t="s">
        <v>2121</v>
      </c>
      <c r="Q987" s="29" t="s">
        <v>1852</v>
      </c>
      <c r="R987" s="17">
        <v>1</v>
      </c>
      <c r="S987" s="17">
        <v>0</v>
      </c>
      <c r="T987" s="17">
        <v>0</v>
      </c>
      <c r="U987" s="17">
        <v>0</v>
      </c>
      <c r="V987" s="17">
        <v>0</v>
      </c>
      <c r="W987" s="17">
        <v>523</v>
      </c>
      <c r="X987" s="17">
        <v>42</v>
      </c>
      <c r="Y987" s="17">
        <v>1</v>
      </c>
      <c r="Z987" s="17">
        <f t="shared" si="112"/>
        <v>566</v>
      </c>
      <c r="AA987" s="11">
        <f t="shared" si="113"/>
        <v>0.92402826855123676</v>
      </c>
      <c r="AB987" s="11">
        <f t="shared" si="114"/>
        <v>7.4204946996466431E-2</v>
      </c>
      <c r="AC987" s="66">
        <f t="shared" si="115"/>
        <v>0.92402826855123676</v>
      </c>
      <c r="AD987" s="67">
        <f t="shared" si="116"/>
        <v>0.88604240282685509</v>
      </c>
    </row>
    <row r="988" spans="1:32" ht="16" x14ac:dyDescent="0.2">
      <c r="A988" t="s">
        <v>2975</v>
      </c>
      <c r="B988" s="17">
        <v>1</v>
      </c>
      <c r="C988" s="17">
        <v>1</v>
      </c>
      <c r="D988" s="109" t="s">
        <v>1853</v>
      </c>
      <c r="E988" s="22" t="s">
        <v>1854</v>
      </c>
      <c r="F988" s="17">
        <v>2015</v>
      </c>
      <c r="G988" s="18">
        <v>42340</v>
      </c>
      <c r="H988" s="22" t="s">
        <v>2976</v>
      </c>
      <c r="I988" s="64">
        <v>0</v>
      </c>
      <c r="J988" s="22" t="s">
        <v>1855</v>
      </c>
      <c r="K988" s="17">
        <v>0</v>
      </c>
      <c r="L988" s="59">
        <v>1</v>
      </c>
      <c r="M988" t="s">
        <v>2543</v>
      </c>
      <c r="N988" s="22" t="s">
        <v>2121</v>
      </c>
      <c r="Q988" s="29" t="s">
        <v>1856</v>
      </c>
      <c r="R988" s="17">
        <v>1</v>
      </c>
      <c r="S988" s="17">
        <v>0</v>
      </c>
      <c r="T988" s="17">
        <v>0</v>
      </c>
      <c r="U988" s="17">
        <v>0</v>
      </c>
      <c r="V988" s="17">
        <v>0</v>
      </c>
      <c r="W988" s="110">
        <v>397</v>
      </c>
      <c r="X988" s="110">
        <v>223</v>
      </c>
      <c r="Y988" s="110">
        <v>0</v>
      </c>
      <c r="Z988" s="17">
        <f t="shared" si="112"/>
        <v>620</v>
      </c>
      <c r="AA988" s="11">
        <f t="shared" si="113"/>
        <v>0.64032258064516134</v>
      </c>
      <c r="AB988" s="11">
        <f t="shared" si="114"/>
        <v>0.35967741935483871</v>
      </c>
      <c r="AC988" s="66">
        <f t="shared" si="115"/>
        <v>0.64032258064516134</v>
      </c>
      <c r="AD988" s="67">
        <f t="shared" si="116"/>
        <v>0.46048387096774196</v>
      </c>
    </row>
    <row r="989" spans="1:32" ht="16" x14ac:dyDescent="0.2">
      <c r="A989" s="84" t="s">
        <v>1857</v>
      </c>
      <c r="B989" s="7">
        <v>1</v>
      </c>
      <c r="C989" s="4">
        <v>1</v>
      </c>
      <c r="D989" s="57" t="s">
        <v>1858</v>
      </c>
      <c r="E989" s="58" t="s">
        <v>1859</v>
      </c>
      <c r="F989" s="64">
        <f t="shared" ref="F989:F1022" si="117">YEAR(G989)</f>
        <v>1991</v>
      </c>
      <c r="G989" s="111">
        <v>33250</v>
      </c>
      <c r="H989" s="58" t="s">
        <v>2531</v>
      </c>
      <c r="I989" s="64">
        <v>0</v>
      </c>
      <c r="J989" s="12" t="s">
        <v>1860</v>
      </c>
      <c r="K989" s="7">
        <v>0</v>
      </c>
      <c r="L989" s="59">
        <v>1</v>
      </c>
      <c r="M989" t="s">
        <v>23</v>
      </c>
      <c r="N989" s="48" t="s">
        <v>2121</v>
      </c>
      <c r="O989" s="8"/>
      <c r="P989" s="8" t="s">
        <v>1863</v>
      </c>
      <c r="Q989" s="29" t="s">
        <v>1864</v>
      </c>
      <c r="R989" s="9">
        <v>1</v>
      </c>
      <c r="S989" s="9">
        <v>0</v>
      </c>
      <c r="T989" s="9">
        <v>0</v>
      </c>
      <c r="U989" s="7">
        <v>0</v>
      </c>
      <c r="V989" s="7">
        <v>0</v>
      </c>
      <c r="W989" s="112">
        <v>52</v>
      </c>
      <c r="X989" s="112">
        <v>47</v>
      </c>
      <c r="Y989" s="112">
        <v>0</v>
      </c>
      <c r="Z989" s="6">
        <f t="shared" si="112"/>
        <v>99</v>
      </c>
      <c r="AA989" s="11">
        <f t="shared" si="113"/>
        <v>0.5252525252525253</v>
      </c>
      <c r="AB989" s="11">
        <f t="shared" si="114"/>
        <v>0.47474747474747475</v>
      </c>
      <c r="AC989" s="66">
        <f t="shared" si="115"/>
        <v>0.5252525252525253</v>
      </c>
      <c r="AD989" s="67">
        <f t="shared" si="116"/>
        <v>0.2878787878787879</v>
      </c>
    </row>
    <row r="990" spans="1:32" ht="16" x14ac:dyDescent="0.2">
      <c r="A990" s="84" t="s">
        <v>1857</v>
      </c>
      <c r="B990" s="7">
        <v>1</v>
      </c>
      <c r="C990" s="4">
        <v>1</v>
      </c>
      <c r="D990" s="57" t="s">
        <v>1858</v>
      </c>
      <c r="E990" s="58" t="s">
        <v>1859</v>
      </c>
      <c r="F990" s="64">
        <f t="shared" si="117"/>
        <v>1991</v>
      </c>
      <c r="G990" s="111">
        <v>33250</v>
      </c>
      <c r="H990" s="57" t="s">
        <v>2530</v>
      </c>
      <c r="I990" s="64">
        <v>0</v>
      </c>
      <c r="J990" s="12" t="s">
        <v>1860</v>
      </c>
      <c r="K990" s="17">
        <v>0</v>
      </c>
      <c r="L990" s="59">
        <v>1</v>
      </c>
      <c r="M990" t="s">
        <v>23</v>
      </c>
      <c r="N990" s="48" t="s">
        <v>2121</v>
      </c>
      <c r="O990" s="8"/>
      <c r="P990" s="8" t="s">
        <v>1861</v>
      </c>
      <c r="Q990" s="29" t="s">
        <v>1862</v>
      </c>
      <c r="R990" s="9">
        <v>1</v>
      </c>
      <c r="S990" s="9">
        <v>0</v>
      </c>
      <c r="T990" s="9">
        <v>0</v>
      </c>
      <c r="U990" s="7">
        <v>0</v>
      </c>
      <c r="V990" s="7">
        <v>0</v>
      </c>
      <c r="W990" s="112">
        <v>250</v>
      </c>
      <c r="X990" s="112">
        <v>183</v>
      </c>
      <c r="Y990" s="112">
        <v>0</v>
      </c>
      <c r="Z990" s="6">
        <f t="shared" si="112"/>
        <v>433</v>
      </c>
      <c r="AA990" s="11">
        <f t="shared" si="113"/>
        <v>0.57736720554272514</v>
      </c>
      <c r="AB990" s="11">
        <f t="shared" si="114"/>
        <v>0.42263279445727481</v>
      </c>
      <c r="AC990" s="66">
        <f t="shared" si="115"/>
        <v>0.57736720554272514</v>
      </c>
      <c r="AD990" s="67">
        <f t="shared" si="116"/>
        <v>0.36605080831408776</v>
      </c>
    </row>
    <row r="991" spans="1:32" ht="16" x14ac:dyDescent="0.2">
      <c r="A991" s="84" t="s">
        <v>1857</v>
      </c>
      <c r="B991" s="7">
        <v>1</v>
      </c>
      <c r="C991" s="4">
        <v>1</v>
      </c>
      <c r="D991" s="57" t="s">
        <v>1865</v>
      </c>
      <c r="E991" s="58" t="s">
        <v>1866</v>
      </c>
      <c r="F991" s="64">
        <f t="shared" si="117"/>
        <v>1993</v>
      </c>
      <c r="G991" s="111">
        <v>34114</v>
      </c>
      <c r="H991" s="57" t="s">
        <v>2530</v>
      </c>
      <c r="I991" s="64">
        <v>0</v>
      </c>
      <c r="J991" s="5" t="s">
        <v>1867</v>
      </c>
      <c r="K991" s="17">
        <v>0</v>
      </c>
      <c r="L991" s="59">
        <v>1</v>
      </c>
      <c r="M991" s="57" t="s">
        <v>1868</v>
      </c>
      <c r="N991" s="57" t="s">
        <v>2629</v>
      </c>
      <c r="P991" s="22" t="s">
        <v>1869</v>
      </c>
      <c r="Q991" s="29" t="s">
        <v>1870</v>
      </c>
      <c r="R991" s="17">
        <v>1</v>
      </c>
      <c r="S991" s="17">
        <v>0</v>
      </c>
      <c r="T991" s="17">
        <v>0</v>
      </c>
      <c r="U991" s="17">
        <v>0</v>
      </c>
      <c r="V991" s="17">
        <v>0</v>
      </c>
      <c r="W991" s="112">
        <v>243</v>
      </c>
      <c r="X991" s="112">
        <v>179</v>
      </c>
      <c r="Y991" s="112">
        <v>0</v>
      </c>
      <c r="Z991" s="6">
        <f t="shared" si="112"/>
        <v>422</v>
      </c>
      <c r="AA991" s="11">
        <f t="shared" si="113"/>
        <v>0.57582938388625593</v>
      </c>
      <c r="AB991" s="11">
        <f t="shared" si="114"/>
        <v>0.42417061611374407</v>
      </c>
      <c r="AC991" s="66">
        <f t="shared" si="115"/>
        <v>0.57582938388625593</v>
      </c>
      <c r="AD991" s="67">
        <f t="shared" si="116"/>
        <v>0.36374407582938389</v>
      </c>
    </row>
    <row r="992" spans="1:32" ht="16" x14ac:dyDescent="0.2">
      <c r="A992" t="s">
        <v>1857</v>
      </c>
      <c r="B992" s="7">
        <v>1</v>
      </c>
      <c r="C992" s="4">
        <v>1</v>
      </c>
      <c r="D992" s="58" t="s">
        <v>1895</v>
      </c>
      <c r="E992" s="58" t="s">
        <v>1866</v>
      </c>
      <c r="F992" s="64">
        <f t="shared" si="117"/>
        <v>1994</v>
      </c>
      <c r="G992" s="28">
        <v>34613</v>
      </c>
      <c r="H992" s="58" t="s">
        <v>2531</v>
      </c>
      <c r="I992" s="64">
        <v>0</v>
      </c>
      <c r="J992" s="5" t="s">
        <v>1909</v>
      </c>
      <c r="K992" s="17">
        <v>1</v>
      </c>
      <c r="L992" s="59">
        <v>1</v>
      </c>
      <c r="M992" s="58" t="s">
        <v>2848</v>
      </c>
      <c r="N992" s="58" t="s">
        <v>2632</v>
      </c>
      <c r="P992" s="22" t="s">
        <v>1910</v>
      </c>
      <c r="Q992" s="29" t="s">
        <v>1911</v>
      </c>
      <c r="R992" s="17">
        <v>1</v>
      </c>
      <c r="S992" s="17">
        <v>0</v>
      </c>
      <c r="T992" s="17">
        <v>0</v>
      </c>
      <c r="U992" s="17">
        <v>0</v>
      </c>
      <c r="V992" s="17">
        <v>0</v>
      </c>
      <c r="W992" s="64">
        <v>91</v>
      </c>
      <c r="X992" s="64">
        <v>8</v>
      </c>
      <c r="Y992" s="64">
        <v>0</v>
      </c>
      <c r="Z992" s="6">
        <f t="shared" si="112"/>
        <v>99</v>
      </c>
      <c r="AA992" s="11">
        <f t="shared" si="113"/>
        <v>0.91919191919191923</v>
      </c>
      <c r="AB992" s="11">
        <f t="shared" si="114"/>
        <v>8.0808080808080815E-2</v>
      </c>
      <c r="AC992" s="66">
        <f t="shared" si="115"/>
        <v>8.0808080808080815E-2</v>
      </c>
      <c r="AD992" s="67">
        <f t="shared" si="116"/>
        <v>0.87878787878787878</v>
      </c>
    </row>
    <row r="993" spans="1:30" ht="16" x14ac:dyDescent="0.2">
      <c r="A993" t="s">
        <v>1857</v>
      </c>
      <c r="B993" s="7">
        <v>1</v>
      </c>
      <c r="C993" s="4">
        <v>1</v>
      </c>
      <c r="D993" s="58" t="s">
        <v>1895</v>
      </c>
      <c r="E993" s="58" t="s">
        <v>1866</v>
      </c>
      <c r="F993" s="64">
        <f t="shared" si="117"/>
        <v>1994</v>
      </c>
      <c r="G993" s="28">
        <v>34614</v>
      </c>
      <c r="H993" s="57" t="s">
        <v>2530</v>
      </c>
      <c r="I993" s="64">
        <v>0</v>
      </c>
      <c r="J993" s="5" t="s">
        <v>1912</v>
      </c>
      <c r="K993" s="17">
        <v>1</v>
      </c>
      <c r="L993" s="59">
        <v>1</v>
      </c>
      <c r="M993" s="58" t="s">
        <v>2848</v>
      </c>
      <c r="N993" s="58" t="s">
        <v>2632</v>
      </c>
      <c r="P993" s="22" t="s">
        <v>1913</v>
      </c>
      <c r="Q993" s="29" t="s">
        <v>1914</v>
      </c>
      <c r="R993" s="17">
        <v>1</v>
      </c>
      <c r="S993" s="17">
        <v>0</v>
      </c>
      <c r="T993" s="17">
        <v>0</v>
      </c>
      <c r="U993" s="17">
        <v>0</v>
      </c>
      <c r="V993" s="17">
        <v>0</v>
      </c>
      <c r="W993" s="64">
        <v>236</v>
      </c>
      <c r="X993" s="64">
        <v>182</v>
      </c>
      <c r="Y993" s="64">
        <v>1</v>
      </c>
      <c r="Z993" s="6">
        <f t="shared" si="112"/>
        <v>419</v>
      </c>
      <c r="AA993" s="11">
        <f t="shared" si="113"/>
        <v>0.56324582338902152</v>
      </c>
      <c r="AB993" s="11">
        <f t="shared" si="114"/>
        <v>0.43436754176610981</v>
      </c>
      <c r="AC993" s="66">
        <f t="shared" si="115"/>
        <v>0.43436754176610981</v>
      </c>
      <c r="AD993" s="67">
        <f t="shared" si="116"/>
        <v>0.34486873508353222</v>
      </c>
    </row>
    <row r="994" spans="1:30" ht="16" x14ac:dyDescent="0.2">
      <c r="A994" t="s">
        <v>1857</v>
      </c>
      <c r="B994" s="7">
        <v>1</v>
      </c>
      <c r="C994" s="4">
        <v>1</v>
      </c>
      <c r="D994" s="58" t="s">
        <v>1895</v>
      </c>
      <c r="E994" s="58" t="s">
        <v>1866</v>
      </c>
      <c r="F994" s="64">
        <f t="shared" si="117"/>
        <v>1995</v>
      </c>
      <c r="G994" s="28">
        <v>35020</v>
      </c>
      <c r="H994" s="57" t="s">
        <v>2530</v>
      </c>
      <c r="I994" s="64">
        <v>0</v>
      </c>
      <c r="J994" s="5" t="s">
        <v>1915</v>
      </c>
      <c r="K994" s="17">
        <v>1</v>
      </c>
      <c r="L994" s="59">
        <v>1</v>
      </c>
      <c r="M994" s="58" t="s">
        <v>2625</v>
      </c>
      <c r="N994" s="58" t="s">
        <v>2630</v>
      </c>
      <c r="P994" s="22" t="s">
        <v>1916</v>
      </c>
      <c r="Q994" s="22" t="s">
        <v>1917</v>
      </c>
      <c r="R994" s="17">
        <v>1</v>
      </c>
      <c r="S994" s="17">
        <v>0</v>
      </c>
      <c r="T994" s="17">
        <v>0</v>
      </c>
      <c r="U994" s="17">
        <v>0</v>
      </c>
      <c r="V994" s="17">
        <v>0</v>
      </c>
      <c r="W994" s="64">
        <v>243</v>
      </c>
      <c r="X994" s="64">
        <v>171</v>
      </c>
      <c r="Y994" s="64">
        <v>2</v>
      </c>
      <c r="Z994" s="6">
        <f t="shared" si="112"/>
        <v>416</v>
      </c>
      <c r="AA994" s="11">
        <f t="shared" si="113"/>
        <v>0.58413461538461542</v>
      </c>
      <c r="AB994" s="11">
        <f t="shared" si="114"/>
        <v>0.41105769230769229</v>
      </c>
      <c r="AC994" s="66">
        <f t="shared" si="115"/>
        <v>0.41105769230769229</v>
      </c>
      <c r="AD994" s="67">
        <f t="shared" si="116"/>
        <v>0.37620192307692307</v>
      </c>
    </row>
    <row r="995" spans="1:30" ht="16" x14ac:dyDescent="0.2">
      <c r="A995" t="s">
        <v>1857</v>
      </c>
      <c r="B995" s="7">
        <v>1</v>
      </c>
      <c r="C995" s="4">
        <v>1</v>
      </c>
      <c r="D995" s="58" t="s">
        <v>1895</v>
      </c>
      <c r="E995" s="58" t="s">
        <v>1866</v>
      </c>
      <c r="F995" s="64">
        <f t="shared" si="117"/>
        <v>1995</v>
      </c>
      <c r="G995" s="28">
        <v>35046</v>
      </c>
      <c r="H995" s="58" t="s">
        <v>2531</v>
      </c>
      <c r="I995" s="64">
        <v>0</v>
      </c>
      <c r="J995" s="5" t="s">
        <v>1915</v>
      </c>
      <c r="K995" s="17">
        <v>1</v>
      </c>
      <c r="L995" s="59">
        <v>1</v>
      </c>
      <c r="M995" s="58" t="s">
        <v>2625</v>
      </c>
      <c r="N995" s="58" t="s">
        <v>2630</v>
      </c>
      <c r="P995" s="22" t="s">
        <v>1916</v>
      </c>
      <c r="Q995" s="22" t="s">
        <v>1918</v>
      </c>
      <c r="R995" s="17">
        <v>1</v>
      </c>
      <c r="S995" s="17">
        <v>0</v>
      </c>
      <c r="T995" s="17">
        <v>0</v>
      </c>
      <c r="U995" s="17">
        <v>0</v>
      </c>
      <c r="V995" s="17">
        <v>0</v>
      </c>
      <c r="W995" s="64">
        <v>22</v>
      </c>
      <c r="X995" s="64">
        <v>77</v>
      </c>
      <c r="Y995" s="64">
        <v>0</v>
      </c>
      <c r="Z995" s="6">
        <f t="shared" si="112"/>
        <v>99</v>
      </c>
      <c r="AA995" s="11">
        <f t="shared" si="113"/>
        <v>0.22222222222222221</v>
      </c>
      <c r="AB995" s="11">
        <f t="shared" si="114"/>
        <v>0.77777777777777779</v>
      </c>
      <c r="AC995" s="66">
        <f t="shared" si="115"/>
        <v>0.77777777777777779</v>
      </c>
      <c r="AD995" s="67">
        <f t="shared" si="116"/>
        <v>0.66666666666666663</v>
      </c>
    </row>
    <row r="996" spans="1:30" ht="16" x14ac:dyDescent="0.2">
      <c r="A996" t="s">
        <v>1857</v>
      </c>
      <c r="B996" s="7">
        <v>1</v>
      </c>
      <c r="C996" s="4">
        <v>1</v>
      </c>
      <c r="D996" s="58" t="s">
        <v>1895</v>
      </c>
      <c r="E996" s="58" t="s">
        <v>1866</v>
      </c>
      <c r="F996" s="64">
        <f t="shared" si="117"/>
        <v>1995</v>
      </c>
      <c r="G996" s="28">
        <v>35046</v>
      </c>
      <c r="H996" s="57" t="s">
        <v>2530</v>
      </c>
      <c r="I996" s="64">
        <v>0</v>
      </c>
      <c r="J996" s="5" t="s">
        <v>1919</v>
      </c>
      <c r="K996" s="17">
        <v>1</v>
      </c>
      <c r="L996" s="59">
        <v>1</v>
      </c>
      <c r="M996" s="58" t="s">
        <v>2625</v>
      </c>
      <c r="N996" s="58" t="s">
        <v>2630</v>
      </c>
      <c r="P996" s="22" t="s">
        <v>1920</v>
      </c>
      <c r="Q996" s="22" t="s">
        <v>1921</v>
      </c>
      <c r="R996" s="17">
        <v>1</v>
      </c>
      <c r="S996" s="17">
        <v>0</v>
      </c>
      <c r="T996" s="17">
        <v>0</v>
      </c>
      <c r="U996" s="17">
        <v>0</v>
      </c>
      <c r="V996" s="17">
        <v>0</v>
      </c>
      <c r="W996" s="64">
        <v>210</v>
      </c>
      <c r="X996" s="64">
        <v>218</v>
      </c>
      <c r="Y996" s="64">
        <v>0</v>
      </c>
      <c r="Z996" s="6">
        <f t="shared" si="112"/>
        <v>428</v>
      </c>
      <c r="AA996" s="11">
        <f t="shared" si="113"/>
        <v>0.49065420560747663</v>
      </c>
      <c r="AB996" s="11">
        <f t="shared" si="114"/>
        <v>0.50934579439252337</v>
      </c>
      <c r="AC996" s="66">
        <f t="shared" si="115"/>
        <v>0.50934579439252337</v>
      </c>
      <c r="AD996" s="67">
        <f t="shared" si="116"/>
        <v>0.26401869158878505</v>
      </c>
    </row>
    <row r="997" spans="1:30" ht="16" x14ac:dyDescent="0.2">
      <c r="A997" t="s">
        <v>1857</v>
      </c>
      <c r="B997" s="7">
        <v>1</v>
      </c>
      <c r="C997" s="4">
        <v>1</v>
      </c>
      <c r="D997" s="22" t="s">
        <v>1895</v>
      </c>
      <c r="E997" s="58" t="s">
        <v>1866</v>
      </c>
      <c r="F997" s="64">
        <f t="shared" si="117"/>
        <v>1995</v>
      </c>
      <c r="G997" s="28">
        <v>35047</v>
      </c>
      <c r="H997" s="58" t="s">
        <v>2531</v>
      </c>
      <c r="I997" s="17">
        <v>0</v>
      </c>
      <c r="J997" s="5" t="s">
        <v>1922</v>
      </c>
      <c r="K997" s="17">
        <v>0</v>
      </c>
      <c r="L997" s="59">
        <v>1</v>
      </c>
      <c r="M997" s="58" t="s">
        <v>2625</v>
      </c>
      <c r="N997" s="58" t="s">
        <v>2630</v>
      </c>
      <c r="P997" s="22" t="s">
        <v>1923</v>
      </c>
      <c r="Q997" s="22" t="s">
        <v>1924</v>
      </c>
      <c r="R997" s="17">
        <v>1</v>
      </c>
      <c r="S997" s="17">
        <v>0</v>
      </c>
      <c r="T997" s="17">
        <v>0</v>
      </c>
      <c r="U997" s="17">
        <v>0</v>
      </c>
      <c r="V997" s="17">
        <v>0</v>
      </c>
      <c r="W997" s="64">
        <v>69</v>
      </c>
      <c r="X997" s="64">
        <v>30</v>
      </c>
      <c r="Y997" s="64">
        <v>0</v>
      </c>
      <c r="Z997" s="6">
        <f t="shared" si="112"/>
        <v>99</v>
      </c>
      <c r="AA997" s="11">
        <f t="shared" si="113"/>
        <v>0.69696969696969702</v>
      </c>
      <c r="AB997" s="11">
        <f t="shared" si="114"/>
        <v>0.30303030303030304</v>
      </c>
      <c r="AC997" s="66">
        <f t="shared" si="115"/>
        <v>0.69696969696969702</v>
      </c>
      <c r="AD997" s="67">
        <f t="shared" si="116"/>
        <v>0.54545454545454541</v>
      </c>
    </row>
    <row r="998" spans="1:30" ht="16" x14ac:dyDescent="0.2">
      <c r="A998" t="s">
        <v>1857</v>
      </c>
      <c r="B998" s="7">
        <v>1</v>
      </c>
      <c r="C998" s="4">
        <v>1</v>
      </c>
      <c r="D998" s="58" t="s">
        <v>1895</v>
      </c>
      <c r="E998" s="58" t="s">
        <v>1866</v>
      </c>
      <c r="F998" s="64">
        <f t="shared" si="117"/>
        <v>1998</v>
      </c>
      <c r="G998" s="28">
        <v>35872</v>
      </c>
      <c r="H998" s="57" t="s">
        <v>2530</v>
      </c>
      <c r="I998" s="64">
        <v>0</v>
      </c>
      <c r="J998" s="5" t="s">
        <v>1896</v>
      </c>
      <c r="K998" s="17">
        <v>1</v>
      </c>
      <c r="L998" s="59">
        <v>1</v>
      </c>
      <c r="M998" s="58" t="s">
        <v>2625</v>
      </c>
      <c r="N998" s="58" t="s">
        <v>2630</v>
      </c>
      <c r="P998" s="22" t="s">
        <v>1897</v>
      </c>
      <c r="Q998" s="22" t="s">
        <v>1898</v>
      </c>
      <c r="R998" s="17">
        <v>1</v>
      </c>
      <c r="S998" s="17">
        <v>0</v>
      </c>
      <c r="T998" s="17">
        <v>0</v>
      </c>
      <c r="U998" s="17">
        <v>0</v>
      </c>
      <c r="V998" s="17">
        <v>0</v>
      </c>
      <c r="W998" s="64">
        <v>193</v>
      </c>
      <c r="X998" s="64">
        <v>193</v>
      </c>
      <c r="Y998" s="64">
        <v>0</v>
      </c>
      <c r="Z998" s="6">
        <f t="shared" si="112"/>
        <v>386</v>
      </c>
      <c r="AA998" s="11">
        <f t="shared" si="113"/>
        <v>0.5</v>
      </c>
      <c r="AB998" s="11">
        <f t="shared" si="114"/>
        <v>0.5</v>
      </c>
      <c r="AC998" s="66">
        <f t="shared" si="115"/>
        <v>0.5</v>
      </c>
      <c r="AD998" s="67">
        <f t="shared" si="116"/>
        <v>0.25</v>
      </c>
    </row>
    <row r="999" spans="1:30" ht="16" x14ac:dyDescent="0.2">
      <c r="A999" s="84" t="s">
        <v>1857</v>
      </c>
      <c r="B999" s="7">
        <v>1</v>
      </c>
      <c r="C999" s="4">
        <v>1</v>
      </c>
      <c r="D999" s="57" t="s">
        <v>1871</v>
      </c>
      <c r="E999" s="58" t="s">
        <v>1866</v>
      </c>
      <c r="F999" s="64">
        <f t="shared" si="117"/>
        <v>1999</v>
      </c>
      <c r="G999" s="111">
        <v>36230</v>
      </c>
      <c r="H999" s="57" t="s">
        <v>2530</v>
      </c>
      <c r="I999" s="64">
        <v>0</v>
      </c>
      <c r="J999" s="5" t="s">
        <v>1872</v>
      </c>
      <c r="K999" s="17">
        <v>0</v>
      </c>
      <c r="L999" s="59">
        <v>1</v>
      </c>
      <c r="M999" s="57" t="s">
        <v>2131</v>
      </c>
      <c r="N999" s="24" t="s">
        <v>2630</v>
      </c>
      <c r="P999" s="22" t="s">
        <v>1873</v>
      </c>
      <c r="Q999" s="29" t="s">
        <v>1874</v>
      </c>
      <c r="R999" s="17">
        <v>1</v>
      </c>
      <c r="S999" s="17">
        <v>0</v>
      </c>
      <c r="T999" s="17">
        <v>0</v>
      </c>
      <c r="U999" s="17">
        <v>0</v>
      </c>
      <c r="V999" s="17">
        <v>0</v>
      </c>
      <c r="W999" s="112">
        <v>219</v>
      </c>
      <c r="X999" s="112">
        <v>191</v>
      </c>
      <c r="Y999" s="112">
        <v>9</v>
      </c>
      <c r="Z999" s="6">
        <f t="shared" si="112"/>
        <v>419</v>
      </c>
      <c r="AA999" s="11">
        <f t="shared" si="113"/>
        <v>0.52267303102625295</v>
      </c>
      <c r="AB999" s="11">
        <f t="shared" si="114"/>
        <v>0.45584725536992843</v>
      </c>
      <c r="AC999" s="66">
        <f t="shared" si="115"/>
        <v>0.52267303102625295</v>
      </c>
      <c r="AD999" s="67">
        <f t="shared" si="116"/>
        <v>0.28400954653937949</v>
      </c>
    </row>
    <row r="1000" spans="1:30" ht="16" x14ac:dyDescent="0.2">
      <c r="A1000" s="84" t="s">
        <v>1857</v>
      </c>
      <c r="B1000" s="7">
        <v>1</v>
      </c>
      <c r="C1000" s="4">
        <v>1</v>
      </c>
      <c r="D1000" s="57" t="s">
        <v>1871</v>
      </c>
      <c r="E1000" s="58" t="s">
        <v>1866</v>
      </c>
      <c r="F1000" s="64">
        <f t="shared" si="117"/>
        <v>1999</v>
      </c>
      <c r="G1000" s="111">
        <v>36242</v>
      </c>
      <c r="H1000" s="58" t="s">
        <v>2531</v>
      </c>
      <c r="I1000" s="64">
        <v>0</v>
      </c>
      <c r="J1000" s="5" t="s">
        <v>1875</v>
      </c>
      <c r="K1000" s="17">
        <v>0</v>
      </c>
      <c r="L1000" s="59">
        <v>1</v>
      </c>
      <c r="M1000" s="57" t="s">
        <v>2131</v>
      </c>
      <c r="N1000" s="24" t="s">
        <v>2630</v>
      </c>
      <c r="P1000" s="22" t="s">
        <v>1876</v>
      </c>
      <c r="Q1000" s="29" t="s">
        <v>1877</v>
      </c>
      <c r="R1000" s="17">
        <v>1</v>
      </c>
      <c r="S1000" s="17">
        <v>0</v>
      </c>
      <c r="T1000" s="17">
        <v>0</v>
      </c>
      <c r="U1000" s="17">
        <v>0</v>
      </c>
      <c r="V1000" s="17">
        <v>0</v>
      </c>
      <c r="W1000" s="112">
        <v>58</v>
      </c>
      <c r="X1000" s="112">
        <v>41</v>
      </c>
      <c r="Y1000" s="112">
        <v>0</v>
      </c>
      <c r="Z1000" s="6">
        <f t="shared" si="112"/>
        <v>99</v>
      </c>
      <c r="AA1000" s="11">
        <f t="shared" si="113"/>
        <v>0.58585858585858586</v>
      </c>
      <c r="AB1000" s="11">
        <f t="shared" si="114"/>
        <v>0.41414141414141414</v>
      </c>
      <c r="AC1000" s="66">
        <f t="shared" si="115"/>
        <v>0.58585858585858586</v>
      </c>
      <c r="AD1000" s="67">
        <f t="shared" si="116"/>
        <v>0.37878787878787878</v>
      </c>
    </row>
    <row r="1001" spans="1:30" ht="16" x14ac:dyDescent="0.2">
      <c r="A1001" s="84" t="s">
        <v>1857</v>
      </c>
      <c r="B1001" s="7">
        <v>1</v>
      </c>
      <c r="C1001" s="4">
        <v>1</v>
      </c>
      <c r="D1001" s="57" t="s">
        <v>1871</v>
      </c>
      <c r="E1001" s="58" t="s">
        <v>1866</v>
      </c>
      <c r="F1001" s="64">
        <f t="shared" si="117"/>
        <v>1999</v>
      </c>
      <c r="G1001" s="111">
        <v>36278</v>
      </c>
      <c r="H1001" s="57" t="s">
        <v>2530</v>
      </c>
      <c r="I1001" s="64">
        <v>0</v>
      </c>
      <c r="J1001" s="5" t="s">
        <v>1878</v>
      </c>
      <c r="K1001" s="17">
        <v>0</v>
      </c>
      <c r="L1001" s="59">
        <v>1</v>
      </c>
      <c r="M1001" s="57" t="s">
        <v>2131</v>
      </c>
      <c r="N1001" s="24" t="s">
        <v>2630</v>
      </c>
      <c r="P1001" s="22" t="s">
        <v>1876</v>
      </c>
      <c r="Q1001" s="29" t="s">
        <v>1879</v>
      </c>
      <c r="R1001" s="17">
        <v>1</v>
      </c>
      <c r="S1001" s="17">
        <v>0</v>
      </c>
      <c r="T1001" s="17">
        <v>0</v>
      </c>
      <c r="U1001" s="17">
        <v>0</v>
      </c>
      <c r="V1001" s="17">
        <v>0</v>
      </c>
      <c r="W1001" s="112">
        <v>213</v>
      </c>
      <c r="X1001" s="112">
        <v>213</v>
      </c>
      <c r="Y1001" s="112">
        <v>0</v>
      </c>
      <c r="Z1001" s="6">
        <f t="shared" si="112"/>
        <v>426</v>
      </c>
      <c r="AA1001" s="11">
        <f t="shared" si="113"/>
        <v>0.5</v>
      </c>
      <c r="AB1001" s="11">
        <f t="shared" si="114"/>
        <v>0.5</v>
      </c>
      <c r="AC1001" s="66">
        <f t="shared" si="115"/>
        <v>0.5</v>
      </c>
      <c r="AD1001" s="67">
        <f t="shared" si="116"/>
        <v>0.25</v>
      </c>
    </row>
    <row r="1002" spans="1:30" ht="16" x14ac:dyDescent="0.2">
      <c r="A1002" s="84" t="s">
        <v>1857</v>
      </c>
      <c r="B1002" s="7">
        <v>1</v>
      </c>
      <c r="C1002" s="4">
        <v>1</v>
      </c>
      <c r="D1002" s="57" t="s">
        <v>1880</v>
      </c>
      <c r="E1002" s="58" t="s">
        <v>1859</v>
      </c>
      <c r="F1002" s="64">
        <f t="shared" si="117"/>
        <v>2001</v>
      </c>
      <c r="G1002" s="111">
        <v>37148</v>
      </c>
      <c r="H1002" s="58" t="s">
        <v>2531</v>
      </c>
      <c r="I1002" s="64">
        <v>0</v>
      </c>
      <c r="J1002" s="5" t="s">
        <v>1884</v>
      </c>
      <c r="K1002" s="17">
        <v>0</v>
      </c>
      <c r="L1002" s="59">
        <v>1</v>
      </c>
      <c r="M1002" s="48" t="s">
        <v>2624</v>
      </c>
      <c r="N1002" s="8" t="s">
        <v>2637</v>
      </c>
      <c r="P1002" s="22" t="s">
        <v>1885</v>
      </c>
      <c r="Q1002" s="29" t="s">
        <v>1886</v>
      </c>
      <c r="R1002" s="17">
        <v>1</v>
      </c>
      <c r="S1002" s="17">
        <v>0</v>
      </c>
      <c r="T1002" s="17">
        <v>0</v>
      </c>
      <c r="U1002" s="17">
        <v>0</v>
      </c>
      <c r="V1002" s="17">
        <v>0</v>
      </c>
      <c r="W1002" s="112">
        <v>98</v>
      </c>
      <c r="X1002" s="112">
        <v>0</v>
      </c>
      <c r="Y1002" s="112">
        <v>0</v>
      </c>
      <c r="Z1002" s="6">
        <f t="shared" si="112"/>
        <v>98</v>
      </c>
      <c r="AA1002" s="11">
        <f t="shared" si="113"/>
        <v>1</v>
      </c>
      <c r="AB1002" s="11">
        <f t="shared" si="114"/>
        <v>0</v>
      </c>
      <c r="AC1002" s="66">
        <f t="shared" si="115"/>
        <v>1</v>
      </c>
      <c r="AD1002" s="67">
        <f t="shared" si="116"/>
        <v>1</v>
      </c>
    </row>
    <row r="1003" spans="1:30" ht="16" x14ac:dyDescent="0.2">
      <c r="A1003" s="84" t="s">
        <v>1857</v>
      </c>
      <c r="B1003" s="7">
        <v>1</v>
      </c>
      <c r="C1003" s="4">
        <v>1</v>
      </c>
      <c r="D1003" s="57" t="s">
        <v>1880</v>
      </c>
      <c r="E1003" s="58" t="s">
        <v>1859</v>
      </c>
      <c r="F1003" s="64">
        <f t="shared" si="117"/>
        <v>2001</v>
      </c>
      <c r="G1003" s="111">
        <v>37148</v>
      </c>
      <c r="H1003" s="57" t="s">
        <v>2530</v>
      </c>
      <c r="I1003" s="64">
        <v>0</v>
      </c>
      <c r="J1003" s="5" t="s">
        <v>1881</v>
      </c>
      <c r="K1003" s="17">
        <v>0</v>
      </c>
      <c r="L1003" s="59">
        <v>1</v>
      </c>
      <c r="M1003" s="48" t="s">
        <v>2624</v>
      </c>
      <c r="N1003" s="8" t="s">
        <v>2637</v>
      </c>
      <c r="P1003" s="22" t="s">
        <v>1882</v>
      </c>
      <c r="Q1003" s="29" t="s">
        <v>1883</v>
      </c>
      <c r="R1003" s="17">
        <v>1</v>
      </c>
      <c r="S1003" s="17">
        <v>0</v>
      </c>
      <c r="T1003" s="17">
        <v>0</v>
      </c>
      <c r="U1003" s="17">
        <v>0</v>
      </c>
      <c r="V1003" s="17">
        <v>0</v>
      </c>
      <c r="W1003" s="112">
        <v>420</v>
      </c>
      <c r="X1003" s="112">
        <v>1</v>
      </c>
      <c r="Y1003" s="112">
        <v>0</v>
      </c>
      <c r="Z1003" s="6">
        <f t="shared" si="112"/>
        <v>421</v>
      </c>
      <c r="AA1003" s="11">
        <f t="shared" si="113"/>
        <v>0.99762470308788598</v>
      </c>
      <c r="AB1003" s="11">
        <f t="shared" si="114"/>
        <v>2.3752969121140144E-3</v>
      </c>
      <c r="AC1003" s="66">
        <f t="shared" si="115"/>
        <v>0.99762470308788598</v>
      </c>
      <c r="AD1003" s="67">
        <f t="shared" si="116"/>
        <v>0.99643705463182897</v>
      </c>
    </row>
    <row r="1004" spans="1:30" ht="16" x14ac:dyDescent="0.2">
      <c r="A1004" t="s">
        <v>1857</v>
      </c>
      <c r="B1004" s="7">
        <v>1</v>
      </c>
      <c r="C1004" s="4">
        <v>1</v>
      </c>
      <c r="D1004" s="22" t="s">
        <v>1880</v>
      </c>
      <c r="E1004" s="58" t="s">
        <v>1859</v>
      </c>
      <c r="F1004" s="64">
        <f t="shared" si="117"/>
        <v>2001</v>
      </c>
      <c r="G1004" s="28">
        <v>37245</v>
      </c>
      <c r="H1004" s="58" t="s">
        <v>2531</v>
      </c>
      <c r="I1004" s="17">
        <v>0</v>
      </c>
      <c r="J1004" s="5" t="s">
        <v>1925</v>
      </c>
      <c r="K1004" s="17">
        <v>0</v>
      </c>
      <c r="L1004" s="59">
        <v>1</v>
      </c>
      <c r="M1004" s="48" t="s">
        <v>2624</v>
      </c>
      <c r="N1004" s="8" t="s">
        <v>2637</v>
      </c>
      <c r="P1004" s="22" t="s">
        <v>1926</v>
      </c>
      <c r="Q1004" s="22" t="s">
        <v>1928</v>
      </c>
      <c r="R1004" s="17">
        <v>1</v>
      </c>
      <c r="S1004" s="17">
        <v>0</v>
      </c>
      <c r="T1004" s="17">
        <v>0</v>
      </c>
      <c r="U1004" s="17">
        <v>0</v>
      </c>
      <c r="V1004" s="17">
        <v>0</v>
      </c>
      <c r="W1004" s="64">
        <v>94</v>
      </c>
      <c r="X1004" s="64">
        <v>2</v>
      </c>
      <c r="Y1004" s="64">
        <v>0</v>
      </c>
      <c r="Z1004" s="6">
        <f t="shared" si="112"/>
        <v>96</v>
      </c>
      <c r="AA1004" s="11">
        <f t="shared" si="113"/>
        <v>0.97916666666666663</v>
      </c>
      <c r="AB1004" s="11">
        <f t="shared" si="114"/>
        <v>2.0833333333333332E-2</v>
      </c>
      <c r="AC1004" s="66">
        <f t="shared" si="115"/>
        <v>0.97916666666666663</v>
      </c>
      <c r="AD1004" s="67">
        <f t="shared" si="116"/>
        <v>0.96875</v>
      </c>
    </row>
    <row r="1005" spans="1:30" ht="16" x14ac:dyDescent="0.2">
      <c r="A1005" t="s">
        <v>1857</v>
      </c>
      <c r="B1005" s="7">
        <v>1</v>
      </c>
      <c r="C1005" s="4">
        <v>1</v>
      </c>
      <c r="D1005" s="22" t="s">
        <v>1880</v>
      </c>
      <c r="E1005" s="58" t="s">
        <v>1859</v>
      </c>
      <c r="F1005" s="64">
        <f t="shared" si="117"/>
        <v>2001</v>
      </c>
      <c r="G1005" s="28">
        <v>37245</v>
      </c>
      <c r="H1005" s="57" t="s">
        <v>2530</v>
      </c>
      <c r="I1005" s="17">
        <v>0</v>
      </c>
      <c r="J1005" s="5" t="s">
        <v>1925</v>
      </c>
      <c r="K1005" s="17">
        <v>0</v>
      </c>
      <c r="L1005" s="59">
        <v>1</v>
      </c>
      <c r="M1005" s="48" t="s">
        <v>2624</v>
      </c>
      <c r="N1005" s="8" t="s">
        <v>2637</v>
      </c>
      <c r="P1005" s="22" t="s">
        <v>1926</v>
      </c>
      <c r="Q1005" s="22" t="s">
        <v>1927</v>
      </c>
      <c r="R1005" s="17">
        <v>1</v>
      </c>
      <c r="S1005" s="17">
        <v>0</v>
      </c>
      <c r="T1005" s="17">
        <v>0</v>
      </c>
      <c r="U1005" s="17">
        <v>0</v>
      </c>
      <c r="V1005" s="17">
        <v>0</v>
      </c>
      <c r="W1005" s="64">
        <v>408</v>
      </c>
      <c r="X1005" s="64">
        <v>6</v>
      </c>
      <c r="Y1005" s="64">
        <v>0</v>
      </c>
      <c r="Z1005" s="6">
        <f t="shared" si="112"/>
        <v>414</v>
      </c>
      <c r="AA1005" s="11">
        <f t="shared" si="113"/>
        <v>0.98550724637681164</v>
      </c>
      <c r="AB1005" s="11">
        <f t="shared" si="114"/>
        <v>1.4492753623188406E-2</v>
      </c>
      <c r="AC1005" s="66">
        <f t="shared" si="115"/>
        <v>0.98550724637681164</v>
      </c>
      <c r="AD1005" s="67">
        <f t="shared" si="116"/>
        <v>0.97826086956521741</v>
      </c>
    </row>
    <row r="1006" spans="1:30" ht="16" x14ac:dyDescent="0.2">
      <c r="A1006" s="84" t="s">
        <v>1857</v>
      </c>
      <c r="B1006" s="7">
        <v>1</v>
      </c>
      <c r="C1006" s="4">
        <v>1</v>
      </c>
      <c r="D1006" s="57" t="s">
        <v>1880</v>
      </c>
      <c r="E1006" s="58" t="s">
        <v>1859</v>
      </c>
      <c r="F1006" s="64">
        <f t="shared" si="117"/>
        <v>2002</v>
      </c>
      <c r="G1006" s="111">
        <v>37539</v>
      </c>
      <c r="H1006" s="57" t="s">
        <v>2530</v>
      </c>
      <c r="I1006" s="64">
        <v>0</v>
      </c>
      <c r="J1006" s="5" t="s">
        <v>1887</v>
      </c>
      <c r="K1006" s="17">
        <v>0</v>
      </c>
      <c r="L1006" s="59">
        <v>1</v>
      </c>
      <c r="M1006" t="s">
        <v>30</v>
      </c>
      <c r="N1006" t="s">
        <v>2121</v>
      </c>
      <c r="P1006" s="22" t="s">
        <v>1888</v>
      </c>
      <c r="Q1006" s="29" t="s">
        <v>1889</v>
      </c>
      <c r="R1006" s="17">
        <v>1</v>
      </c>
      <c r="S1006" s="17">
        <v>0</v>
      </c>
      <c r="T1006" s="17">
        <v>0</v>
      </c>
      <c r="U1006" s="17">
        <v>0</v>
      </c>
      <c r="V1006" s="17">
        <v>0</v>
      </c>
      <c r="W1006" s="112">
        <v>296</v>
      </c>
      <c r="X1006" s="112">
        <v>133</v>
      </c>
      <c r="Y1006" s="112">
        <v>0</v>
      </c>
      <c r="Z1006" s="6">
        <f t="shared" si="112"/>
        <v>429</v>
      </c>
      <c r="AA1006" s="11">
        <f t="shared" si="113"/>
        <v>0.68997668997668993</v>
      </c>
      <c r="AB1006" s="11">
        <f t="shared" si="114"/>
        <v>0.31002331002331002</v>
      </c>
      <c r="AC1006" s="66">
        <f t="shared" si="115"/>
        <v>0.68997668997668993</v>
      </c>
      <c r="AD1006" s="67">
        <f t="shared" si="116"/>
        <v>0.534965034965035</v>
      </c>
    </row>
    <row r="1007" spans="1:30" ht="16" x14ac:dyDescent="0.2">
      <c r="A1007" s="84" t="s">
        <v>1857</v>
      </c>
      <c r="B1007" s="7">
        <v>1</v>
      </c>
      <c r="C1007" s="4">
        <v>1</v>
      </c>
      <c r="D1007" s="57" t="s">
        <v>1880</v>
      </c>
      <c r="E1007" s="58" t="s">
        <v>1859</v>
      </c>
      <c r="F1007" s="64">
        <f t="shared" si="117"/>
        <v>2002</v>
      </c>
      <c r="G1007" s="111">
        <v>37540</v>
      </c>
      <c r="H1007" s="58" t="s">
        <v>2531</v>
      </c>
      <c r="I1007" s="64">
        <v>0</v>
      </c>
      <c r="J1007" s="5" t="s">
        <v>1887</v>
      </c>
      <c r="K1007" s="17">
        <v>0</v>
      </c>
      <c r="L1007" s="59">
        <v>1</v>
      </c>
      <c r="M1007" t="s">
        <v>30</v>
      </c>
      <c r="N1007" t="s">
        <v>2121</v>
      </c>
      <c r="P1007" s="22" t="s">
        <v>1888</v>
      </c>
      <c r="Q1007" s="29" t="s">
        <v>1890</v>
      </c>
      <c r="R1007" s="17">
        <v>1</v>
      </c>
      <c r="S1007" s="17">
        <v>0</v>
      </c>
      <c r="T1007" s="17">
        <v>0</v>
      </c>
      <c r="U1007" s="17">
        <v>0</v>
      </c>
      <c r="V1007" s="17">
        <v>0</v>
      </c>
      <c r="W1007" s="112">
        <v>77</v>
      </c>
      <c r="X1007" s="112">
        <v>23</v>
      </c>
      <c r="Y1007" s="112">
        <v>0</v>
      </c>
      <c r="Z1007" s="6">
        <f t="shared" si="112"/>
        <v>100</v>
      </c>
      <c r="AA1007" s="11">
        <f t="shared" si="113"/>
        <v>0.77</v>
      </c>
      <c r="AB1007" s="11">
        <f t="shared" si="114"/>
        <v>0.23</v>
      </c>
      <c r="AC1007" s="66">
        <f t="shared" si="115"/>
        <v>0.77</v>
      </c>
      <c r="AD1007" s="67">
        <f t="shared" si="116"/>
        <v>0.65500000000000003</v>
      </c>
    </row>
    <row r="1008" spans="1:30" ht="16" x14ac:dyDescent="0.2">
      <c r="A1008" t="s">
        <v>1857</v>
      </c>
      <c r="B1008" s="7">
        <v>1</v>
      </c>
      <c r="C1008" s="4">
        <v>1</v>
      </c>
      <c r="D1008" s="22" t="s">
        <v>1880</v>
      </c>
      <c r="E1008" s="58" t="s">
        <v>1859</v>
      </c>
      <c r="F1008" s="64">
        <f t="shared" si="117"/>
        <v>2003</v>
      </c>
      <c r="G1008" s="28">
        <v>37711</v>
      </c>
      <c r="H1008" s="57" t="s">
        <v>2530</v>
      </c>
      <c r="I1008" s="17">
        <v>0</v>
      </c>
      <c r="J1008" s="5" t="s">
        <v>1935</v>
      </c>
      <c r="K1008" s="17">
        <v>0</v>
      </c>
      <c r="L1008" s="59">
        <v>1</v>
      </c>
      <c r="M1008" s="22" t="s">
        <v>119</v>
      </c>
      <c r="N1008" s="48" t="s">
        <v>2637</v>
      </c>
      <c r="O1008" s="22" t="s">
        <v>1936</v>
      </c>
      <c r="P1008" s="22" t="s">
        <v>1937</v>
      </c>
      <c r="Q1008" s="22" t="s">
        <v>1938</v>
      </c>
      <c r="R1008" s="17">
        <v>1</v>
      </c>
      <c r="S1008" s="17">
        <v>0</v>
      </c>
      <c r="T1008" s="17">
        <v>0</v>
      </c>
      <c r="U1008" s="17">
        <v>0</v>
      </c>
      <c r="V1008" s="17">
        <v>0</v>
      </c>
      <c r="W1008" s="64">
        <v>298</v>
      </c>
      <c r="X1008" s="64">
        <v>121</v>
      </c>
      <c r="Y1008" s="64">
        <v>0</v>
      </c>
      <c r="Z1008" s="6">
        <f t="shared" si="112"/>
        <v>419</v>
      </c>
      <c r="AA1008" s="11">
        <f t="shared" si="113"/>
        <v>0.71121718377088305</v>
      </c>
      <c r="AB1008" s="11">
        <f t="shared" si="114"/>
        <v>0.28878281622911695</v>
      </c>
      <c r="AC1008" s="66">
        <f t="shared" si="115"/>
        <v>0.71121718377088305</v>
      </c>
      <c r="AD1008" s="67">
        <f t="shared" si="116"/>
        <v>0.56682577565632464</v>
      </c>
    </row>
    <row r="1009" spans="1:30" ht="16" x14ac:dyDescent="0.2">
      <c r="A1009" t="s">
        <v>1857</v>
      </c>
      <c r="B1009" s="7">
        <v>1</v>
      </c>
      <c r="C1009" s="4">
        <v>1</v>
      </c>
      <c r="D1009" s="22" t="s">
        <v>1880</v>
      </c>
      <c r="E1009" s="58" t="s">
        <v>1859</v>
      </c>
      <c r="F1009" s="64">
        <f t="shared" si="117"/>
        <v>2003</v>
      </c>
      <c r="G1009" s="28">
        <v>37714</v>
      </c>
      <c r="H1009" s="58" t="s">
        <v>2531</v>
      </c>
      <c r="I1009" s="17">
        <v>0</v>
      </c>
      <c r="J1009" s="8" t="s">
        <v>1932</v>
      </c>
      <c r="K1009" s="17">
        <v>0</v>
      </c>
      <c r="L1009" s="59">
        <v>1</v>
      </c>
      <c r="M1009" t="s">
        <v>30</v>
      </c>
      <c r="N1009" t="s">
        <v>2121</v>
      </c>
      <c r="P1009" s="22" t="s">
        <v>1933</v>
      </c>
      <c r="Q1009" s="22" t="s">
        <v>1934</v>
      </c>
      <c r="R1009" s="17">
        <v>1</v>
      </c>
      <c r="S1009" s="17">
        <v>0</v>
      </c>
      <c r="T1009" s="17">
        <v>0</v>
      </c>
      <c r="U1009" s="17">
        <v>0</v>
      </c>
      <c r="V1009" s="17">
        <v>0</v>
      </c>
      <c r="W1009" s="64">
        <v>93</v>
      </c>
      <c r="X1009" s="64">
        <v>0</v>
      </c>
      <c r="Y1009" s="64">
        <v>0</v>
      </c>
      <c r="Z1009" s="6">
        <f t="shared" si="112"/>
        <v>93</v>
      </c>
      <c r="AA1009" s="11">
        <f t="shared" si="113"/>
        <v>1</v>
      </c>
      <c r="AB1009" s="11">
        <f t="shared" si="114"/>
        <v>0</v>
      </c>
      <c r="AC1009" s="66">
        <f t="shared" si="115"/>
        <v>1</v>
      </c>
      <c r="AD1009" s="67">
        <f t="shared" si="116"/>
        <v>1</v>
      </c>
    </row>
    <row r="1010" spans="1:30" ht="16" x14ac:dyDescent="0.2">
      <c r="A1010" t="s">
        <v>1857</v>
      </c>
      <c r="B1010" s="7">
        <v>1</v>
      </c>
      <c r="C1010" s="4">
        <v>1</v>
      </c>
      <c r="D1010" s="22" t="s">
        <v>1880</v>
      </c>
      <c r="E1010" s="58" t="s">
        <v>1859</v>
      </c>
      <c r="F1010" s="64">
        <f t="shared" si="117"/>
        <v>2003</v>
      </c>
      <c r="G1010" s="28">
        <v>37714</v>
      </c>
      <c r="H1010" s="57" t="s">
        <v>2530</v>
      </c>
      <c r="I1010" s="17">
        <v>0</v>
      </c>
      <c r="J1010" s="8" t="s">
        <v>1929</v>
      </c>
      <c r="K1010" s="17">
        <v>0</v>
      </c>
      <c r="L1010" s="59">
        <v>1</v>
      </c>
      <c r="M1010" t="s">
        <v>30</v>
      </c>
      <c r="N1010" t="s">
        <v>2121</v>
      </c>
      <c r="P1010" s="22" t="s">
        <v>1930</v>
      </c>
      <c r="Q1010" s="22" t="s">
        <v>1931</v>
      </c>
      <c r="R1010" s="17">
        <v>1</v>
      </c>
      <c r="S1010" s="17">
        <v>0</v>
      </c>
      <c r="T1010" s="17">
        <v>0</v>
      </c>
      <c r="U1010" s="17">
        <v>0</v>
      </c>
      <c r="V1010" s="17">
        <v>0</v>
      </c>
      <c r="W1010" s="64">
        <v>414</v>
      </c>
      <c r="X1010" s="64">
        <v>12</v>
      </c>
      <c r="Y1010" s="64">
        <v>0</v>
      </c>
      <c r="Z1010" s="6">
        <f t="shared" si="112"/>
        <v>426</v>
      </c>
      <c r="AA1010" s="11">
        <f t="shared" si="113"/>
        <v>0.971830985915493</v>
      </c>
      <c r="AB1010" s="11">
        <f t="shared" si="114"/>
        <v>2.8169014084507043E-2</v>
      </c>
      <c r="AC1010" s="66">
        <f t="shared" si="115"/>
        <v>0.971830985915493</v>
      </c>
      <c r="AD1010" s="67">
        <f t="shared" si="116"/>
        <v>0.95774647887323938</v>
      </c>
    </row>
    <row r="1011" spans="1:30" ht="16" x14ac:dyDescent="0.2">
      <c r="A1011" t="s">
        <v>1857</v>
      </c>
      <c r="B1011" s="7">
        <v>1</v>
      </c>
      <c r="C1011" s="4">
        <v>1</v>
      </c>
      <c r="D1011" s="22" t="s">
        <v>1880</v>
      </c>
      <c r="E1011" s="58" t="s">
        <v>1859</v>
      </c>
      <c r="F1011" s="64">
        <f t="shared" si="117"/>
        <v>2003</v>
      </c>
      <c r="G1011" s="28">
        <v>37911</v>
      </c>
      <c r="H1011" s="58" t="s">
        <v>2531</v>
      </c>
      <c r="I1011" s="17">
        <v>0</v>
      </c>
      <c r="J1011" s="5" t="s">
        <v>1939</v>
      </c>
      <c r="K1011" s="17">
        <v>0</v>
      </c>
      <c r="L1011" s="59">
        <v>1</v>
      </c>
      <c r="M1011" s="22" t="s">
        <v>119</v>
      </c>
      <c r="N1011" s="48" t="s">
        <v>2637</v>
      </c>
      <c r="O1011" s="22" t="s">
        <v>1936</v>
      </c>
      <c r="P1011" s="22" t="s">
        <v>1940</v>
      </c>
      <c r="Q1011" s="22" t="s">
        <v>1941</v>
      </c>
      <c r="R1011" s="17">
        <v>1</v>
      </c>
      <c r="S1011" s="17">
        <v>0</v>
      </c>
      <c r="T1011" s="17">
        <v>0</v>
      </c>
      <c r="U1011" s="17">
        <v>0</v>
      </c>
      <c r="V1011" s="17">
        <v>0</v>
      </c>
      <c r="W1011" s="64">
        <v>87</v>
      </c>
      <c r="X1011" s="64">
        <v>12</v>
      </c>
      <c r="Y1011" s="64">
        <v>0</v>
      </c>
      <c r="Z1011" s="6">
        <f t="shared" si="112"/>
        <v>99</v>
      </c>
      <c r="AA1011" s="11">
        <f t="shared" si="113"/>
        <v>0.87878787878787878</v>
      </c>
      <c r="AB1011" s="11">
        <f t="shared" si="114"/>
        <v>0.12121212121212122</v>
      </c>
      <c r="AC1011" s="66">
        <f t="shared" si="115"/>
        <v>0.87878787878787878</v>
      </c>
      <c r="AD1011" s="67">
        <f t="shared" si="116"/>
        <v>0.81818181818181823</v>
      </c>
    </row>
    <row r="1012" spans="1:30" ht="16" x14ac:dyDescent="0.2">
      <c r="A1012" t="s">
        <v>1857</v>
      </c>
      <c r="B1012" s="7">
        <v>1</v>
      </c>
      <c r="C1012" s="4">
        <v>1</v>
      </c>
      <c r="D1012" s="22" t="s">
        <v>1880</v>
      </c>
      <c r="E1012" s="58" t="s">
        <v>1859</v>
      </c>
      <c r="F1012" s="64">
        <f t="shared" si="117"/>
        <v>2005</v>
      </c>
      <c r="G1012" s="28">
        <v>38477</v>
      </c>
      <c r="H1012" s="57" t="s">
        <v>2530</v>
      </c>
      <c r="I1012" s="17">
        <v>0</v>
      </c>
      <c r="J1012" s="5" t="s">
        <v>1946</v>
      </c>
      <c r="K1012" s="17">
        <v>0</v>
      </c>
      <c r="L1012" s="59">
        <v>1</v>
      </c>
      <c r="M1012" s="22" t="s">
        <v>124</v>
      </c>
      <c r="N1012" s="22" t="s">
        <v>2637</v>
      </c>
      <c r="O1012" s="22" t="s">
        <v>2849</v>
      </c>
      <c r="P1012" s="22" t="s">
        <v>1947</v>
      </c>
      <c r="Q1012" s="22" t="s">
        <v>1948</v>
      </c>
      <c r="R1012" s="17">
        <v>1</v>
      </c>
      <c r="S1012" s="17">
        <v>0</v>
      </c>
      <c r="T1012" s="17">
        <v>0</v>
      </c>
      <c r="U1012" s="17">
        <v>0</v>
      </c>
      <c r="V1012" s="17">
        <v>0</v>
      </c>
      <c r="W1012" s="64">
        <v>368</v>
      </c>
      <c r="X1012" s="64">
        <v>58</v>
      </c>
      <c r="Y1012" s="64">
        <v>1</v>
      </c>
      <c r="Z1012" s="6">
        <f t="shared" si="112"/>
        <v>427</v>
      </c>
      <c r="AA1012" s="11">
        <f t="shared" si="113"/>
        <v>0.86182669789227162</v>
      </c>
      <c r="AB1012" s="11">
        <f t="shared" si="114"/>
        <v>0.13583138173302109</v>
      </c>
      <c r="AC1012" s="66">
        <f t="shared" si="115"/>
        <v>0.86182669789227162</v>
      </c>
      <c r="AD1012" s="67">
        <f t="shared" si="116"/>
        <v>0.79274004683840749</v>
      </c>
    </row>
    <row r="1013" spans="1:30" ht="16" x14ac:dyDescent="0.2">
      <c r="A1013" t="s">
        <v>1857</v>
      </c>
      <c r="B1013" s="7">
        <v>1</v>
      </c>
      <c r="C1013" s="4">
        <v>1</v>
      </c>
      <c r="D1013" s="22" t="s">
        <v>1880</v>
      </c>
      <c r="E1013" s="58" t="s">
        <v>1859</v>
      </c>
      <c r="F1013" s="64">
        <f t="shared" si="117"/>
        <v>2005</v>
      </c>
      <c r="G1013" s="28">
        <v>38482</v>
      </c>
      <c r="H1013" s="58" t="s">
        <v>2531</v>
      </c>
      <c r="I1013" s="17">
        <v>0</v>
      </c>
      <c r="J1013" s="5" t="s">
        <v>1946</v>
      </c>
      <c r="K1013" s="17">
        <v>0</v>
      </c>
      <c r="L1013" s="59">
        <v>1</v>
      </c>
      <c r="M1013" s="22" t="s">
        <v>124</v>
      </c>
      <c r="N1013" s="22" t="s">
        <v>2637</v>
      </c>
      <c r="O1013" s="22" t="s">
        <v>2849</v>
      </c>
      <c r="P1013" s="22" t="s">
        <v>1947</v>
      </c>
      <c r="Q1013" s="22" t="s">
        <v>1949</v>
      </c>
      <c r="R1013" s="17">
        <v>1</v>
      </c>
      <c r="S1013" s="17">
        <v>0</v>
      </c>
      <c r="T1013" s="17">
        <v>0</v>
      </c>
      <c r="U1013" s="17">
        <v>0</v>
      </c>
      <c r="V1013" s="17">
        <v>0</v>
      </c>
      <c r="W1013" s="64">
        <v>100</v>
      </c>
      <c r="X1013" s="64">
        <v>0</v>
      </c>
      <c r="Y1013" s="64">
        <v>0</v>
      </c>
      <c r="Z1013" s="6">
        <f t="shared" si="112"/>
        <v>100</v>
      </c>
      <c r="AA1013" s="11">
        <f t="shared" si="113"/>
        <v>1</v>
      </c>
      <c r="AB1013" s="11">
        <f t="shared" si="114"/>
        <v>0</v>
      </c>
      <c r="AC1013" s="66">
        <f t="shared" si="115"/>
        <v>1</v>
      </c>
      <c r="AD1013" s="67">
        <f t="shared" si="116"/>
        <v>1</v>
      </c>
    </row>
    <row r="1014" spans="1:30" ht="16" x14ac:dyDescent="0.2">
      <c r="A1014" t="s">
        <v>1857</v>
      </c>
      <c r="B1014" s="7">
        <v>1</v>
      </c>
      <c r="C1014" s="4">
        <v>1</v>
      </c>
      <c r="D1014" s="22" t="s">
        <v>1880</v>
      </c>
      <c r="E1014" s="58" t="s">
        <v>1859</v>
      </c>
      <c r="F1014" s="64">
        <f t="shared" si="117"/>
        <v>2006</v>
      </c>
      <c r="G1014" s="28">
        <v>38881</v>
      </c>
      <c r="H1014" s="57" t="s">
        <v>2530</v>
      </c>
      <c r="I1014" s="17">
        <v>0</v>
      </c>
      <c r="J1014" s="5" t="s">
        <v>1950</v>
      </c>
      <c r="K1014" s="17">
        <v>0</v>
      </c>
      <c r="L1014" s="59">
        <v>1</v>
      </c>
      <c r="M1014" s="22" t="s">
        <v>135</v>
      </c>
      <c r="N1014" s="22" t="s">
        <v>2637</v>
      </c>
      <c r="O1014" s="22" t="s">
        <v>2850</v>
      </c>
      <c r="P1014" s="22" t="s">
        <v>1951</v>
      </c>
      <c r="Q1014" s="22" t="s">
        <v>1952</v>
      </c>
      <c r="R1014" s="17">
        <v>1</v>
      </c>
      <c r="S1014" s="17">
        <v>0</v>
      </c>
      <c r="T1014" s="17">
        <v>0</v>
      </c>
      <c r="U1014" s="17">
        <v>0</v>
      </c>
      <c r="V1014" s="17">
        <v>0</v>
      </c>
      <c r="W1014" s="64">
        <v>351</v>
      </c>
      <c r="X1014" s="64">
        <v>67</v>
      </c>
      <c r="Y1014" s="64">
        <v>0</v>
      </c>
      <c r="Z1014" s="6">
        <f t="shared" si="112"/>
        <v>418</v>
      </c>
      <c r="AA1014" s="11">
        <f t="shared" si="113"/>
        <v>0.83971291866028708</v>
      </c>
      <c r="AB1014" s="11">
        <f t="shared" si="114"/>
        <v>0.16028708133971292</v>
      </c>
      <c r="AC1014" s="66">
        <f t="shared" si="115"/>
        <v>0.83971291866028708</v>
      </c>
      <c r="AD1014" s="67">
        <f t="shared" si="116"/>
        <v>0.75956937799043067</v>
      </c>
    </row>
    <row r="1015" spans="1:30" ht="16" x14ac:dyDescent="0.2">
      <c r="A1015" t="s">
        <v>1857</v>
      </c>
      <c r="B1015" s="7">
        <v>1</v>
      </c>
      <c r="C1015" s="4">
        <v>1</v>
      </c>
      <c r="D1015" s="22" t="s">
        <v>1880</v>
      </c>
      <c r="E1015" s="58" t="s">
        <v>1859</v>
      </c>
      <c r="F1015" s="64">
        <f t="shared" si="117"/>
        <v>2006</v>
      </c>
      <c r="G1015" s="28">
        <v>38883</v>
      </c>
      <c r="H1015" s="58" t="s">
        <v>2531</v>
      </c>
      <c r="I1015" s="17">
        <v>0</v>
      </c>
      <c r="J1015" s="5" t="s">
        <v>1950</v>
      </c>
      <c r="K1015" s="17">
        <v>0</v>
      </c>
      <c r="L1015" s="59">
        <v>1</v>
      </c>
      <c r="M1015" s="22" t="s">
        <v>135</v>
      </c>
      <c r="N1015" s="22" t="s">
        <v>2637</v>
      </c>
      <c r="O1015" s="22" t="s">
        <v>2850</v>
      </c>
      <c r="P1015" s="22" t="s">
        <v>1951</v>
      </c>
      <c r="Q1015" s="22" t="s">
        <v>1953</v>
      </c>
      <c r="R1015" s="17">
        <v>1</v>
      </c>
      <c r="S1015" s="17">
        <v>0</v>
      </c>
      <c r="T1015" s="17">
        <v>0</v>
      </c>
      <c r="U1015" s="17">
        <v>0</v>
      </c>
      <c r="V1015" s="17">
        <v>0</v>
      </c>
      <c r="W1015" s="64">
        <v>98</v>
      </c>
      <c r="X1015" s="64">
        <v>1</v>
      </c>
      <c r="Y1015" s="64">
        <v>0</v>
      </c>
      <c r="Z1015" s="6">
        <f t="shared" si="112"/>
        <v>99</v>
      </c>
      <c r="AA1015" s="11">
        <f t="shared" si="113"/>
        <v>0.98989898989898994</v>
      </c>
      <c r="AB1015" s="11">
        <f t="shared" si="114"/>
        <v>1.0101010101010102E-2</v>
      </c>
      <c r="AC1015" s="66">
        <f t="shared" si="115"/>
        <v>0.98989898989898994</v>
      </c>
      <c r="AD1015" s="67">
        <f t="shared" si="116"/>
        <v>0.98484848484848486</v>
      </c>
    </row>
    <row r="1016" spans="1:30" ht="16" x14ac:dyDescent="0.2">
      <c r="A1016" t="s">
        <v>1857</v>
      </c>
      <c r="B1016" s="7">
        <v>1</v>
      </c>
      <c r="C1016" s="4">
        <v>1</v>
      </c>
      <c r="D1016" s="22" t="s">
        <v>1880</v>
      </c>
      <c r="E1016" s="58" t="s">
        <v>1859</v>
      </c>
      <c r="F1016" s="64">
        <f t="shared" si="117"/>
        <v>2007</v>
      </c>
      <c r="G1016" s="28">
        <v>39400</v>
      </c>
      <c r="H1016" s="57" t="s">
        <v>2530</v>
      </c>
      <c r="I1016" s="17">
        <v>0</v>
      </c>
      <c r="J1016" s="5" t="s">
        <v>1942</v>
      </c>
      <c r="K1016" s="17">
        <v>0</v>
      </c>
      <c r="L1016" s="59">
        <v>1</v>
      </c>
      <c r="M1016" t="s">
        <v>30</v>
      </c>
      <c r="N1016" t="s">
        <v>2121</v>
      </c>
      <c r="P1016" s="22" t="s">
        <v>1943</v>
      </c>
      <c r="Q1016" s="22" t="s">
        <v>1944</v>
      </c>
      <c r="R1016" s="17">
        <v>1</v>
      </c>
      <c r="S1016" s="17">
        <v>0</v>
      </c>
      <c r="T1016" s="17">
        <v>0</v>
      </c>
      <c r="U1016" s="17">
        <v>0</v>
      </c>
      <c r="V1016" s="17">
        <v>0</v>
      </c>
      <c r="W1016" s="64">
        <v>218</v>
      </c>
      <c r="X1016" s="64">
        <v>203</v>
      </c>
      <c r="Y1016" s="64">
        <v>1</v>
      </c>
      <c r="Z1016" s="6">
        <f t="shared" si="112"/>
        <v>422</v>
      </c>
      <c r="AA1016" s="11">
        <f t="shared" si="113"/>
        <v>0.51658767772511849</v>
      </c>
      <c r="AB1016" s="11">
        <f t="shared" si="114"/>
        <v>0.48104265402843605</v>
      </c>
      <c r="AC1016" s="66">
        <f t="shared" si="115"/>
        <v>0.51658767772511849</v>
      </c>
      <c r="AD1016" s="67">
        <f t="shared" si="116"/>
        <v>0.27488151658767773</v>
      </c>
    </row>
    <row r="1017" spans="1:30" ht="16" x14ac:dyDescent="0.2">
      <c r="A1017" t="s">
        <v>1857</v>
      </c>
      <c r="B1017" s="7">
        <v>1</v>
      </c>
      <c r="C1017" s="4">
        <v>1</v>
      </c>
      <c r="D1017" s="22" t="s">
        <v>1880</v>
      </c>
      <c r="E1017" s="58" t="s">
        <v>1859</v>
      </c>
      <c r="F1017" s="64">
        <f t="shared" si="117"/>
        <v>2007</v>
      </c>
      <c r="G1017" s="28">
        <v>39402</v>
      </c>
      <c r="H1017" s="58" t="s">
        <v>2531</v>
      </c>
      <c r="I1017" s="17">
        <v>0</v>
      </c>
      <c r="J1017" s="5" t="s">
        <v>1942</v>
      </c>
      <c r="K1017" s="17">
        <v>0</v>
      </c>
      <c r="L1017" s="59">
        <v>1</v>
      </c>
      <c r="M1017" t="s">
        <v>30</v>
      </c>
      <c r="N1017" t="s">
        <v>2121</v>
      </c>
      <c r="P1017" s="22" t="s">
        <v>1943</v>
      </c>
      <c r="Q1017" s="22" t="s">
        <v>1945</v>
      </c>
      <c r="R1017" s="17">
        <v>1</v>
      </c>
      <c r="S1017" s="17">
        <v>0</v>
      </c>
      <c r="T1017" s="17">
        <v>0</v>
      </c>
      <c r="U1017" s="17">
        <v>0</v>
      </c>
      <c r="V1017" s="17">
        <v>0</v>
      </c>
      <c r="W1017" s="64">
        <v>53</v>
      </c>
      <c r="X1017" s="64">
        <v>45</v>
      </c>
      <c r="Y1017" s="64">
        <v>0</v>
      </c>
      <c r="Z1017" s="6">
        <f t="shared" si="112"/>
        <v>98</v>
      </c>
      <c r="AA1017" s="11">
        <f t="shared" si="113"/>
        <v>0.54081632653061229</v>
      </c>
      <c r="AB1017" s="11">
        <f t="shared" si="114"/>
        <v>0.45918367346938777</v>
      </c>
      <c r="AC1017" s="66">
        <f t="shared" si="115"/>
        <v>0.54081632653061229</v>
      </c>
      <c r="AD1017" s="67">
        <f t="shared" si="116"/>
        <v>0.31122448979591838</v>
      </c>
    </row>
    <row r="1018" spans="1:30" ht="16" x14ac:dyDescent="0.2">
      <c r="A1018" s="84" t="s">
        <v>1857</v>
      </c>
      <c r="B1018" s="7">
        <v>1</v>
      </c>
      <c r="C1018" s="4">
        <v>1</v>
      </c>
      <c r="D1018" s="57" t="s">
        <v>1891</v>
      </c>
      <c r="E1018" s="58" t="s">
        <v>1866</v>
      </c>
      <c r="F1018" s="64">
        <f t="shared" si="117"/>
        <v>2011</v>
      </c>
      <c r="G1018" s="111">
        <v>40718</v>
      </c>
      <c r="H1018" s="57" t="s">
        <v>2530</v>
      </c>
      <c r="I1018" s="64">
        <v>0</v>
      </c>
      <c r="J1018" s="5" t="s">
        <v>1892</v>
      </c>
      <c r="K1018" s="17">
        <v>0</v>
      </c>
      <c r="L1018" s="59">
        <v>1</v>
      </c>
      <c r="M1018" t="s">
        <v>949</v>
      </c>
      <c r="N1018" s="48" t="s">
        <v>2629</v>
      </c>
      <c r="P1018" s="22" t="s">
        <v>1893</v>
      </c>
      <c r="Q1018" s="29" t="s">
        <v>1894</v>
      </c>
      <c r="R1018" s="17">
        <v>1</v>
      </c>
      <c r="S1018" s="17">
        <v>0</v>
      </c>
      <c r="T1018" s="17">
        <v>0</v>
      </c>
      <c r="U1018" s="17">
        <v>0</v>
      </c>
      <c r="V1018" s="17">
        <v>0</v>
      </c>
      <c r="W1018" s="112">
        <v>123</v>
      </c>
      <c r="X1018" s="112">
        <v>295</v>
      </c>
      <c r="Y1018" s="112">
        <v>0</v>
      </c>
      <c r="Z1018" s="6">
        <f t="shared" si="112"/>
        <v>418</v>
      </c>
      <c r="AA1018" s="11">
        <f t="shared" si="113"/>
        <v>0.29425837320574161</v>
      </c>
      <c r="AB1018" s="11">
        <f t="shared" si="114"/>
        <v>0.70574162679425834</v>
      </c>
      <c r="AC1018" s="66">
        <f t="shared" si="115"/>
        <v>0.29425837320574161</v>
      </c>
      <c r="AD1018" s="67">
        <f t="shared" si="116"/>
        <v>0.55861244019138756</v>
      </c>
    </row>
    <row r="1019" spans="1:30" ht="16" x14ac:dyDescent="0.2">
      <c r="A1019" t="s">
        <v>1857</v>
      </c>
      <c r="B1019" s="7">
        <v>1</v>
      </c>
      <c r="C1019" s="4">
        <v>1</v>
      </c>
      <c r="D1019" s="58" t="s">
        <v>1899</v>
      </c>
      <c r="E1019" s="58" t="s">
        <v>1859</v>
      </c>
      <c r="F1019" s="64">
        <f t="shared" si="117"/>
        <v>2018</v>
      </c>
      <c r="G1019" s="28">
        <v>43447</v>
      </c>
      <c r="H1019" s="58" t="s">
        <v>2531</v>
      </c>
      <c r="I1019" s="64">
        <v>0</v>
      </c>
      <c r="J1019" s="5" t="s">
        <v>1900</v>
      </c>
      <c r="K1019" s="17">
        <v>1</v>
      </c>
      <c r="L1019" s="59">
        <v>1</v>
      </c>
      <c r="M1019" s="58" t="s">
        <v>2847</v>
      </c>
      <c r="N1019" t="s">
        <v>2634</v>
      </c>
      <c r="P1019" s="22" t="s">
        <v>1901</v>
      </c>
      <c r="Q1019" s="22" t="s">
        <v>1902</v>
      </c>
      <c r="R1019" s="17">
        <v>1</v>
      </c>
      <c r="S1019" s="17">
        <v>0</v>
      </c>
      <c r="T1019" s="17">
        <v>0</v>
      </c>
      <c r="U1019" s="17">
        <v>0</v>
      </c>
      <c r="V1019" s="17">
        <v>0</v>
      </c>
      <c r="W1019" s="64">
        <v>46</v>
      </c>
      <c r="X1019" s="64">
        <v>41</v>
      </c>
      <c r="Y1019" s="64">
        <v>0</v>
      </c>
      <c r="Z1019" s="6">
        <f t="shared" si="112"/>
        <v>87</v>
      </c>
      <c r="AA1019" s="11">
        <f t="shared" si="113"/>
        <v>0.52873563218390807</v>
      </c>
      <c r="AB1019" s="11">
        <f t="shared" si="114"/>
        <v>0.47126436781609193</v>
      </c>
      <c r="AC1019" s="66">
        <f t="shared" si="115"/>
        <v>0.47126436781609193</v>
      </c>
      <c r="AD1019" s="67">
        <f t="shared" si="116"/>
        <v>0.29310344827586204</v>
      </c>
    </row>
    <row r="1020" spans="1:30" ht="16" x14ac:dyDescent="0.2">
      <c r="A1020" t="s">
        <v>1857</v>
      </c>
      <c r="B1020" s="7">
        <v>1</v>
      </c>
      <c r="C1020" s="4">
        <v>1</v>
      </c>
      <c r="D1020" s="58" t="s">
        <v>1899</v>
      </c>
      <c r="E1020" s="58" t="s">
        <v>1859</v>
      </c>
      <c r="F1020" s="64">
        <f t="shared" si="117"/>
        <v>2019</v>
      </c>
      <c r="G1020" s="28">
        <v>43509</v>
      </c>
      <c r="H1020" s="57" t="s">
        <v>2530</v>
      </c>
      <c r="I1020" s="64">
        <v>0</v>
      </c>
      <c r="J1020" s="5" t="s">
        <v>1906</v>
      </c>
      <c r="K1020" s="17">
        <v>1</v>
      </c>
      <c r="L1020" s="59">
        <v>1</v>
      </c>
      <c r="M1020" s="58" t="s">
        <v>2847</v>
      </c>
      <c r="N1020" t="s">
        <v>2634</v>
      </c>
      <c r="P1020" s="22" t="s">
        <v>1907</v>
      </c>
      <c r="Q1020" s="22" t="s">
        <v>1908</v>
      </c>
      <c r="R1020" s="17">
        <v>1</v>
      </c>
      <c r="S1020" s="17">
        <v>0</v>
      </c>
      <c r="T1020" s="17">
        <v>0</v>
      </c>
      <c r="U1020" s="17">
        <v>0</v>
      </c>
      <c r="V1020" s="17">
        <v>0</v>
      </c>
      <c r="W1020" s="64">
        <v>248</v>
      </c>
      <c r="X1020" s="64">
        <v>177</v>
      </c>
      <c r="Y1020" s="64">
        <v>1</v>
      </c>
      <c r="Z1020" s="6">
        <f t="shared" si="112"/>
        <v>426</v>
      </c>
      <c r="AA1020" s="11">
        <f t="shared" si="113"/>
        <v>0.5821596244131455</v>
      </c>
      <c r="AB1020" s="11">
        <f t="shared" si="114"/>
        <v>0.41549295774647887</v>
      </c>
      <c r="AC1020" s="66">
        <f t="shared" si="115"/>
        <v>0.41549295774647887</v>
      </c>
      <c r="AD1020" s="67">
        <f t="shared" si="116"/>
        <v>0.37323943661971831</v>
      </c>
    </row>
    <row r="1021" spans="1:30" ht="16" x14ac:dyDescent="0.2">
      <c r="A1021" t="s">
        <v>1857</v>
      </c>
      <c r="B1021" s="7">
        <v>1</v>
      </c>
      <c r="C1021" s="4">
        <v>1</v>
      </c>
      <c r="D1021" s="58" t="s">
        <v>1899</v>
      </c>
      <c r="E1021" s="58" t="s">
        <v>1859</v>
      </c>
      <c r="F1021" s="64">
        <f t="shared" si="117"/>
        <v>2019</v>
      </c>
      <c r="G1021" s="28">
        <v>43537</v>
      </c>
      <c r="H1021" s="58" t="s">
        <v>2531</v>
      </c>
      <c r="I1021" s="64">
        <v>0</v>
      </c>
      <c r="J1021" s="5" t="s">
        <v>1903</v>
      </c>
      <c r="K1021" s="17">
        <v>1</v>
      </c>
      <c r="L1021" s="59">
        <v>1</v>
      </c>
      <c r="M1021" s="58" t="s">
        <v>2847</v>
      </c>
      <c r="N1021" t="s">
        <v>2634</v>
      </c>
      <c r="P1021" s="22" t="s">
        <v>1904</v>
      </c>
      <c r="Q1021" s="22" t="s">
        <v>1905</v>
      </c>
      <c r="R1021" s="17">
        <v>1</v>
      </c>
      <c r="S1021" s="17">
        <v>0</v>
      </c>
      <c r="T1021" s="17">
        <v>0</v>
      </c>
      <c r="U1021" s="17">
        <v>0</v>
      </c>
      <c r="V1021" s="17">
        <v>0</v>
      </c>
      <c r="W1021" s="64">
        <v>54</v>
      </c>
      <c r="X1021" s="64">
        <v>46</v>
      </c>
      <c r="Y1021" s="64">
        <v>0</v>
      </c>
      <c r="Z1021" s="6">
        <f t="shared" si="112"/>
        <v>100</v>
      </c>
      <c r="AA1021" s="11">
        <f t="shared" si="113"/>
        <v>0.54</v>
      </c>
      <c r="AB1021" s="11">
        <f t="shared" si="114"/>
        <v>0.46</v>
      </c>
      <c r="AC1021" s="66">
        <f t="shared" si="115"/>
        <v>0.46</v>
      </c>
      <c r="AD1021" s="67">
        <f t="shared" si="116"/>
        <v>0.31</v>
      </c>
    </row>
    <row r="1022" spans="1:30" ht="16" x14ac:dyDescent="0.2">
      <c r="A1022" t="s">
        <v>1857</v>
      </c>
      <c r="B1022" s="7">
        <v>1</v>
      </c>
      <c r="C1022" s="4">
        <v>1</v>
      </c>
      <c r="D1022" s="58" t="s">
        <v>1899</v>
      </c>
      <c r="E1022" s="58" t="s">
        <v>1859</v>
      </c>
      <c r="F1022" s="64">
        <f t="shared" si="117"/>
        <v>2019</v>
      </c>
      <c r="G1022" s="28">
        <v>43559</v>
      </c>
      <c r="H1022" s="57" t="s">
        <v>2530</v>
      </c>
      <c r="I1022" s="64">
        <v>0</v>
      </c>
      <c r="J1022" s="5" t="s">
        <v>1903</v>
      </c>
      <c r="K1022" s="17">
        <v>1</v>
      </c>
      <c r="L1022" s="59">
        <v>1</v>
      </c>
      <c r="M1022" s="58" t="s">
        <v>2847</v>
      </c>
      <c r="N1022" t="s">
        <v>2634</v>
      </c>
      <c r="P1022" s="22" t="s">
        <v>1904</v>
      </c>
      <c r="Q1022" s="22" t="s">
        <v>1905</v>
      </c>
      <c r="R1022" s="17">
        <v>1</v>
      </c>
      <c r="S1022" s="17">
        <v>0</v>
      </c>
      <c r="T1022" s="17">
        <v>0</v>
      </c>
      <c r="U1022" s="17">
        <v>0</v>
      </c>
      <c r="V1022" s="17">
        <v>0</v>
      </c>
      <c r="W1022" s="64">
        <v>247</v>
      </c>
      <c r="X1022" s="64">
        <v>175</v>
      </c>
      <c r="Y1022" s="64">
        <v>1</v>
      </c>
      <c r="Z1022" s="6">
        <f t="shared" si="112"/>
        <v>423</v>
      </c>
      <c r="AA1022" s="11">
        <f t="shared" si="113"/>
        <v>0.58392434988179664</v>
      </c>
      <c r="AB1022" s="11">
        <f t="shared" si="114"/>
        <v>0.41371158392434987</v>
      </c>
      <c r="AC1022" s="66">
        <f t="shared" si="115"/>
        <v>0.41371158392434987</v>
      </c>
      <c r="AD1022" s="67">
        <f t="shared" si="116"/>
        <v>0.37588652482269502</v>
      </c>
    </row>
  </sheetData>
  <autoFilter ref="A1:AD1022" xr:uid="{00000000-0001-0000-0000-000000000000}"/>
  <sortState xmlns:xlrd2="http://schemas.microsoft.com/office/spreadsheetml/2017/richdata2" ref="A2:AD1022">
    <sortCondition ref="A2:A1022"/>
    <sortCondition ref="G2:G1022"/>
  </sortState>
  <hyperlinks>
    <hyperlink ref="Q7" r:id="rId1" xr:uid="{00000000-0004-0000-0000-000000000000}"/>
    <hyperlink ref="Q5" r:id="rId2" xr:uid="{00000000-0004-0000-0000-000001000000}"/>
    <hyperlink ref="Q8" r:id="rId3" xr:uid="{00000000-0004-0000-0000-000002000000}"/>
    <hyperlink ref="Q9" r:id="rId4" xr:uid="{00000000-0004-0000-0000-000003000000}"/>
    <hyperlink ref="Q10" r:id="rId5" xr:uid="{00000000-0004-0000-0000-000004000000}"/>
    <hyperlink ref="Q11" r:id="rId6" xr:uid="{00000000-0004-0000-0000-000005000000}"/>
    <hyperlink ref="Q12" r:id="rId7" xr:uid="{00000000-0004-0000-0000-000006000000}"/>
    <hyperlink ref="Q13" r:id="rId8" xr:uid="{00000000-0004-0000-0000-000007000000}"/>
    <hyperlink ref="Q14" r:id="rId9" xr:uid="{00000000-0004-0000-0000-000008000000}"/>
    <hyperlink ref="Q15" r:id="rId10" xr:uid="{00000000-0004-0000-0000-000009000000}"/>
    <hyperlink ref="Q16" r:id="rId11" xr:uid="{00000000-0004-0000-0000-00000A000000}"/>
    <hyperlink ref="Q161" r:id="rId12" xr:uid="{00000000-0004-0000-0000-00000B000000}"/>
    <hyperlink ref="Q92" r:id="rId13" xr:uid="{00000000-0004-0000-0000-00000C000000}"/>
    <hyperlink ref="Q93" r:id="rId14" xr:uid="{00000000-0004-0000-0000-00000D000000}"/>
    <hyperlink ref="Q94" r:id="rId15" xr:uid="{00000000-0004-0000-0000-00000E000000}"/>
    <hyperlink ref="Q95" r:id="rId16" xr:uid="{00000000-0004-0000-0000-00000F000000}"/>
    <hyperlink ref="Q96" r:id="rId17" xr:uid="{00000000-0004-0000-0000-000010000000}"/>
    <hyperlink ref="Q97" r:id="rId18" xr:uid="{00000000-0004-0000-0000-000011000000}"/>
    <hyperlink ref="Q98" r:id="rId19" xr:uid="{00000000-0004-0000-0000-000012000000}"/>
    <hyperlink ref="Q99" r:id="rId20" xr:uid="{00000000-0004-0000-0000-000013000000}"/>
    <hyperlink ref="Q100" r:id="rId21" xr:uid="{00000000-0004-0000-0000-000014000000}"/>
    <hyperlink ref="Q101" r:id="rId22" xr:uid="{00000000-0004-0000-0000-000015000000}"/>
    <hyperlink ref="Q102" r:id="rId23" xr:uid="{00000000-0004-0000-0000-000016000000}"/>
    <hyperlink ref="Q103" r:id="rId24" xr:uid="{00000000-0004-0000-0000-000017000000}"/>
    <hyperlink ref="Q105" r:id="rId25" xr:uid="{00000000-0004-0000-0000-000018000000}"/>
    <hyperlink ref="Q107" r:id="rId26" xr:uid="{00000000-0004-0000-0000-000019000000}"/>
    <hyperlink ref="Q109" r:id="rId27" xr:uid="{00000000-0004-0000-0000-00001A000000}"/>
    <hyperlink ref="Q111" r:id="rId28" xr:uid="{00000000-0004-0000-0000-00001B000000}"/>
    <hyperlink ref="Q112" r:id="rId29" xr:uid="{00000000-0004-0000-0000-00001C000000}"/>
    <hyperlink ref="Q114" r:id="rId30" xr:uid="{00000000-0004-0000-0000-00001D000000}"/>
    <hyperlink ref="Q116" r:id="rId31" xr:uid="{00000000-0004-0000-0000-00001E000000}"/>
    <hyperlink ref="Q118" r:id="rId32" xr:uid="{00000000-0004-0000-0000-00001F000000}"/>
    <hyperlink ref="Q119" r:id="rId33" xr:uid="{00000000-0004-0000-0000-000020000000}"/>
    <hyperlink ref="Q120" r:id="rId34" xr:uid="{00000000-0004-0000-0000-000021000000}"/>
    <hyperlink ref="Q121" r:id="rId35" xr:uid="{00000000-0004-0000-0000-000022000000}"/>
    <hyperlink ref="Q122" r:id="rId36" xr:uid="{00000000-0004-0000-0000-000023000000}"/>
    <hyperlink ref="Q123" r:id="rId37" xr:uid="{00000000-0004-0000-0000-000024000000}"/>
    <hyperlink ref="Q128" r:id="rId38" xr:uid="{00000000-0004-0000-0000-000025000000}"/>
    <hyperlink ref="Q124" r:id="rId39" xr:uid="{00000000-0004-0000-0000-000026000000}"/>
    <hyperlink ref="Q125" r:id="rId40" xr:uid="{00000000-0004-0000-0000-000027000000}"/>
    <hyperlink ref="Q126" r:id="rId41" xr:uid="{00000000-0004-0000-0000-000028000000}"/>
    <hyperlink ref="Q127" r:id="rId42" xr:uid="{00000000-0004-0000-0000-000029000000}"/>
    <hyperlink ref="Q129" r:id="rId43" xr:uid="{00000000-0004-0000-0000-00002A000000}"/>
    <hyperlink ref="Q131" r:id="rId44" xr:uid="{00000000-0004-0000-0000-00002B000000}"/>
    <hyperlink ref="Q132" r:id="rId45" xr:uid="{00000000-0004-0000-0000-00002C000000}"/>
    <hyperlink ref="Q133" r:id="rId46" xr:uid="{00000000-0004-0000-0000-00002D000000}"/>
    <hyperlink ref="Q134" r:id="rId47" xr:uid="{00000000-0004-0000-0000-00002E000000}"/>
    <hyperlink ref="Q135" r:id="rId48" xr:uid="{00000000-0004-0000-0000-00002F000000}"/>
    <hyperlink ref="Q136" r:id="rId49" xr:uid="{00000000-0004-0000-0000-000030000000}"/>
    <hyperlink ref="Q137" r:id="rId50" xr:uid="{00000000-0004-0000-0000-000031000000}"/>
    <hyperlink ref="Q139" r:id="rId51" xr:uid="{00000000-0004-0000-0000-000032000000}"/>
    <hyperlink ref="Q146" r:id="rId52" xr:uid="{00000000-0004-0000-0000-000033000000}"/>
    <hyperlink ref="Q148" r:id="rId53" xr:uid="{00000000-0004-0000-0000-000034000000}"/>
    <hyperlink ref="P148" r:id="rId54" display="https://www.psp.cz/sqw/historie.sqw?o=5&amp;t=641" xr:uid="{00000000-0004-0000-0000-000035000000}"/>
    <hyperlink ref="Q150" r:id="rId55" xr:uid="{00000000-0004-0000-0000-000036000000}"/>
    <hyperlink ref="Q151" r:id="rId56" xr:uid="{00000000-0004-0000-0000-000037000000}"/>
    <hyperlink ref="Q153" r:id="rId57" xr:uid="{00000000-0004-0000-0000-000038000000}"/>
    <hyperlink ref="P153" r:id="rId58" display="https://www.psp.cz/sqw/historie.sqw?o=6&amp;t=132" xr:uid="{00000000-0004-0000-0000-000039000000}"/>
    <hyperlink ref="Q154" r:id="rId59" xr:uid="{00000000-0004-0000-0000-00003A000000}"/>
    <hyperlink ref="Q156" r:id="rId60" xr:uid="{00000000-0004-0000-0000-00003B000000}"/>
    <hyperlink ref="Q157" r:id="rId61" xr:uid="{00000000-0004-0000-0000-00003C000000}"/>
    <hyperlink ref="Q158" r:id="rId62" xr:uid="{00000000-0004-0000-0000-00003D000000}"/>
    <hyperlink ref="Q160" r:id="rId63" xr:uid="{00000000-0004-0000-0000-00003E000000}"/>
    <hyperlink ref="Q144" r:id="rId64" xr:uid="{00000000-0004-0000-0000-00003F000000}"/>
    <hyperlink ref="Q104" r:id="rId65" xr:uid="{00000000-0004-0000-0000-000040000000}"/>
    <hyperlink ref="Q106" r:id="rId66" xr:uid="{00000000-0004-0000-0000-000041000000}"/>
    <hyperlink ref="Q110" r:id="rId67" xr:uid="{00000000-0004-0000-0000-000042000000}"/>
    <hyperlink ref="Q115" r:id="rId68" xr:uid="{00000000-0004-0000-0000-000043000000}"/>
    <hyperlink ref="Q113" r:id="rId69" xr:uid="{00000000-0004-0000-0000-000044000000}"/>
    <hyperlink ref="Q117" r:id="rId70" xr:uid="{00000000-0004-0000-0000-000045000000}"/>
    <hyperlink ref="Q130" r:id="rId71" xr:uid="{00000000-0004-0000-0000-000046000000}"/>
    <hyperlink ref="Q138" r:id="rId72" xr:uid="{00000000-0004-0000-0000-000047000000}"/>
    <hyperlink ref="Q147" r:id="rId73" xr:uid="{00000000-0004-0000-0000-000048000000}"/>
    <hyperlink ref="Q149" r:id="rId74" xr:uid="{00000000-0004-0000-0000-000049000000}"/>
    <hyperlink ref="Q152" r:id="rId75" xr:uid="{00000000-0004-0000-0000-00004A000000}"/>
    <hyperlink ref="Q155" r:id="rId76" xr:uid="{00000000-0004-0000-0000-00004B000000}"/>
    <hyperlink ref="J148" r:id="rId77" display="https://www.psp.cz/sqw/historie.sqw?o=5&amp;t=641" xr:uid="{00000000-0004-0000-0000-00004C000000}"/>
    <hyperlink ref="J153" r:id="rId78" display="https://www.psp.cz/sqw/historie.sqw?o=6&amp;t=132" xr:uid="{00000000-0004-0000-0000-00004D000000}"/>
    <hyperlink ref="Q140" r:id="rId79" xr:uid="{00000000-0004-0000-0000-00004E000000}"/>
    <hyperlink ref="Q141" r:id="rId80" xr:uid="{00000000-0004-0000-0000-00004F000000}"/>
    <hyperlink ref="Q142" r:id="rId81" xr:uid="{00000000-0004-0000-0000-000050000000}"/>
    <hyperlink ref="Q143" r:id="rId82" xr:uid="{00000000-0004-0000-0000-000051000000}"/>
    <hyperlink ref="Q145" r:id="rId83" xr:uid="{00000000-0004-0000-0000-000052000000}"/>
    <hyperlink ref="Q108" r:id="rId84" xr:uid="{00000000-0004-0000-0000-000053000000}"/>
    <hyperlink ref="Q159" r:id="rId85" xr:uid="{00000000-0004-0000-0000-000054000000}"/>
    <hyperlink ref="Q928" r:id="rId86" xr:uid="{00000000-0004-0000-0000-000055000000}"/>
    <hyperlink ref="Q929" r:id="rId87" xr:uid="{00000000-0004-0000-0000-000056000000}"/>
    <hyperlink ref="Q930" r:id="rId88" xr:uid="{00000000-0004-0000-0000-000057000000}"/>
    <hyperlink ref="Q933" r:id="rId89" xr:uid="{00000000-0004-0000-0000-000058000000}"/>
    <hyperlink ref="Q934" r:id="rId90" xr:uid="{00000000-0004-0000-0000-000059000000}"/>
    <hyperlink ref="Q935" r:id="rId91" xr:uid="{00000000-0004-0000-0000-00005A000000}"/>
    <hyperlink ref="Q937" r:id="rId92" xr:uid="{00000000-0004-0000-0000-00005B000000}"/>
    <hyperlink ref="Q932" r:id="rId93" xr:uid="{00000000-0004-0000-0000-00005C000000}"/>
    <hyperlink ref="Q939" r:id="rId94" location="page=2 " xr:uid="{00000000-0004-0000-0000-00005D000000}"/>
    <hyperlink ref="Q922" r:id="rId95" location="page=2 " xr:uid="{00000000-0004-0000-0000-00005E000000}"/>
    <hyperlink ref="Q921" r:id="rId96" location="page=2 " xr:uid="{00000000-0004-0000-0000-00005F000000}"/>
    <hyperlink ref="Q916" r:id="rId97" xr:uid="{00000000-0004-0000-0000-000060000000}"/>
    <hyperlink ref="Q918" r:id="rId98" xr:uid="{00000000-0004-0000-0000-000061000000}"/>
    <hyperlink ref="Q231" r:id="rId99" xr:uid="{00000000-0004-0000-0000-000062000000}"/>
    <hyperlink ref="Q232" r:id="rId100" xr:uid="{00000000-0004-0000-0000-000063000000}"/>
    <hyperlink ref="Q233" r:id="rId101" xr:uid="{00000000-0004-0000-0000-000064000000}"/>
    <hyperlink ref="Q235" r:id="rId102" xr:uid="{00000000-0004-0000-0000-000065000000}"/>
    <hyperlink ref="Q234" r:id="rId103" xr:uid="{00000000-0004-0000-0000-000066000000}"/>
    <hyperlink ref="Q236" r:id="rId104" xr:uid="{00000000-0004-0000-0000-000067000000}"/>
    <hyperlink ref="Q237" r:id="rId105" xr:uid="{00000000-0004-0000-0000-000068000000}"/>
    <hyperlink ref="Q238" r:id="rId106" xr:uid="{00000000-0004-0000-0000-000069000000}"/>
    <hyperlink ref="Q239" r:id="rId107" xr:uid="{00000000-0004-0000-0000-00006A000000}"/>
    <hyperlink ref="Q240" r:id="rId108" xr:uid="{00000000-0004-0000-0000-00006B000000}"/>
    <hyperlink ref="Q241" r:id="rId109" xr:uid="{00000000-0004-0000-0000-00006C000000}"/>
    <hyperlink ref="Q242" r:id="rId110" xr:uid="{00000000-0004-0000-0000-00006D000000}"/>
    <hyperlink ref="Q245" r:id="rId111" xr:uid="{00000000-0004-0000-0000-00006E000000}"/>
    <hyperlink ref="Q252" r:id="rId112" xr:uid="{00000000-0004-0000-0000-00006F000000}"/>
    <hyperlink ref="Q254" r:id="rId113" xr:uid="{00000000-0004-0000-0000-000070000000}"/>
    <hyperlink ref="Q251" r:id="rId114" xr:uid="{00000000-0004-0000-0000-000071000000}"/>
    <hyperlink ref="Q253" r:id="rId115" xr:uid="{00000000-0004-0000-0000-000072000000}"/>
    <hyperlink ref="Q32" r:id="rId116" xr:uid="{00000000-0004-0000-0000-000073000000}"/>
    <hyperlink ref="Q31" r:id="rId117" xr:uid="{00000000-0004-0000-0000-000074000000}"/>
    <hyperlink ref="Q49" r:id="rId118" xr:uid="{00000000-0004-0000-0000-000075000000}"/>
    <hyperlink ref="Q28" r:id="rId119" xr:uid="{00000000-0004-0000-0000-000076000000}"/>
    <hyperlink ref="Q42" r:id="rId120" xr:uid="{00000000-0004-0000-0000-000077000000}"/>
    <hyperlink ref="Q37" r:id="rId121" xr:uid="{00000000-0004-0000-0000-000078000000}"/>
    <hyperlink ref="Q26" r:id="rId122" xr:uid="{00000000-0004-0000-0000-000079000000}"/>
    <hyperlink ref="Q62" r:id="rId123" xr:uid="{00000000-0004-0000-0000-00007A000000}"/>
    <hyperlink ref="Q88" r:id="rId124" xr:uid="{00000000-0004-0000-0000-00007B000000}"/>
    <hyperlink ref="Q90" r:id="rId125" xr:uid="{00000000-0004-0000-0000-00007C000000}"/>
    <hyperlink ref="Q84" r:id="rId126" xr:uid="{00000000-0004-0000-0000-00007D000000}"/>
    <hyperlink ref="Q83" r:id="rId127" xr:uid="{00000000-0004-0000-0000-00007E000000}"/>
    <hyperlink ref="Q82" r:id="rId128" xr:uid="{00000000-0004-0000-0000-00007F000000}"/>
    <hyperlink ref="Q81" r:id="rId129" xr:uid="{00000000-0004-0000-0000-000080000000}"/>
    <hyperlink ref="Q80" r:id="rId130" xr:uid="{00000000-0004-0000-0000-000081000000}"/>
    <hyperlink ref="Q77" r:id="rId131" xr:uid="{00000000-0004-0000-0000-000082000000}"/>
    <hyperlink ref="Q75" r:id="rId132" xr:uid="{00000000-0004-0000-0000-000083000000}"/>
    <hyperlink ref="Q76" r:id="rId133" xr:uid="{00000000-0004-0000-0000-000084000000}"/>
    <hyperlink ref="Q78" r:id="rId134" xr:uid="{00000000-0004-0000-0000-000085000000}"/>
    <hyperlink ref="Q72" r:id="rId135" xr:uid="{00000000-0004-0000-0000-000086000000}"/>
    <hyperlink ref="Q69" r:id="rId136" xr:uid="{00000000-0004-0000-0000-000087000000}"/>
    <hyperlink ref="Q70" r:id="rId137" xr:uid="{00000000-0004-0000-0000-000088000000}"/>
    <hyperlink ref="Q68" r:id="rId138" xr:uid="{00000000-0004-0000-0000-000089000000}"/>
    <hyperlink ref="Q65" r:id="rId139" xr:uid="{00000000-0004-0000-0000-00008A000000}"/>
    <hyperlink ref="Q63" r:id="rId140" xr:uid="{00000000-0004-0000-0000-00008B000000}"/>
    <hyperlink ref="Q61" r:id="rId141" xr:uid="{00000000-0004-0000-0000-00008C000000}"/>
    <hyperlink ref="Q60" r:id="rId142" xr:uid="{00000000-0004-0000-0000-00008D000000}"/>
    <hyperlink ref="Q59" r:id="rId143" xr:uid="{00000000-0004-0000-0000-00008E000000}"/>
    <hyperlink ref="Q58" r:id="rId144" xr:uid="{00000000-0004-0000-0000-00008F000000}"/>
    <hyperlink ref="Q57" r:id="rId145" xr:uid="{00000000-0004-0000-0000-000090000000}"/>
    <hyperlink ref="Q54" r:id="rId146" xr:uid="{00000000-0004-0000-0000-000091000000}"/>
    <hyperlink ref="Q56" r:id="rId147" xr:uid="{00000000-0004-0000-0000-000092000000}"/>
    <hyperlink ref="Q55" r:id="rId148" xr:uid="{00000000-0004-0000-0000-000093000000}"/>
    <hyperlink ref="Q52" r:id="rId149" xr:uid="{00000000-0004-0000-0000-000094000000}"/>
    <hyperlink ref="Q53" r:id="rId150" xr:uid="{00000000-0004-0000-0000-000095000000}"/>
    <hyperlink ref="Q51" r:id="rId151" xr:uid="{00000000-0004-0000-0000-000096000000}"/>
    <hyperlink ref="Q48" r:id="rId152" xr:uid="{00000000-0004-0000-0000-000097000000}"/>
    <hyperlink ref="Q46" r:id="rId153" xr:uid="{00000000-0004-0000-0000-000098000000}"/>
    <hyperlink ref="Q44" r:id="rId154" xr:uid="{00000000-0004-0000-0000-000099000000}"/>
    <hyperlink ref="Q45" r:id="rId155" xr:uid="{00000000-0004-0000-0000-00009A000000}"/>
    <hyperlink ref="Q43" r:id="rId156" xr:uid="{00000000-0004-0000-0000-00009B000000}"/>
    <hyperlink ref="Q41" r:id="rId157" xr:uid="{00000000-0004-0000-0000-00009C000000}"/>
    <hyperlink ref="Q40" r:id="rId158" xr:uid="{00000000-0004-0000-0000-00009D000000}"/>
    <hyperlink ref="Q39" r:id="rId159" xr:uid="{00000000-0004-0000-0000-00009E000000}"/>
    <hyperlink ref="Q36" r:id="rId160" xr:uid="{00000000-0004-0000-0000-00009F000000}"/>
    <hyperlink ref="Q34" r:id="rId161" xr:uid="{00000000-0004-0000-0000-0000A0000000}"/>
    <hyperlink ref="Q89" r:id="rId162" xr:uid="{00000000-0004-0000-0000-0000A1000000}"/>
    <hyperlink ref="Q86" r:id="rId163" xr:uid="{00000000-0004-0000-0000-0000A2000000}"/>
    <hyperlink ref="Q85" r:id="rId164" xr:uid="{00000000-0004-0000-0000-0000A3000000}"/>
    <hyperlink ref="Q79" r:id="rId165" xr:uid="{00000000-0004-0000-0000-0000A4000000}"/>
    <hyperlink ref="Q71" r:id="rId166" xr:uid="{00000000-0004-0000-0000-0000A5000000}"/>
    <hyperlink ref="Q67" r:id="rId167" xr:uid="{00000000-0004-0000-0000-0000A6000000}"/>
    <hyperlink ref="Q66" r:id="rId168" xr:uid="{00000000-0004-0000-0000-0000A7000000}"/>
    <hyperlink ref="Q64" r:id="rId169" xr:uid="{00000000-0004-0000-0000-0000A8000000}"/>
    <hyperlink ref="Q50" r:id="rId170" xr:uid="{00000000-0004-0000-0000-0000A9000000}"/>
    <hyperlink ref="Q47" r:id="rId171" xr:uid="{00000000-0004-0000-0000-0000AA000000}"/>
    <hyperlink ref="Q38" r:id="rId172" xr:uid="{00000000-0004-0000-0000-0000AB000000}"/>
    <hyperlink ref="Q35" r:id="rId173" xr:uid="{00000000-0004-0000-0000-0000AC000000}"/>
    <hyperlink ref="Q33" r:id="rId174" xr:uid="{00000000-0004-0000-0000-0000AD000000}"/>
    <hyperlink ref="Q30" r:id="rId175" xr:uid="{00000000-0004-0000-0000-0000AE000000}"/>
    <hyperlink ref="Q24" r:id="rId176" xr:uid="{00000000-0004-0000-0000-0000AF000000}"/>
    <hyperlink ref="Q25" r:id="rId177" xr:uid="{00000000-0004-0000-0000-0000B0000000}"/>
    <hyperlink ref="Q23" r:id="rId178" xr:uid="{00000000-0004-0000-0000-0000B1000000}"/>
    <hyperlink ref="Q21" r:id="rId179" xr:uid="{00000000-0004-0000-0000-0000B2000000}"/>
    <hyperlink ref="Q20" r:id="rId180" xr:uid="{00000000-0004-0000-0000-0000B3000000}"/>
    <hyperlink ref="Q19" r:id="rId181" xr:uid="{00000000-0004-0000-0000-0000B4000000}"/>
    <hyperlink ref="Q18" r:id="rId182" xr:uid="{00000000-0004-0000-0000-0000B5000000}"/>
    <hyperlink ref="Q17" r:id="rId183" xr:uid="{00000000-0004-0000-0000-0000B6000000}"/>
    <hyperlink ref="Q29" r:id="rId184" xr:uid="{00000000-0004-0000-0000-0000B7000000}"/>
    <hyperlink ref="Q22" r:id="rId185" xr:uid="{00000000-0004-0000-0000-0000B8000000}"/>
    <hyperlink ref="Q460" r:id="rId186" xr:uid="{00000000-0004-0000-0000-0000B9000000}"/>
    <hyperlink ref="Q458" r:id="rId187" xr:uid="{00000000-0004-0000-0000-0000BA000000}"/>
    <hyperlink ref="Q459" r:id="rId188" xr:uid="{00000000-0004-0000-0000-0000BB000000}"/>
    <hyperlink ref="Q462" r:id="rId189" xr:uid="{00000000-0004-0000-0000-0000BC000000}"/>
    <hyperlink ref="Q463" r:id="rId190" xr:uid="{00000000-0004-0000-0000-0000BD000000}"/>
    <hyperlink ref="Q464" r:id="rId191" xr:uid="{00000000-0004-0000-0000-0000BE000000}"/>
    <hyperlink ref="Q465" r:id="rId192" xr:uid="{00000000-0004-0000-0000-0000BF000000}"/>
    <hyperlink ref="Q466" r:id="rId193" xr:uid="{00000000-0004-0000-0000-0000C0000000}"/>
    <hyperlink ref="Q467" r:id="rId194" xr:uid="{00000000-0004-0000-0000-0000C1000000}"/>
    <hyperlink ref="Q469" r:id="rId195" xr:uid="{00000000-0004-0000-0000-0000C2000000}"/>
    <hyperlink ref="Q468" r:id="rId196" xr:uid="{00000000-0004-0000-0000-0000C3000000}"/>
    <hyperlink ref="Q470" r:id="rId197" xr:uid="{00000000-0004-0000-0000-0000C4000000}"/>
    <hyperlink ref="Q457" r:id="rId198" xr:uid="{00000000-0004-0000-0000-0000C5000000}"/>
    <hyperlink ref="Q471" r:id="rId199" xr:uid="{00000000-0004-0000-0000-0000C6000000}"/>
    <hyperlink ref="Q472" r:id="rId200" xr:uid="{00000000-0004-0000-0000-0000C7000000}"/>
    <hyperlink ref="Q473" r:id="rId201" xr:uid="{00000000-0004-0000-0000-0000C8000000}"/>
    <hyperlink ref="Q474" r:id="rId202" xr:uid="{00000000-0004-0000-0000-0000C9000000}"/>
    <hyperlink ref="Q475" r:id="rId203" xr:uid="{00000000-0004-0000-0000-0000CA000000}"/>
    <hyperlink ref="Q476" r:id="rId204" xr:uid="{00000000-0004-0000-0000-0000CB000000}"/>
    <hyperlink ref="Q477" r:id="rId205" xr:uid="{00000000-0004-0000-0000-0000CC000000}"/>
    <hyperlink ref="Q478" r:id="rId206" xr:uid="{00000000-0004-0000-0000-0000CD000000}"/>
    <hyperlink ref="Q480" r:id="rId207" xr:uid="{00000000-0004-0000-0000-0000CE000000}"/>
    <hyperlink ref="Q479" r:id="rId208" xr:uid="{00000000-0004-0000-0000-0000CF000000}"/>
    <hyperlink ref="Q481" r:id="rId209" xr:uid="{00000000-0004-0000-0000-0000D0000000}"/>
    <hyperlink ref="Q482" r:id="rId210" xr:uid="{00000000-0004-0000-0000-0000D1000000}"/>
    <hyperlink ref="Q483" r:id="rId211" xr:uid="{00000000-0004-0000-0000-0000D2000000}"/>
    <hyperlink ref="Q484" r:id="rId212" xr:uid="{00000000-0004-0000-0000-0000D3000000}"/>
    <hyperlink ref="Q485" r:id="rId213" xr:uid="{00000000-0004-0000-0000-0000D4000000}"/>
    <hyperlink ref="Q486" r:id="rId214" xr:uid="{00000000-0004-0000-0000-0000D5000000}"/>
    <hyperlink ref="Q487" r:id="rId215" xr:uid="{00000000-0004-0000-0000-0000D6000000}"/>
    <hyperlink ref="Q489" r:id="rId216" xr:uid="{00000000-0004-0000-0000-0000D7000000}"/>
    <hyperlink ref="Q488" r:id="rId217" xr:uid="{00000000-0004-0000-0000-0000D8000000}"/>
    <hyperlink ref="Q490" r:id="rId218" xr:uid="{00000000-0004-0000-0000-0000D9000000}"/>
    <hyperlink ref="Q491" r:id="rId219" xr:uid="{00000000-0004-0000-0000-0000DA000000}"/>
    <hyperlink ref="Q492" r:id="rId220" xr:uid="{00000000-0004-0000-0000-0000DB000000}"/>
    <hyperlink ref="Q493" r:id="rId221" xr:uid="{00000000-0004-0000-0000-0000DC000000}"/>
    <hyperlink ref="Q494" r:id="rId222" xr:uid="{00000000-0004-0000-0000-0000DD000000}"/>
    <hyperlink ref="Q495" r:id="rId223" xr:uid="{00000000-0004-0000-0000-0000DE000000}"/>
    <hyperlink ref="Q496" r:id="rId224" xr:uid="{00000000-0004-0000-0000-0000DF000000}"/>
    <hyperlink ref="Q497" r:id="rId225" xr:uid="{00000000-0004-0000-0000-0000E0000000}"/>
    <hyperlink ref="Q498" r:id="rId226" xr:uid="{00000000-0004-0000-0000-0000E1000000}"/>
    <hyperlink ref="Q499" r:id="rId227" xr:uid="{00000000-0004-0000-0000-0000E2000000}"/>
    <hyperlink ref="Q500" r:id="rId228" xr:uid="{00000000-0004-0000-0000-0000E3000000}"/>
    <hyperlink ref="Q501" r:id="rId229" xr:uid="{00000000-0004-0000-0000-0000E4000000}"/>
    <hyperlink ref="Q502" r:id="rId230" xr:uid="{00000000-0004-0000-0000-0000E5000000}"/>
    <hyperlink ref="Q503" r:id="rId231" xr:uid="{00000000-0004-0000-0000-0000E6000000}"/>
    <hyperlink ref="Q505" r:id="rId232" xr:uid="{00000000-0004-0000-0000-0000E7000000}"/>
    <hyperlink ref="Q504" r:id="rId233" xr:uid="{00000000-0004-0000-0000-0000E8000000}"/>
    <hyperlink ref="Q506" r:id="rId234" xr:uid="{00000000-0004-0000-0000-0000E9000000}"/>
    <hyperlink ref="Q508" r:id="rId235" xr:uid="{00000000-0004-0000-0000-0000EA000000}"/>
    <hyperlink ref="Q507" r:id="rId236" xr:uid="{00000000-0004-0000-0000-0000EB000000}"/>
    <hyperlink ref="Q510" r:id="rId237" xr:uid="{00000000-0004-0000-0000-0000EC000000}"/>
    <hyperlink ref="Q509" r:id="rId238" xr:uid="{00000000-0004-0000-0000-0000ED000000}"/>
    <hyperlink ref="Q511" r:id="rId239" xr:uid="{00000000-0004-0000-0000-0000EE000000}"/>
    <hyperlink ref="Q512" r:id="rId240" xr:uid="{00000000-0004-0000-0000-0000EF000000}"/>
    <hyperlink ref="Q513" r:id="rId241" xr:uid="{00000000-0004-0000-0000-0000F0000000}"/>
    <hyperlink ref="Q514" r:id="rId242" xr:uid="{00000000-0004-0000-0000-0000F1000000}"/>
    <hyperlink ref="Q516" r:id="rId243" xr:uid="{00000000-0004-0000-0000-0000F2000000}"/>
    <hyperlink ref="Q515" r:id="rId244" xr:uid="{00000000-0004-0000-0000-0000F3000000}"/>
    <hyperlink ref="Q517" r:id="rId245" xr:uid="{00000000-0004-0000-0000-0000F4000000}"/>
    <hyperlink ref="Q518" r:id="rId246" xr:uid="{00000000-0004-0000-0000-0000F5000000}"/>
    <hyperlink ref="Q519" r:id="rId247" xr:uid="{00000000-0004-0000-0000-0000F6000000}"/>
    <hyperlink ref="Q520" r:id="rId248" xr:uid="{00000000-0004-0000-0000-0000F7000000}"/>
    <hyperlink ref="Q521" r:id="rId249" xr:uid="{00000000-0004-0000-0000-0000F8000000}"/>
    <hyperlink ref="Q522" r:id="rId250" xr:uid="{00000000-0004-0000-0000-0000F9000000}"/>
    <hyperlink ref="Q523" r:id="rId251" xr:uid="{00000000-0004-0000-0000-0000FA000000}"/>
    <hyperlink ref="Q524" r:id="rId252" xr:uid="{00000000-0004-0000-0000-0000FB000000}"/>
    <hyperlink ref="Q525" r:id="rId253" xr:uid="{00000000-0004-0000-0000-0000FC000000}"/>
    <hyperlink ref="Q526" r:id="rId254" xr:uid="{00000000-0004-0000-0000-0000FD000000}"/>
    <hyperlink ref="Q527" r:id="rId255" xr:uid="{00000000-0004-0000-0000-0000FE000000}"/>
    <hyperlink ref="Q528" r:id="rId256" xr:uid="{00000000-0004-0000-0000-0000FF000000}"/>
    <hyperlink ref="Q529" r:id="rId257" xr:uid="{00000000-0004-0000-0000-000000010000}"/>
    <hyperlink ref="Q534" r:id="rId258" xr:uid="{00000000-0004-0000-0000-000001010000}"/>
    <hyperlink ref="Q535" r:id="rId259" xr:uid="{00000000-0004-0000-0000-000002010000}"/>
    <hyperlink ref="Q530" r:id="rId260" xr:uid="{00000000-0004-0000-0000-000003010000}"/>
    <hyperlink ref="Q531" r:id="rId261" xr:uid="{00000000-0004-0000-0000-000004010000}"/>
    <hyperlink ref="Q532" r:id="rId262" xr:uid="{00000000-0004-0000-0000-000005010000}"/>
    <hyperlink ref="Q533" r:id="rId263" xr:uid="{00000000-0004-0000-0000-000006010000}"/>
    <hyperlink ref="Q538" r:id="rId264" xr:uid="{00000000-0004-0000-0000-000007010000}"/>
    <hyperlink ref="Q539" r:id="rId265" xr:uid="{00000000-0004-0000-0000-000008010000}"/>
    <hyperlink ref="Q540" r:id="rId266" xr:uid="{00000000-0004-0000-0000-000009010000}"/>
    <hyperlink ref="Q541" r:id="rId267" xr:uid="{00000000-0004-0000-0000-00000A010000}"/>
    <hyperlink ref="Q542" r:id="rId268" xr:uid="{00000000-0004-0000-0000-00000B010000}"/>
    <hyperlink ref="Q543" r:id="rId269" xr:uid="{00000000-0004-0000-0000-00000C010000}"/>
    <hyperlink ref="Q544" r:id="rId270" xr:uid="{00000000-0004-0000-0000-00000D010000}"/>
    <hyperlink ref="Q546" r:id="rId271" display="https://www.camera.it/uri-res/N2Ls?urn:camera-it:parlamento:scheda.progetto.legge:camera;16.legislatura;1802" xr:uid="{00000000-0004-0000-0000-00000E010000}"/>
    <hyperlink ref="Q545" r:id="rId272" xr:uid="{00000000-0004-0000-0000-00000F010000}"/>
    <hyperlink ref="Q547" r:id="rId273" xr:uid="{00000000-0004-0000-0000-000010010000}"/>
    <hyperlink ref="Q548" r:id="rId274" xr:uid="{00000000-0004-0000-0000-000011010000}"/>
    <hyperlink ref="Q549" r:id="rId275" xr:uid="{00000000-0004-0000-0000-000012010000}"/>
    <hyperlink ref="Q550" r:id="rId276" xr:uid="{00000000-0004-0000-0000-000013010000}"/>
    <hyperlink ref="Q551" r:id="rId277" xr:uid="{00000000-0004-0000-0000-000014010000}"/>
    <hyperlink ref="Q552" r:id="rId278" xr:uid="{00000000-0004-0000-0000-000015010000}"/>
    <hyperlink ref="Q553" r:id="rId279" xr:uid="{00000000-0004-0000-0000-000016010000}"/>
    <hyperlink ref="Q554" r:id="rId280" xr:uid="{00000000-0004-0000-0000-000017010000}"/>
    <hyperlink ref="Q555" r:id="rId281" xr:uid="{00000000-0004-0000-0000-000018010000}"/>
    <hyperlink ref="Q557" r:id="rId282" xr:uid="{00000000-0004-0000-0000-000019010000}"/>
    <hyperlink ref="Q556" r:id="rId283" xr:uid="{00000000-0004-0000-0000-00001A010000}"/>
    <hyperlink ref="Q558" r:id="rId284" xr:uid="{00000000-0004-0000-0000-00001B010000}"/>
    <hyperlink ref="Q559" r:id="rId285" xr:uid="{00000000-0004-0000-0000-00001C010000}"/>
    <hyperlink ref="Q560" r:id="rId286" xr:uid="{00000000-0004-0000-0000-00001D010000}"/>
    <hyperlink ref="Q561" r:id="rId287" xr:uid="{00000000-0004-0000-0000-00001E010000}"/>
    <hyperlink ref="Q562" r:id="rId288" xr:uid="{00000000-0004-0000-0000-00001F010000}"/>
    <hyperlink ref="Q563" r:id="rId289" xr:uid="{00000000-0004-0000-0000-000020010000}"/>
    <hyperlink ref="Q564" r:id="rId290" xr:uid="{00000000-0004-0000-0000-000021010000}"/>
    <hyperlink ref="Q565" r:id="rId291" xr:uid="{00000000-0004-0000-0000-000022010000}"/>
    <hyperlink ref="Q566" r:id="rId292" xr:uid="{00000000-0004-0000-0000-000023010000}"/>
    <hyperlink ref="Q567" r:id="rId293" xr:uid="{00000000-0004-0000-0000-000024010000}"/>
    <hyperlink ref="Q568" r:id="rId294" xr:uid="{00000000-0004-0000-0000-000025010000}"/>
    <hyperlink ref="Q569" r:id="rId295" xr:uid="{00000000-0004-0000-0000-000026010000}"/>
    <hyperlink ref="Q570" r:id="rId296" xr:uid="{00000000-0004-0000-0000-000027010000}"/>
    <hyperlink ref="Q571" r:id="rId297" xr:uid="{00000000-0004-0000-0000-000028010000}"/>
    <hyperlink ref="Q572" r:id="rId298" xr:uid="{00000000-0004-0000-0000-000029010000}"/>
    <hyperlink ref="Q574" r:id="rId299" xr:uid="{00000000-0004-0000-0000-00002A010000}"/>
    <hyperlink ref="Q573" r:id="rId300" xr:uid="{00000000-0004-0000-0000-00002B010000}"/>
    <hyperlink ref="Q575" r:id="rId301" xr:uid="{00000000-0004-0000-0000-00002C010000}"/>
    <hyperlink ref="Q576" r:id="rId302" xr:uid="{00000000-0004-0000-0000-00002D010000}"/>
    <hyperlink ref="Q577" r:id="rId303" xr:uid="{00000000-0004-0000-0000-00002E010000}"/>
    <hyperlink ref="Q578" r:id="rId304" xr:uid="{00000000-0004-0000-0000-00002F010000}"/>
    <hyperlink ref="Q584" r:id="rId305" xr:uid="{00000000-0004-0000-0000-000030010000}"/>
    <hyperlink ref="Q585" r:id="rId306" xr:uid="{00000000-0004-0000-0000-000031010000}"/>
    <hyperlink ref="Q587" r:id="rId307" xr:uid="{00000000-0004-0000-0000-000032010000}"/>
    <hyperlink ref="Q588" r:id="rId308" xr:uid="{00000000-0004-0000-0000-000033010000}"/>
    <hyperlink ref="Q589" r:id="rId309" xr:uid="{00000000-0004-0000-0000-000034010000}"/>
    <hyperlink ref="Q590" r:id="rId310" xr:uid="{00000000-0004-0000-0000-000035010000}"/>
    <hyperlink ref="Q591" r:id="rId311" xr:uid="{00000000-0004-0000-0000-000036010000}"/>
    <hyperlink ref="Q579" r:id="rId312" xr:uid="{00000000-0004-0000-0000-000037010000}"/>
    <hyperlink ref="Q581" r:id="rId313" xr:uid="{00000000-0004-0000-0000-000038010000}"/>
    <hyperlink ref="Q580" r:id="rId314" xr:uid="{00000000-0004-0000-0000-000039010000}"/>
    <hyperlink ref="Q593" r:id="rId315" xr:uid="{00000000-0004-0000-0000-00003A010000}"/>
    <hyperlink ref="Q595" r:id="rId316" xr:uid="{00000000-0004-0000-0000-00003B010000}"/>
    <hyperlink ref="Q596" r:id="rId317" xr:uid="{00000000-0004-0000-0000-00003C010000}"/>
    <hyperlink ref="Q597" r:id="rId318" xr:uid="{00000000-0004-0000-0000-00003D010000}"/>
    <hyperlink ref="Q592" r:id="rId319" xr:uid="{00000000-0004-0000-0000-00003E010000}"/>
    <hyperlink ref="Q599" r:id="rId320" xr:uid="{00000000-0004-0000-0000-00003F010000}"/>
    <hyperlink ref="Q598" r:id="rId321" xr:uid="{00000000-0004-0000-0000-000040010000}"/>
    <hyperlink ref="Q536" r:id="rId322" xr:uid="{00000000-0004-0000-0000-000041010000}"/>
    <hyperlink ref="Q537" r:id="rId323" xr:uid="{00000000-0004-0000-0000-000042010000}"/>
    <hyperlink ref="Q582" r:id="rId324" xr:uid="{00000000-0004-0000-0000-000043010000}"/>
    <hyperlink ref="Q583" r:id="rId325" xr:uid="{00000000-0004-0000-0000-000044010000}"/>
    <hyperlink ref="Q601" r:id="rId326" xr:uid="{00000000-0004-0000-0000-000045010000}"/>
    <hyperlink ref="Q622" r:id="rId327" location="zyma_5s56pokartaikpal" xr:uid="{00000000-0004-0000-0000-000046010000}"/>
    <hyperlink ref="Q621" r:id="rId328" location="zyma_4s73potaik" xr:uid="{00000000-0004-0000-0000-000047010000}"/>
    <hyperlink ref="Q623" r:id="rId329" location="zyma_6s43poNutdelLkardalopKroaprojsvarst" xr:uid="{00000000-0004-0000-0000-000048010000}"/>
    <hyperlink ref="Q625" r:id="rId330" xr:uid="{00000000-0004-0000-0000-000049010000}"/>
    <hyperlink ref="Q624" r:id="rId331" location="zyma_7s49pokarburdalNATO" xr:uid="{00000000-0004-0000-0000-00004A010000}"/>
    <hyperlink ref="Q626" r:id="rId332" xr:uid="{00000000-0004-0000-0000-00004B010000}"/>
    <hyperlink ref="Q627" r:id="rId333" xr:uid="{00000000-0004-0000-0000-00004C010000}"/>
    <hyperlink ref="Q628" r:id="rId334" xr:uid="{00000000-0004-0000-0000-00004D010000}"/>
    <hyperlink ref="Q629" r:id="rId335" xr:uid="{00000000-0004-0000-0000-00004E010000}"/>
    <hyperlink ref="Q631" r:id="rId336" xr:uid="{00000000-0004-0000-0000-00004F010000}"/>
    <hyperlink ref="Q632" r:id="rId337" xr:uid="{00000000-0004-0000-0000-000050010000}"/>
    <hyperlink ref="Q633" r:id="rId338" xr:uid="{00000000-0004-0000-0000-000051010000}"/>
    <hyperlink ref="Q634" r:id="rId339" xr:uid="{00000000-0004-0000-0000-000052010000}"/>
    <hyperlink ref="Q635" r:id="rId340" xr:uid="{00000000-0004-0000-0000-000053010000}"/>
    <hyperlink ref="Q636" r:id="rId341" xr:uid="{00000000-0004-0000-0000-000054010000}"/>
    <hyperlink ref="Q637" r:id="rId342" xr:uid="{00000000-0004-0000-0000-000055010000}"/>
    <hyperlink ref="Q642" r:id="rId343" xr:uid="{00000000-0004-0000-0000-000056010000}"/>
    <hyperlink ref="Q638" r:id="rId344" xr:uid="{00000000-0004-0000-0000-000057010000}"/>
    <hyperlink ref="Q639" r:id="rId345" xr:uid="{00000000-0004-0000-0000-000058010000}"/>
    <hyperlink ref="Q640" r:id="rId346" xr:uid="{00000000-0004-0000-0000-000059010000}"/>
    <hyperlink ref="Q641" r:id="rId347" xr:uid="{00000000-0004-0000-0000-00005A010000}"/>
    <hyperlink ref="Q643" r:id="rId348" xr:uid="{00000000-0004-0000-0000-00005B010000}"/>
    <hyperlink ref="Q644" r:id="rId349" xr:uid="{00000000-0004-0000-0000-00005C010000}"/>
    <hyperlink ref="Q645" r:id="rId350" xr:uid="{00000000-0004-0000-0000-00005D010000}"/>
    <hyperlink ref="Q646" r:id="rId351" xr:uid="{00000000-0004-0000-0000-00005E010000}"/>
    <hyperlink ref="Q647" r:id="rId352" xr:uid="{00000000-0004-0000-0000-00005F010000}"/>
    <hyperlink ref="Q649" r:id="rId353" xr:uid="{00000000-0004-0000-0000-000060010000}"/>
    <hyperlink ref="Q648" r:id="rId354" xr:uid="{00000000-0004-0000-0000-000061010000}"/>
    <hyperlink ref="Q650" r:id="rId355" xr:uid="{00000000-0004-0000-0000-000062010000}"/>
    <hyperlink ref="Q651" r:id="rId356" xr:uid="{00000000-0004-0000-0000-000063010000}"/>
    <hyperlink ref="Q653" r:id="rId357" xr:uid="{00000000-0004-0000-0000-000064010000}"/>
    <hyperlink ref="Q652" r:id="rId358" xr:uid="{00000000-0004-0000-0000-000065010000}"/>
    <hyperlink ref="Q654" r:id="rId359" xr:uid="{00000000-0004-0000-0000-000066010000}"/>
    <hyperlink ref="Q657" r:id="rId360" xr:uid="{00000000-0004-0000-0000-000067010000}"/>
    <hyperlink ref="Q655" r:id="rId361" xr:uid="{00000000-0004-0000-0000-000068010000}"/>
    <hyperlink ref="Q656" r:id="rId362" xr:uid="{00000000-0004-0000-0000-000069010000}"/>
    <hyperlink ref="Q659" r:id="rId363" xr:uid="{00000000-0004-0000-0000-00006A010000}"/>
    <hyperlink ref="Q658" r:id="rId364" xr:uid="{00000000-0004-0000-0000-00006B010000}"/>
    <hyperlink ref="Q660" r:id="rId365" xr:uid="{00000000-0004-0000-0000-00006C010000}"/>
    <hyperlink ref="Q661" r:id="rId366" xr:uid="{00000000-0004-0000-0000-00006D010000}"/>
    <hyperlink ref="Q662" r:id="rId367" xr:uid="{00000000-0004-0000-0000-00006E010000}"/>
    <hyperlink ref="Q663" r:id="rId368" xr:uid="{00000000-0004-0000-0000-00006F010000}"/>
    <hyperlink ref="Q664" r:id="rId369" xr:uid="{00000000-0004-0000-0000-000070010000}"/>
    <hyperlink ref="Q665" r:id="rId370" xr:uid="{00000000-0004-0000-0000-000071010000}"/>
    <hyperlink ref="Q666" r:id="rId371" xr:uid="{00000000-0004-0000-0000-000072010000}"/>
    <hyperlink ref="Q667" r:id="rId372" xr:uid="{00000000-0004-0000-0000-000073010000}"/>
    <hyperlink ref="Q668" r:id="rId373" xr:uid="{00000000-0004-0000-0000-000074010000}"/>
    <hyperlink ref="Q669" r:id="rId374" xr:uid="{00000000-0004-0000-0000-000075010000}"/>
    <hyperlink ref="Q670" r:id="rId375" xr:uid="{00000000-0004-0000-0000-000076010000}"/>
    <hyperlink ref="Q671" r:id="rId376" xr:uid="{00000000-0004-0000-0000-000077010000}"/>
    <hyperlink ref="Q672" r:id="rId377" xr:uid="{00000000-0004-0000-0000-000078010000}"/>
    <hyperlink ref="Q673" r:id="rId378" xr:uid="{00000000-0004-0000-0000-000079010000}"/>
    <hyperlink ref="Q674" r:id="rId379" xr:uid="{00000000-0004-0000-0000-00007A010000}"/>
    <hyperlink ref="Q675" r:id="rId380" xr:uid="{00000000-0004-0000-0000-00007B010000}"/>
    <hyperlink ref="Q676" r:id="rId381" xr:uid="{00000000-0004-0000-0000-00007C010000}"/>
    <hyperlink ref="Q677" r:id="rId382" xr:uid="{00000000-0004-0000-0000-00007D010000}"/>
    <hyperlink ref="Q678" r:id="rId383" xr:uid="{00000000-0004-0000-0000-00007E010000}"/>
    <hyperlink ref="Q679" r:id="rId384" xr:uid="{00000000-0004-0000-0000-00007F010000}"/>
    <hyperlink ref="Q680" r:id="rId385" xr:uid="{00000000-0004-0000-0000-000080010000}"/>
    <hyperlink ref="Q681" r:id="rId386" xr:uid="{00000000-0004-0000-0000-000081010000}"/>
    <hyperlink ref="Q682" r:id="rId387" xr:uid="{00000000-0004-0000-0000-000082010000}"/>
    <hyperlink ref="Q630" r:id="rId388" xr:uid="{00000000-0004-0000-0000-000083010000}"/>
    <hyperlink ref="Q707" r:id="rId389" xr:uid="{00000000-0004-0000-0000-000084010000}"/>
    <hyperlink ref="Q740" display="http://likms.assembly.go.kr/record/mhs-60-010.do" xr:uid="{00000000-0004-0000-0000-000085010000}"/>
    <hyperlink ref="Q437:Q520" display="http://likms.assembly.go.kr/record/mhs-60-010.do" xr:uid="{00000000-0004-0000-0000-000086010000}"/>
    <hyperlink ref="Q973" r:id="rId390" xr:uid="{00000000-0004-0000-0000-000087010000}"/>
    <hyperlink ref="Q940" r:id="rId391" xr:uid="{00000000-0004-0000-0000-000088010000}"/>
    <hyperlink ref="Q945" r:id="rId392" xr:uid="{00000000-0004-0000-0000-000089010000}"/>
    <hyperlink ref="Q963" r:id="rId393" xr:uid="{00000000-0004-0000-0000-00008A010000}"/>
    <hyperlink ref="Q964" r:id="rId394" xr:uid="{00000000-0004-0000-0000-00008B010000}"/>
    <hyperlink ref="Q985" r:id="rId395" xr:uid="{00000000-0004-0000-0000-00008C010000}"/>
    <hyperlink ref="Q983" r:id="rId396" xr:uid="{00000000-0004-0000-0000-00008D010000}"/>
    <hyperlink ref="Q984" r:id="rId397" xr:uid="{00000000-0004-0000-0000-00008E010000}"/>
    <hyperlink ref="Q986" r:id="rId398" xr:uid="{00000000-0004-0000-0000-00008F010000}"/>
    <hyperlink ref="Q987" r:id="rId399" xr:uid="{00000000-0004-0000-0000-000090010000}"/>
    <hyperlink ref="Q988" r:id="rId400" xr:uid="{00000000-0004-0000-0000-000091010000}"/>
    <hyperlink ref="Q989" r:id="rId401" xr:uid="{00000000-0004-0000-0000-000092010000}"/>
    <hyperlink ref="Q990" r:id="rId402" xr:uid="{00000000-0004-0000-0000-000093010000}"/>
    <hyperlink ref="Q991" r:id="rId403" xr:uid="{00000000-0004-0000-0000-000094010000}"/>
    <hyperlink ref="Q999" r:id="rId404" xr:uid="{00000000-0004-0000-0000-000095010000}"/>
    <hyperlink ref="Q1000" r:id="rId405" xr:uid="{00000000-0004-0000-0000-000096010000}"/>
    <hyperlink ref="Q1001" r:id="rId406" xr:uid="{00000000-0004-0000-0000-000097010000}"/>
    <hyperlink ref="Q1003" r:id="rId407" xr:uid="{00000000-0004-0000-0000-000098010000}"/>
    <hyperlink ref="Q1002" r:id="rId408" xr:uid="{00000000-0004-0000-0000-000099010000}"/>
    <hyperlink ref="Q1006" r:id="rId409" xr:uid="{00000000-0004-0000-0000-00009A010000}"/>
    <hyperlink ref="Q1007" r:id="rId410" xr:uid="{00000000-0004-0000-0000-00009B010000}"/>
    <hyperlink ref="Q1018" r:id="rId411" xr:uid="{00000000-0004-0000-0000-00009C010000}"/>
    <hyperlink ref="Q993" r:id="rId412" xr:uid="{00000000-0004-0000-0000-00009D010000}"/>
    <hyperlink ref="Q992" r:id="rId413" xr:uid="{00000000-0004-0000-0000-00009E010000}"/>
    <hyperlink ref="Q870" r:id="rId414" xr:uid="{00000000-0004-0000-0000-00009F010000}"/>
    <hyperlink ref="Q869" r:id="rId415" xr:uid="{00000000-0004-0000-0000-0000A0010000}"/>
    <hyperlink ref="Q868" r:id="rId416" xr:uid="{00000000-0004-0000-0000-0000A1010000}"/>
    <hyperlink ref="Q867" r:id="rId417" xr:uid="{00000000-0004-0000-0000-0000A2010000}"/>
    <hyperlink ref="Q866" r:id="rId418" xr:uid="{00000000-0004-0000-0000-0000A3010000}"/>
    <hyperlink ref="Q856" r:id="rId419" xr:uid="{00000000-0004-0000-0000-0000A4010000}"/>
    <hyperlink ref="Q855" r:id="rId420" xr:uid="{00000000-0004-0000-0000-0000A5010000}"/>
    <hyperlink ref="Q852" r:id="rId421" xr:uid="{00000000-0004-0000-0000-0000A6010000}"/>
    <hyperlink ref="Q849" r:id="rId422" xr:uid="{00000000-0004-0000-0000-0000A7010000}"/>
    <hyperlink ref="Q850" r:id="rId423" xr:uid="{00000000-0004-0000-0000-0000A8010000}"/>
    <hyperlink ref="Q847" r:id="rId424" xr:uid="{00000000-0004-0000-0000-0000A9010000}"/>
    <hyperlink ref="Q845" r:id="rId425" xr:uid="{00000000-0004-0000-0000-0000AA010000}"/>
    <hyperlink ref="Q846" r:id="rId426" xr:uid="{00000000-0004-0000-0000-0000AB010000}"/>
    <hyperlink ref="Q854" r:id="rId427" xr:uid="{00000000-0004-0000-0000-0000AC010000}"/>
    <hyperlink ref="Q853" r:id="rId428" xr:uid="{00000000-0004-0000-0000-0000AD010000}"/>
    <hyperlink ref="Q858" r:id="rId429" xr:uid="{00000000-0004-0000-0000-0000AE010000}"/>
    <hyperlink ref="Q859" r:id="rId430" xr:uid="{00000000-0004-0000-0000-0000AF010000}"/>
    <hyperlink ref="Q862" r:id="rId431" xr:uid="{00000000-0004-0000-0000-0000B0010000}"/>
    <hyperlink ref="Q848" r:id="rId432" xr:uid="{00000000-0004-0000-0000-0000B1010000}"/>
    <hyperlink ref="Q865" r:id="rId433" xr:uid="{00000000-0004-0000-0000-0000B2010000}"/>
    <hyperlink ref="Q864" r:id="rId434" xr:uid="{00000000-0004-0000-0000-0000B3010000}"/>
    <hyperlink ref="Q861" r:id="rId435" xr:uid="{00000000-0004-0000-0000-0000B4010000}"/>
    <hyperlink ref="Q860" r:id="rId436" xr:uid="{00000000-0004-0000-0000-0000B5010000}"/>
    <hyperlink ref="Q826" r:id="rId437" xr:uid="{00000000-0004-0000-0000-0000B6010000}"/>
    <hyperlink ref="Q828" r:id="rId438" xr:uid="{00000000-0004-0000-0000-0000B7010000}"/>
    <hyperlink ref="Q827" r:id="rId439" xr:uid="{00000000-0004-0000-0000-0000B8010000}"/>
    <hyperlink ref="Q829" r:id="rId440" xr:uid="{00000000-0004-0000-0000-0000B9010000}"/>
    <hyperlink ref="Q830" r:id="rId441" xr:uid="{00000000-0004-0000-0000-0000BA010000}"/>
    <hyperlink ref="Q831" r:id="rId442" xr:uid="{00000000-0004-0000-0000-0000BB010000}"/>
    <hyperlink ref="Q832" r:id="rId443" xr:uid="{00000000-0004-0000-0000-0000BC010000}"/>
    <hyperlink ref="Q833" r:id="rId444" xr:uid="{00000000-0004-0000-0000-0000BD010000}"/>
    <hyperlink ref="Q834" r:id="rId445" xr:uid="{00000000-0004-0000-0000-0000BE010000}"/>
    <hyperlink ref="Q844" r:id="rId446" xr:uid="{00000000-0004-0000-0000-0000BF010000}"/>
    <hyperlink ref="Q843" r:id="rId447" xr:uid="{00000000-0004-0000-0000-0000C0010000}"/>
    <hyperlink ref="Q839" r:id="rId448" xr:uid="{00000000-0004-0000-0000-0000C1010000}"/>
    <hyperlink ref="Q840" r:id="rId449" xr:uid="{00000000-0004-0000-0000-0000C2010000}"/>
    <hyperlink ref="Q857" r:id="rId450" xr:uid="{00000000-0004-0000-0000-0000C3010000}"/>
    <hyperlink ref="Q863" r:id="rId451" xr:uid="{00000000-0004-0000-0000-0000C4010000}"/>
    <hyperlink ref="Q731" r:id="rId452" xr:uid="{00000000-0004-0000-0000-0000C5010000}"/>
    <hyperlink ref="Q229" r:id="rId453" xr:uid="{00000000-0004-0000-0000-0000C6010000}"/>
    <hyperlink ref="Q230" r:id="rId454" xr:uid="{00000000-0004-0000-0000-0000C7010000}"/>
    <hyperlink ref="Q193" r:id="rId455" xr:uid="{00000000-0004-0000-0000-0000C8010000}"/>
    <hyperlink ref="Q194" r:id="rId456" xr:uid="{00000000-0004-0000-0000-0000C9010000}"/>
    <hyperlink ref="Q195" r:id="rId457" xr:uid="{00000000-0004-0000-0000-0000CA010000}"/>
    <hyperlink ref="Q196" r:id="rId458" xr:uid="{00000000-0004-0000-0000-0000CB010000}"/>
    <hyperlink ref="Q197" r:id="rId459" xr:uid="{00000000-0004-0000-0000-0000CC010000}"/>
    <hyperlink ref="Q198" r:id="rId460" xr:uid="{00000000-0004-0000-0000-0000CD010000}"/>
    <hyperlink ref="Q199" r:id="rId461" xr:uid="{00000000-0004-0000-0000-0000CE010000}"/>
    <hyperlink ref="Q200" r:id="rId462" xr:uid="{00000000-0004-0000-0000-0000CF010000}"/>
    <hyperlink ref="Q201" r:id="rId463" xr:uid="{00000000-0004-0000-0000-0000D0010000}"/>
    <hyperlink ref="Q203" r:id="rId464" xr:uid="{00000000-0004-0000-0000-0000D1010000}"/>
    <hyperlink ref="Q202" r:id="rId465" xr:uid="{00000000-0004-0000-0000-0000D2010000}"/>
    <hyperlink ref="Q204" r:id="rId466" xr:uid="{00000000-0004-0000-0000-0000D3010000}"/>
    <hyperlink ref="Q207" r:id="rId467" xr:uid="{00000000-0004-0000-0000-0000D4010000}"/>
    <hyperlink ref="Q205" r:id="rId468" xr:uid="{00000000-0004-0000-0000-0000D5010000}"/>
    <hyperlink ref="Q206" r:id="rId469" xr:uid="{00000000-0004-0000-0000-0000D6010000}"/>
    <hyperlink ref="Q208" r:id="rId470" xr:uid="{00000000-0004-0000-0000-0000D7010000}"/>
    <hyperlink ref="Q209" r:id="rId471" xr:uid="{00000000-0004-0000-0000-0000D8010000}"/>
    <hyperlink ref="Q210" r:id="rId472" xr:uid="{00000000-0004-0000-0000-0000D9010000}"/>
    <hyperlink ref="Q211" r:id="rId473" xr:uid="{00000000-0004-0000-0000-0000DA010000}"/>
    <hyperlink ref="Q212" r:id="rId474" xr:uid="{00000000-0004-0000-0000-0000DB010000}"/>
    <hyperlink ref="Q213" r:id="rId475" xr:uid="{00000000-0004-0000-0000-0000DC010000}"/>
    <hyperlink ref="Q214" r:id="rId476" xr:uid="{00000000-0004-0000-0000-0000DD010000}"/>
    <hyperlink ref="Q215" r:id="rId477" xr:uid="{00000000-0004-0000-0000-0000DE010000}"/>
    <hyperlink ref="Q216" r:id="rId478" xr:uid="{00000000-0004-0000-0000-0000DF010000}"/>
    <hyperlink ref="Q217" r:id="rId479" xr:uid="{00000000-0004-0000-0000-0000E0010000}"/>
    <hyperlink ref="Q218" r:id="rId480" xr:uid="{00000000-0004-0000-0000-0000E1010000}"/>
    <hyperlink ref="Q219" r:id="rId481" xr:uid="{00000000-0004-0000-0000-0000E2010000}"/>
    <hyperlink ref="Q220" r:id="rId482" xr:uid="{00000000-0004-0000-0000-0000E3010000}"/>
    <hyperlink ref="Q221" r:id="rId483" xr:uid="{00000000-0004-0000-0000-0000E4010000}"/>
    <hyperlink ref="Q222" r:id="rId484" xr:uid="{00000000-0004-0000-0000-0000E5010000}"/>
    <hyperlink ref="Q223" r:id="rId485" xr:uid="{00000000-0004-0000-0000-0000E6010000}"/>
    <hyperlink ref="Q224" r:id="rId486" xr:uid="{00000000-0004-0000-0000-0000E7010000}"/>
    <hyperlink ref="Q225" r:id="rId487" xr:uid="{00000000-0004-0000-0000-0000E8010000}"/>
    <hyperlink ref="Q227" r:id="rId488" xr:uid="{00000000-0004-0000-0000-0000E9010000}"/>
    <hyperlink ref="Q226" r:id="rId489" xr:uid="{00000000-0004-0000-0000-0000EA010000}"/>
    <hyperlink ref="Q228" r:id="rId490" xr:uid="{00000000-0004-0000-0000-0000EB010000}"/>
    <hyperlink ref="Q162" r:id="rId491" xr:uid="{00000000-0004-0000-0000-0000EC010000}"/>
    <hyperlink ref="Q163" r:id="rId492" xr:uid="{00000000-0004-0000-0000-0000ED010000}"/>
    <hyperlink ref="Q164" r:id="rId493" xr:uid="{00000000-0004-0000-0000-0000EE010000}"/>
    <hyperlink ref="Q165" r:id="rId494" xr:uid="{00000000-0004-0000-0000-0000EF010000}"/>
    <hyperlink ref="Q166" r:id="rId495" xr:uid="{00000000-0004-0000-0000-0000F0010000}"/>
    <hyperlink ref="Q167" r:id="rId496" xr:uid="{00000000-0004-0000-0000-0000F1010000}"/>
    <hyperlink ref="Q168" r:id="rId497" xr:uid="{00000000-0004-0000-0000-0000F2010000}"/>
    <hyperlink ref="Q169" r:id="rId498" xr:uid="{00000000-0004-0000-0000-0000F3010000}"/>
    <hyperlink ref="Q170" r:id="rId499" xr:uid="{00000000-0004-0000-0000-0000F4010000}"/>
    <hyperlink ref="Q171" r:id="rId500" xr:uid="{00000000-0004-0000-0000-0000F5010000}"/>
    <hyperlink ref="Q172" r:id="rId501" xr:uid="{00000000-0004-0000-0000-0000F6010000}"/>
    <hyperlink ref="Q173" r:id="rId502" xr:uid="{00000000-0004-0000-0000-0000F7010000}"/>
    <hyperlink ref="Q174" r:id="rId503" xr:uid="{00000000-0004-0000-0000-0000F8010000}"/>
    <hyperlink ref="Q175" r:id="rId504" xr:uid="{00000000-0004-0000-0000-0000F9010000}"/>
    <hyperlink ref="Q176" r:id="rId505" xr:uid="{00000000-0004-0000-0000-0000FA010000}"/>
    <hyperlink ref="Q177" r:id="rId506" xr:uid="{00000000-0004-0000-0000-0000FB010000}"/>
    <hyperlink ref="Q178" r:id="rId507" xr:uid="{00000000-0004-0000-0000-0000FC010000}"/>
    <hyperlink ref="Q179" r:id="rId508" xr:uid="{00000000-0004-0000-0000-0000FD010000}"/>
    <hyperlink ref="Q180" r:id="rId509" xr:uid="{00000000-0004-0000-0000-0000FE010000}"/>
    <hyperlink ref="Q181" r:id="rId510" xr:uid="{00000000-0004-0000-0000-0000FF010000}"/>
    <hyperlink ref="Q182" r:id="rId511" xr:uid="{00000000-0004-0000-0000-000000020000}"/>
    <hyperlink ref="Q183" r:id="rId512" xr:uid="{00000000-0004-0000-0000-000001020000}"/>
    <hyperlink ref="Q184" r:id="rId513" xr:uid="{00000000-0004-0000-0000-000002020000}"/>
    <hyperlink ref="Q185" r:id="rId514" xr:uid="{00000000-0004-0000-0000-000003020000}"/>
    <hyperlink ref="Q186" r:id="rId515" xr:uid="{00000000-0004-0000-0000-000004020000}"/>
    <hyperlink ref="Q187" r:id="rId516" xr:uid="{00000000-0004-0000-0000-000005020000}"/>
    <hyperlink ref="Q188" r:id="rId517" xr:uid="{00000000-0004-0000-0000-000006020000}"/>
    <hyperlink ref="Q189" r:id="rId518" xr:uid="{00000000-0004-0000-0000-000007020000}"/>
    <hyperlink ref="Q190" r:id="rId519" xr:uid="{00000000-0004-0000-0000-000008020000}"/>
    <hyperlink ref="Q192" r:id="rId520" xr:uid="{00000000-0004-0000-0000-000009020000}"/>
    <hyperlink ref="Q191" r:id="rId521" xr:uid="{00000000-0004-0000-0000-00000A020000}"/>
    <hyperlink ref="Q74" r:id="rId522" xr:uid="{00000000-0004-0000-0000-00000B020000}"/>
    <hyperlink ref="Q73" r:id="rId523" xr:uid="{00000000-0004-0000-0000-00000C020000}"/>
    <hyperlink ref="Q87" r:id="rId524" xr:uid="{00000000-0004-0000-0000-00000D020000}"/>
    <hyperlink ref="Q91" r:id="rId525" xr:uid="{00000000-0004-0000-0000-00000E020000}"/>
  </hyperlinks>
  <pageMargins left="0.7" right="0.7" top="0.78740157499999996" bottom="0.78740157499999996" header="0.3" footer="0.3"/>
  <pageSetup paperSize="9" orientation="landscape" r:id="rId526"/>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PDVD_parl-level data</vt:lpstr>
      <vt:lpstr>'PDVD_parl-level data'!Область_печати</vt:lpstr>
    </vt:vector>
  </TitlesOfParts>
  <Company>Vrije Universiteit Amsterdam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Wagner, W.M.</dc:creator>
  <cp:lastModifiedBy>Evgenii Solodov</cp:lastModifiedBy>
  <cp:lastPrinted>2021-03-09T11:48:31Z</cp:lastPrinted>
  <dcterms:created xsi:type="dcterms:W3CDTF">2019-04-16T08:36:02Z</dcterms:created>
  <dcterms:modified xsi:type="dcterms:W3CDTF">2025-11-30T19:09:50Z</dcterms:modified>
</cp:coreProperties>
</file>